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089E01A-EFBB-49CF-91CD-3CBEB46B8D20}" xr6:coauthVersionLast="47" xr6:coauthVersionMax="47" xr10:uidLastSave="{00000000-0000-0000-0000-000000000000}"/>
  <bookViews>
    <workbookView xWindow="4920" yWindow="120" windowWidth="20280" windowHeight="14880" tabRatio="913" xr2:uid="{00000000-000D-0000-FFFF-FFFF00000000}"/>
  </bookViews>
  <sheets>
    <sheet name="목차" sheetId="8" r:id="rId1"/>
    <sheet name="1-1.패션 구매액" sheetId="2" r:id="rId2"/>
    <sheet name="1-2.패션 소비 실태" sheetId="4" r:id="rId3"/>
    <sheet name="2-1. 남성복(정장)" sheetId="10" r:id="rId4"/>
    <sheet name="2-2. 여성복(정장)" sheetId="20" r:id="rId5"/>
    <sheet name="2-3. 캐주얼복" sheetId="21" r:id="rId6"/>
    <sheet name="2-4. 스포츠의류" sheetId="22" r:id="rId7"/>
    <sheet name="2-5. 골프웨어" sheetId="23" r:id="rId8"/>
    <sheet name="2-6. 아웃도어" sheetId="24" r:id="rId9"/>
    <sheet name="2-7. 이너웨어" sheetId="25" r:id="rId10"/>
    <sheet name="2-8. 유아동복" sheetId="26" r:id="rId11"/>
    <sheet name="2-9. 신발" sheetId="27" r:id="rId12"/>
    <sheet name="2-10. 가방_지갑" sheetId="28" r:id="rId13"/>
    <sheet name="2-11. 기타잡화" sheetId="29" r:id="rId14"/>
    <sheet name="3.구매 행태" sheetId="18" r:id="rId15"/>
    <sheet name="4.조사표본특성" sheetId="7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76" i="2" l="1"/>
  <c r="AT75" i="2"/>
  <c r="AT74" i="2"/>
  <c r="AT73" i="2"/>
  <c r="AT72" i="2"/>
  <c r="AT71" i="2"/>
  <c r="AT70" i="2"/>
  <c r="AT69" i="2"/>
  <c r="AT68" i="2"/>
  <c r="AT67" i="2"/>
  <c r="AT66" i="2"/>
  <c r="AT65" i="2"/>
  <c r="AQ76" i="2"/>
  <c r="AQ75" i="2"/>
  <c r="AQ74" i="2"/>
  <c r="AQ73" i="2"/>
  <c r="AQ72" i="2"/>
  <c r="AQ71" i="2"/>
  <c r="AQ70" i="2"/>
  <c r="AQ69" i="2"/>
  <c r="AQ68" i="2"/>
  <c r="AQ67" i="2"/>
  <c r="AQ66" i="2"/>
  <c r="AQ65" i="2"/>
  <c r="AN76" i="2"/>
  <c r="AN75" i="2"/>
  <c r="AN74" i="2"/>
  <c r="AN72" i="2"/>
  <c r="AN71" i="2"/>
  <c r="AN70" i="2"/>
  <c r="AN69" i="2"/>
  <c r="AN68" i="2"/>
  <c r="AN67" i="2"/>
  <c r="AN66" i="2"/>
  <c r="AN65" i="2"/>
  <c r="AK65" i="2"/>
  <c r="AK76" i="2"/>
  <c r="AK75" i="2"/>
  <c r="AK74" i="2"/>
  <c r="AK73" i="2"/>
  <c r="AK72" i="2"/>
  <c r="AK71" i="2"/>
  <c r="AK70" i="2"/>
  <c r="AK69" i="2"/>
  <c r="AK68" i="2"/>
  <c r="AK67" i="2"/>
  <c r="AK66" i="2"/>
  <c r="AH66" i="2"/>
  <c r="AH76" i="2"/>
  <c r="AH75" i="2"/>
  <c r="AH74" i="2"/>
  <c r="AH73" i="2"/>
  <c r="AH72" i="2"/>
  <c r="AH71" i="2"/>
  <c r="AH70" i="2"/>
  <c r="AH69" i="2"/>
  <c r="AH68" i="2"/>
  <c r="AH67" i="2"/>
  <c r="AH65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B76" i="2"/>
  <c r="AB75" i="2"/>
  <c r="AB74" i="2"/>
  <c r="AB72" i="2"/>
  <c r="AB71" i="2"/>
  <c r="AB70" i="2"/>
  <c r="AB69" i="2"/>
  <c r="AB68" i="2"/>
  <c r="AB67" i="2"/>
  <c r="AB66" i="2"/>
  <c r="AB65" i="2"/>
  <c r="Y66" i="2"/>
  <c r="Y67" i="2"/>
  <c r="Y68" i="2"/>
  <c r="Y69" i="2"/>
  <c r="Y70" i="2"/>
  <c r="Y71" i="2"/>
  <c r="Y72" i="2"/>
  <c r="Y73" i="2"/>
  <c r="Y74" i="2"/>
  <c r="Y75" i="2"/>
  <c r="Y76" i="2"/>
  <c r="Y65" i="2"/>
  <c r="V67" i="2"/>
  <c r="V76" i="2"/>
  <c r="V75" i="2"/>
  <c r="V74" i="2"/>
  <c r="V73" i="2"/>
  <c r="V72" i="2"/>
  <c r="V71" i="2"/>
  <c r="V70" i="2"/>
  <c r="V69" i="2"/>
  <c r="V68" i="2"/>
  <c r="V66" i="2"/>
  <c r="V65" i="2"/>
  <c r="S76" i="2"/>
  <c r="S75" i="2"/>
  <c r="S74" i="2"/>
  <c r="S73" i="2"/>
  <c r="S72" i="2"/>
  <c r="S71" i="2"/>
  <c r="S70" i="2"/>
  <c r="S69" i="2"/>
  <c r="S68" i="2"/>
  <c r="S67" i="2"/>
  <c r="S66" i="2"/>
  <c r="S65" i="2"/>
  <c r="P76" i="2"/>
  <c r="P75" i="2"/>
  <c r="P74" i="2"/>
  <c r="P72" i="2"/>
  <c r="P71" i="2"/>
  <c r="P70" i="2"/>
  <c r="P69" i="2"/>
  <c r="P68" i="2"/>
  <c r="P67" i="2"/>
  <c r="P66" i="2"/>
  <c r="P65" i="2"/>
  <c r="M65" i="2"/>
  <c r="M76" i="2"/>
  <c r="M75" i="2"/>
  <c r="M74" i="2"/>
  <c r="M73" i="2"/>
  <c r="M72" i="2"/>
  <c r="M71" i="2"/>
  <c r="M70" i="2"/>
  <c r="M69" i="2"/>
  <c r="M68" i="2"/>
  <c r="M67" i="2"/>
  <c r="M66" i="2"/>
  <c r="AD48" i="2"/>
  <c r="AD49" i="2"/>
  <c r="AD50" i="2"/>
  <c r="AD51" i="2"/>
  <c r="AD52" i="2"/>
  <c r="AD53" i="2"/>
  <c r="AD54" i="2"/>
  <c r="AD55" i="2"/>
  <c r="AD56" i="2"/>
  <c r="AD57" i="2"/>
  <c r="AD58" i="2"/>
  <c r="AD47" i="2"/>
  <c r="AA48" i="2"/>
  <c r="AA49" i="2"/>
  <c r="AA50" i="2"/>
  <c r="AA51" i="2"/>
  <c r="AA52" i="2"/>
  <c r="AA53" i="2"/>
  <c r="AA54" i="2"/>
  <c r="AA55" i="2"/>
  <c r="AA56" i="2"/>
  <c r="AA57" i="2"/>
  <c r="AA58" i="2"/>
  <c r="AA47" i="2"/>
  <c r="X48" i="2"/>
  <c r="X49" i="2"/>
  <c r="X50" i="2"/>
  <c r="X51" i="2"/>
  <c r="X52" i="2"/>
  <c r="X53" i="2"/>
  <c r="X54" i="2"/>
  <c r="X56" i="2"/>
  <c r="X57" i="2"/>
  <c r="X58" i="2"/>
  <c r="X47" i="2"/>
  <c r="U48" i="2"/>
  <c r="U49" i="2"/>
  <c r="U50" i="2"/>
  <c r="U51" i="2"/>
  <c r="U52" i="2"/>
  <c r="U53" i="2"/>
  <c r="U54" i="2"/>
  <c r="U55" i="2"/>
  <c r="U56" i="2"/>
  <c r="U57" i="2"/>
  <c r="U58" i="2"/>
  <c r="U47" i="2"/>
  <c r="I189" i="2" l="1"/>
  <c r="I188" i="2"/>
  <c r="I187" i="2"/>
  <c r="I186" i="2"/>
  <c r="I185" i="2"/>
  <c r="I184" i="2"/>
  <c r="I183" i="2"/>
  <c r="I182" i="2"/>
  <c r="I181" i="2"/>
  <c r="I180" i="2"/>
  <c r="I179" i="2"/>
  <c r="I178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I170" i="2"/>
  <c r="I171" i="2"/>
  <c r="I172" i="2"/>
  <c r="I173" i="2"/>
  <c r="I174" i="2"/>
  <c r="I175" i="2"/>
  <c r="I176" i="2"/>
  <c r="I177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G170" i="2"/>
  <c r="G171" i="2"/>
  <c r="G172" i="2"/>
  <c r="G173" i="2"/>
  <c r="G174" i="2"/>
  <c r="G175" i="2"/>
  <c r="G176" i="2"/>
  <c r="G177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I169" i="2"/>
  <c r="G169" i="2"/>
  <c r="E171" i="2" l="1"/>
  <c r="E170" i="2"/>
  <c r="E169" i="2"/>
  <c r="O69" i="2"/>
  <c r="L51" i="2"/>
  <c r="J51" i="2"/>
  <c r="J50" i="2"/>
  <c r="J49" i="2"/>
  <c r="J48" i="2"/>
  <c r="AS76" i="2"/>
  <c r="AS75" i="2"/>
  <c r="AS74" i="2"/>
  <c r="AS73" i="2"/>
  <c r="AS72" i="2"/>
  <c r="AS71" i="2"/>
  <c r="AS70" i="2"/>
  <c r="AS69" i="2"/>
  <c r="AS68" i="2"/>
  <c r="AS67" i="2"/>
  <c r="AS66" i="2"/>
  <c r="AP76" i="2"/>
  <c r="AP75" i="2"/>
  <c r="AP74" i="2"/>
  <c r="AP73" i="2"/>
  <c r="AP72" i="2"/>
  <c r="AP71" i="2"/>
  <c r="AP70" i="2"/>
  <c r="AP69" i="2"/>
  <c r="AP68" i="2"/>
  <c r="AP67" i="2"/>
  <c r="AP66" i="2"/>
  <c r="AM76" i="2"/>
  <c r="AM75" i="2"/>
  <c r="AM74" i="2"/>
  <c r="AM73" i="2"/>
  <c r="AM72" i="2"/>
  <c r="AM71" i="2"/>
  <c r="AM70" i="2"/>
  <c r="AM69" i="2"/>
  <c r="AM68" i="2"/>
  <c r="AM67" i="2"/>
  <c r="AM66" i="2"/>
  <c r="AJ76" i="2"/>
  <c r="AJ75" i="2"/>
  <c r="AJ74" i="2"/>
  <c r="AJ73" i="2"/>
  <c r="AJ72" i="2"/>
  <c r="AJ71" i="2"/>
  <c r="AJ70" i="2"/>
  <c r="AJ69" i="2"/>
  <c r="AJ68" i="2"/>
  <c r="AJ67" i="2"/>
  <c r="AJ66" i="2"/>
  <c r="AG76" i="2"/>
  <c r="AG75" i="2"/>
  <c r="AG74" i="2"/>
  <c r="AG73" i="2"/>
  <c r="AG72" i="2"/>
  <c r="AG71" i="2"/>
  <c r="AG70" i="2"/>
  <c r="AG69" i="2"/>
  <c r="AG68" i="2"/>
  <c r="AG67" i="2"/>
  <c r="AG66" i="2"/>
  <c r="AD76" i="2"/>
  <c r="AD75" i="2"/>
  <c r="AD74" i="2"/>
  <c r="AD73" i="2"/>
  <c r="AD72" i="2"/>
  <c r="AD71" i="2"/>
  <c r="AD70" i="2"/>
  <c r="AD69" i="2"/>
  <c r="AD68" i="2"/>
  <c r="AD67" i="2"/>
  <c r="AD66" i="2"/>
  <c r="AA76" i="2"/>
  <c r="AA75" i="2"/>
  <c r="AA74" i="2"/>
  <c r="AA73" i="2"/>
  <c r="AA72" i="2"/>
  <c r="AA71" i="2"/>
  <c r="AA70" i="2"/>
  <c r="AA69" i="2"/>
  <c r="AA68" i="2"/>
  <c r="AA67" i="2"/>
  <c r="AA66" i="2"/>
  <c r="X76" i="2"/>
  <c r="X75" i="2"/>
  <c r="X74" i="2"/>
  <c r="X73" i="2"/>
  <c r="X72" i="2"/>
  <c r="X71" i="2"/>
  <c r="X70" i="2"/>
  <c r="X69" i="2"/>
  <c r="X68" i="2"/>
  <c r="X67" i="2"/>
  <c r="X66" i="2"/>
  <c r="U76" i="2"/>
  <c r="U75" i="2"/>
  <c r="U74" i="2"/>
  <c r="U73" i="2"/>
  <c r="U72" i="2"/>
  <c r="U71" i="2"/>
  <c r="U70" i="2"/>
  <c r="U69" i="2"/>
  <c r="U68" i="2"/>
  <c r="U67" i="2"/>
  <c r="U66" i="2"/>
  <c r="R76" i="2"/>
  <c r="R75" i="2"/>
  <c r="R74" i="2"/>
  <c r="R73" i="2"/>
  <c r="R72" i="2"/>
  <c r="R71" i="2"/>
  <c r="R70" i="2"/>
  <c r="R69" i="2"/>
  <c r="R68" i="2"/>
  <c r="R67" i="2"/>
  <c r="R66" i="2"/>
  <c r="O76" i="2"/>
  <c r="O75" i="2"/>
  <c r="O74" i="2"/>
  <c r="O73" i="2"/>
  <c r="O72" i="2"/>
  <c r="O71" i="2"/>
  <c r="O70" i="2"/>
  <c r="O68" i="2"/>
  <c r="O67" i="2"/>
  <c r="O66" i="2"/>
  <c r="L76" i="2"/>
  <c r="L75" i="2"/>
  <c r="L74" i="2"/>
  <c r="L73" i="2"/>
  <c r="L72" i="2"/>
  <c r="L71" i="2"/>
  <c r="L70" i="2"/>
  <c r="L69" i="2"/>
  <c r="L68" i="2"/>
  <c r="L67" i="2"/>
  <c r="L66" i="2"/>
  <c r="J76" i="2"/>
  <c r="J75" i="2"/>
  <c r="J74" i="2"/>
  <c r="J73" i="2"/>
  <c r="J72" i="2"/>
  <c r="J71" i="2"/>
  <c r="J70" i="2"/>
  <c r="J69" i="2"/>
  <c r="J68" i="2"/>
  <c r="J67" i="2"/>
  <c r="J66" i="2"/>
  <c r="H76" i="2"/>
  <c r="H75" i="2"/>
  <c r="H74" i="2"/>
  <c r="H73" i="2"/>
  <c r="H72" i="2"/>
  <c r="H71" i="2"/>
  <c r="H70" i="2"/>
  <c r="H69" i="2"/>
  <c r="H68" i="2"/>
  <c r="H67" i="2"/>
  <c r="H66" i="2"/>
  <c r="F76" i="2"/>
  <c r="F75" i="2"/>
  <c r="F74" i="2"/>
  <c r="F73" i="2"/>
  <c r="F72" i="2"/>
  <c r="F71" i="2"/>
  <c r="F70" i="2"/>
  <c r="F69" i="2"/>
  <c r="F68" i="2"/>
  <c r="F67" i="2"/>
  <c r="F66" i="2"/>
  <c r="D67" i="2"/>
  <c r="D68" i="2"/>
  <c r="D69" i="2"/>
  <c r="D70" i="2"/>
  <c r="D71" i="2"/>
  <c r="D72" i="2"/>
  <c r="D73" i="2"/>
  <c r="D74" i="2"/>
  <c r="D75" i="2"/>
  <c r="D76" i="2"/>
  <c r="D66" i="2"/>
  <c r="AS65" i="2"/>
  <c r="AP65" i="2"/>
  <c r="AM65" i="2"/>
  <c r="AJ65" i="2"/>
  <c r="AG65" i="2"/>
  <c r="AD65" i="2"/>
  <c r="AA65" i="2"/>
  <c r="X65" i="2"/>
  <c r="U65" i="2"/>
  <c r="R65" i="2"/>
  <c r="O65" i="2"/>
  <c r="L65" i="2"/>
  <c r="J65" i="2"/>
  <c r="H65" i="2"/>
  <c r="F65" i="2"/>
  <c r="D65" i="2"/>
  <c r="AC48" i="2"/>
  <c r="AC47" i="2"/>
  <c r="Z47" i="2"/>
  <c r="W47" i="2"/>
  <c r="R47" i="2"/>
  <c r="P47" i="2"/>
  <c r="N47" i="2"/>
  <c r="AC58" i="2" l="1"/>
  <c r="Z58" i="2"/>
  <c r="W58" i="2"/>
  <c r="T58" i="2"/>
  <c r="AC57" i="2"/>
  <c r="Z57" i="2"/>
  <c r="W57" i="2"/>
  <c r="T57" i="2"/>
  <c r="AC56" i="2"/>
  <c r="Z56" i="2"/>
  <c r="W56" i="2"/>
  <c r="T56" i="2"/>
  <c r="AC55" i="2"/>
  <c r="Z55" i="2"/>
  <c r="W55" i="2"/>
  <c r="T55" i="2"/>
  <c r="AC54" i="2"/>
  <c r="Z54" i="2"/>
  <c r="W54" i="2"/>
  <c r="T54" i="2"/>
  <c r="AC53" i="2"/>
  <c r="Z53" i="2"/>
  <c r="W53" i="2"/>
  <c r="T53" i="2"/>
  <c r="AC52" i="2"/>
  <c r="Z52" i="2"/>
  <c r="W52" i="2"/>
  <c r="T52" i="2"/>
  <c r="AC51" i="2"/>
  <c r="Z51" i="2"/>
  <c r="W51" i="2"/>
  <c r="T51" i="2"/>
  <c r="AC50" i="2"/>
  <c r="Z50" i="2"/>
  <c r="W50" i="2"/>
  <c r="T50" i="2"/>
  <c r="AC49" i="2"/>
  <c r="Z49" i="2"/>
  <c r="W49" i="2"/>
  <c r="T49" i="2"/>
  <c r="Z48" i="2"/>
  <c r="W48" i="2"/>
  <c r="T48" i="2"/>
  <c r="T47" i="2"/>
  <c r="R49" i="2"/>
  <c r="R50" i="2"/>
  <c r="R51" i="2"/>
  <c r="R52" i="2"/>
  <c r="R53" i="2"/>
  <c r="R54" i="2"/>
  <c r="R55" i="2"/>
  <c r="R56" i="2"/>
  <c r="R57" i="2"/>
  <c r="R58" i="2"/>
  <c r="R48" i="2"/>
  <c r="P49" i="2"/>
  <c r="P50" i="2"/>
  <c r="P51" i="2"/>
  <c r="P52" i="2"/>
  <c r="P53" i="2"/>
  <c r="P54" i="2"/>
  <c r="P55" i="2"/>
  <c r="P56" i="2"/>
  <c r="P57" i="2"/>
  <c r="P58" i="2"/>
  <c r="P48" i="2"/>
  <c r="N49" i="2"/>
  <c r="N50" i="2"/>
  <c r="N51" i="2"/>
  <c r="N52" i="2"/>
  <c r="N53" i="2"/>
  <c r="N54" i="2"/>
  <c r="N55" i="2"/>
  <c r="N56" i="2"/>
  <c r="N57" i="2"/>
  <c r="N58" i="2"/>
  <c r="N48" i="2"/>
  <c r="L52" i="2"/>
  <c r="L49" i="2"/>
  <c r="L50" i="2"/>
  <c r="L53" i="2"/>
  <c r="L54" i="2"/>
  <c r="L55" i="2"/>
  <c r="L56" i="2"/>
  <c r="L57" i="2"/>
  <c r="L58" i="2"/>
  <c r="L48" i="2"/>
  <c r="L47" i="2"/>
  <c r="J52" i="2"/>
  <c r="J53" i="2"/>
  <c r="J54" i="2"/>
  <c r="J55" i="2"/>
  <c r="J56" i="2"/>
  <c r="J57" i="2"/>
  <c r="J58" i="2"/>
  <c r="H49" i="2"/>
  <c r="H50" i="2"/>
  <c r="H51" i="2"/>
  <c r="H52" i="2"/>
  <c r="H53" i="2"/>
  <c r="H54" i="2"/>
  <c r="H55" i="2"/>
  <c r="H56" i="2"/>
  <c r="H57" i="2"/>
  <c r="H58" i="2"/>
  <c r="H48" i="2"/>
  <c r="F49" i="2"/>
  <c r="F50" i="2"/>
  <c r="F51" i="2"/>
  <c r="F52" i="2"/>
  <c r="F53" i="2"/>
  <c r="F54" i="2"/>
  <c r="F55" i="2"/>
  <c r="F56" i="2"/>
  <c r="F57" i="2"/>
  <c r="F58" i="2"/>
  <c r="F48" i="2"/>
  <c r="J47" i="2"/>
  <c r="H47" i="2"/>
  <c r="F47" i="2"/>
  <c r="D48" i="2"/>
  <c r="D49" i="2"/>
  <c r="D50" i="2"/>
  <c r="D51" i="2"/>
  <c r="D52" i="2"/>
  <c r="D53" i="2"/>
  <c r="D54" i="2"/>
  <c r="D55" i="2"/>
  <c r="D56" i="2"/>
  <c r="D57" i="2"/>
  <c r="D58" i="2"/>
  <c r="D47" i="2"/>
  <c r="O152" i="2" l="1"/>
  <c r="P86" i="2" l="1"/>
  <c r="P85" i="2"/>
  <c r="P84" i="2"/>
  <c r="O163" i="2" l="1"/>
  <c r="O162" i="2"/>
  <c r="O156" i="2"/>
  <c r="O155" i="2"/>
  <c r="O154" i="2"/>
  <c r="O153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99" i="2"/>
  <c r="O98" i="2"/>
  <c r="O97" i="2"/>
  <c r="O96" i="2"/>
  <c r="O95" i="2"/>
  <c r="O94" i="2"/>
  <c r="O110" i="2"/>
  <c r="O109" i="2"/>
  <c r="O108" i="2"/>
  <c r="O107" i="2"/>
  <c r="O106" i="2"/>
  <c r="O105" i="2"/>
  <c r="O121" i="2"/>
  <c r="O120" i="2"/>
  <c r="O119" i="2"/>
  <c r="O118" i="2"/>
  <c r="O117" i="2"/>
  <c r="O116" i="2"/>
  <c r="D93" i="2"/>
  <c r="E93" i="2"/>
  <c r="F93" i="2"/>
  <c r="G93" i="2"/>
  <c r="H93" i="2"/>
  <c r="I93" i="2"/>
  <c r="J93" i="2"/>
  <c r="K93" i="2"/>
  <c r="L93" i="2"/>
  <c r="M93" i="2"/>
  <c r="N93" i="2"/>
  <c r="O93" i="2" l="1"/>
  <c r="P93" i="2" l="1"/>
  <c r="P97" i="2"/>
  <c r="P96" i="2"/>
  <c r="P94" i="2"/>
  <c r="P99" i="2"/>
  <c r="P98" i="2"/>
  <c r="P95" i="2"/>
  <c r="F9" i="29"/>
  <c r="B9" i="29"/>
  <c r="B9" i="28"/>
  <c r="F9" i="28"/>
  <c r="F9" i="27"/>
  <c r="B9" i="27"/>
  <c r="F9" i="26"/>
  <c r="B9" i="26"/>
  <c r="F9" i="25"/>
  <c r="B9" i="25"/>
  <c r="F9" i="24"/>
  <c r="B9" i="24"/>
  <c r="F9" i="23"/>
  <c r="B9" i="23"/>
  <c r="F9" i="22"/>
  <c r="B9" i="22"/>
  <c r="B9" i="21"/>
  <c r="B11" i="10"/>
  <c r="B9" i="20"/>
  <c r="F9" i="21"/>
  <c r="F9" i="20" l="1"/>
  <c r="F11" i="10"/>
  <c r="D151" i="2" l="1"/>
  <c r="E151" i="2"/>
  <c r="F151" i="2"/>
  <c r="G151" i="2"/>
  <c r="H151" i="2"/>
  <c r="I151" i="2"/>
  <c r="J151" i="2"/>
  <c r="K151" i="2"/>
  <c r="L151" i="2"/>
  <c r="M151" i="2"/>
  <c r="N151" i="2"/>
  <c r="O151" i="2" l="1"/>
  <c r="E115" i="2"/>
  <c r="F115" i="2"/>
  <c r="G115" i="2"/>
  <c r="H115" i="2"/>
  <c r="I115" i="2"/>
  <c r="J115" i="2"/>
  <c r="K115" i="2"/>
  <c r="L115" i="2"/>
  <c r="M115" i="2"/>
  <c r="N115" i="2"/>
  <c r="F104" i="2"/>
  <c r="G104" i="2"/>
  <c r="H104" i="2"/>
  <c r="I104" i="2"/>
  <c r="J104" i="2"/>
  <c r="K104" i="2"/>
  <c r="L104" i="2"/>
  <c r="M104" i="2"/>
  <c r="N104" i="2"/>
  <c r="N161" i="2"/>
  <c r="M161" i="2"/>
  <c r="L161" i="2"/>
  <c r="K161" i="2"/>
  <c r="J161" i="2"/>
  <c r="I161" i="2"/>
  <c r="H161" i="2"/>
  <c r="G161" i="2"/>
  <c r="F161" i="2"/>
  <c r="E161" i="2"/>
  <c r="D161" i="2"/>
  <c r="N129" i="2"/>
  <c r="M129" i="2"/>
  <c r="L129" i="2"/>
  <c r="K129" i="2"/>
  <c r="J129" i="2"/>
  <c r="I129" i="2"/>
  <c r="H129" i="2"/>
  <c r="G129" i="2"/>
  <c r="F129" i="2"/>
  <c r="E129" i="2"/>
  <c r="D129" i="2"/>
  <c r="P152" i="2" l="1"/>
  <c r="P151" i="2"/>
  <c r="P156" i="2"/>
  <c r="P155" i="2"/>
  <c r="P154" i="2"/>
  <c r="P153" i="2"/>
  <c r="O161" i="2"/>
  <c r="O129" i="2"/>
  <c r="P129" i="2" l="1"/>
  <c r="P130" i="2"/>
  <c r="P134" i="2"/>
  <c r="P146" i="2"/>
  <c r="P137" i="2"/>
  <c r="P135" i="2"/>
  <c r="P145" i="2"/>
  <c r="P131" i="2"/>
  <c r="P132" i="2"/>
  <c r="P143" i="2"/>
  <c r="P140" i="2"/>
  <c r="P138" i="2"/>
  <c r="P144" i="2"/>
  <c r="P133" i="2"/>
  <c r="P139" i="2"/>
  <c r="P141" i="2"/>
  <c r="P142" i="2"/>
  <c r="P136" i="2"/>
  <c r="P161" i="2"/>
  <c r="P162" i="2"/>
  <c r="P163" i="2"/>
  <c r="D115" i="2"/>
  <c r="O115" i="2" s="1"/>
  <c r="E104" i="2"/>
  <c r="D104" i="2"/>
  <c r="O104" i="2" l="1"/>
  <c r="P105" i="2" s="1"/>
  <c r="P115" i="2"/>
  <c r="P118" i="2"/>
  <c r="P116" i="2"/>
  <c r="P119" i="2"/>
  <c r="P117" i="2"/>
  <c r="P120" i="2"/>
  <c r="P121" i="2"/>
  <c r="P108" i="2" l="1"/>
  <c r="P110" i="2"/>
  <c r="P109" i="2"/>
  <c r="P107" i="2"/>
  <c r="P106" i="2"/>
  <c r="P104" i="2"/>
</calcChain>
</file>

<file path=xl/sharedStrings.xml><?xml version="1.0" encoding="utf-8"?>
<sst xmlns="http://schemas.openxmlformats.org/spreadsheetml/2006/main" count="6762" uniqueCount="580">
  <si>
    <t>남자</t>
    <phoneticPr fontId="2" type="noConversion"/>
  </si>
  <si>
    <t>여자</t>
    <phoneticPr fontId="2" type="noConversion"/>
  </si>
  <si>
    <t>서울</t>
  </si>
  <si>
    <t>지역</t>
    <phoneticPr fontId="2" type="noConversion"/>
  </si>
  <si>
    <t>연령</t>
    <phoneticPr fontId="2" type="noConversion"/>
  </si>
  <si>
    <t>성별</t>
    <phoneticPr fontId="2" type="noConversion"/>
  </si>
  <si>
    <t>부산</t>
  </si>
  <si>
    <t>대구</t>
  </si>
  <si>
    <t>인천</t>
  </si>
  <si>
    <t>대전</t>
  </si>
  <si>
    <t>광주</t>
  </si>
  <si>
    <t>울산</t>
  </si>
  <si>
    <t>기타</t>
  </si>
  <si>
    <t>벌당 평균</t>
  </si>
  <si>
    <t>바지</t>
  </si>
  <si>
    <t>조끼</t>
  </si>
  <si>
    <t>자켓</t>
  </si>
  <si>
    <t>청바지</t>
  </si>
  <si>
    <t>치마</t>
  </si>
  <si>
    <t>원피스</t>
  </si>
  <si>
    <t>전체</t>
    <phoneticPr fontId="2" type="noConversion"/>
  </si>
  <si>
    <t>구매율</t>
    <phoneticPr fontId="2" type="noConversion"/>
  </si>
  <si>
    <t>캐주얼복</t>
  </si>
  <si>
    <t>신발</t>
  </si>
  <si>
    <t>(%)</t>
    <phoneticPr fontId="2" type="noConversion"/>
  </si>
  <si>
    <t>(개)</t>
    <phoneticPr fontId="2" type="noConversion"/>
  </si>
  <si>
    <t>(원)</t>
    <phoneticPr fontId="2" type="noConversion"/>
  </si>
  <si>
    <t>신발</t>
    <phoneticPr fontId="2" type="noConversion"/>
  </si>
  <si>
    <t>(전체)</t>
    <phoneticPr fontId="2" type="noConversion"/>
  </si>
  <si>
    <t>전체</t>
    <phoneticPr fontId="2" type="noConversion"/>
  </si>
  <si>
    <t>캐주얼복</t>
    <phoneticPr fontId="2" type="noConversion"/>
  </si>
  <si>
    <t>티셔츠</t>
  </si>
  <si>
    <t>셔츠/남방</t>
  </si>
  <si>
    <t>스웨터</t>
  </si>
  <si>
    <t>가디건</t>
  </si>
  <si>
    <t>코트</t>
    <phoneticPr fontId="2" type="noConversion"/>
  </si>
  <si>
    <t>점퍼/사파리</t>
    <phoneticPr fontId="2" type="noConversion"/>
  </si>
  <si>
    <t>치마</t>
    <phoneticPr fontId="2" type="noConversion"/>
  </si>
  <si>
    <t>기타</t>
    <phoneticPr fontId="2" type="noConversion"/>
  </si>
  <si>
    <t>백화점</t>
    <phoneticPr fontId="2" type="noConversion"/>
  </si>
  <si>
    <t>복합쇼핑몰</t>
    <phoneticPr fontId="2" type="noConversion"/>
  </si>
  <si>
    <t>비율</t>
    <phoneticPr fontId="2" type="noConversion"/>
  </si>
  <si>
    <t>조사표본특성</t>
    <phoneticPr fontId="2" type="noConversion"/>
  </si>
  <si>
    <t>1. 인구통계적 특성</t>
    <phoneticPr fontId="2" type="noConversion"/>
  </si>
  <si>
    <t>1. 인구통계적 특성</t>
    <phoneticPr fontId="2" type="noConversion"/>
  </si>
  <si>
    <t>구분</t>
    <phoneticPr fontId="2" type="noConversion"/>
  </si>
  <si>
    <t>비중</t>
    <phoneticPr fontId="2" type="noConversion"/>
  </si>
  <si>
    <t>남성</t>
    <phoneticPr fontId="2" type="noConversion"/>
  </si>
  <si>
    <t>여성</t>
    <phoneticPr fontId="2" type="noConversion"/>
  </si>
  <si>
    <t>(남성)</t>
    <phoneticPr fontId="2" type="noConversion"/>
  </si>
  <si>
    <t>(여성)</t>
    <phoneticPr fontId="2" type="noConversion"/>
  </si>
  <si>
    <t>(지역)</t>
    <phoneticPr fontId="2" type="noConversion"/>
  </si>
  <si>
    <t>(단위 :  %)</t>
    <phoneticPr fontId="2" type="noConversion"/>
  </si>
  <si>
    <t>(단위 :  개)</t>
    <phoneticPr fontId="2" type="noConversion"/>
  </si>
  <si>
    <t>3. 캐주얼복</t>
    <phoneticPr fontId="2" type="noConversion"/>
  </si>
  <si>
    <t>구입금액</t>
    <phoneticPr fontId="2" type="noConversion"/>
  </si>
  <si>
    <t>브랜드명</t>
    <phoneticPr fontId="2" type="noConversion"/>
  </si>
  <si>
    <t>색상</t>
    <phoneticPr fontId="2" type="noConversion"/>
  </si>
  <si>
    <t>유행성</t>
    <phoneticPr fontId="2" type="noConversion"/>
  </si>
  <si>
    <t>소재</t>
    <phoneticPr fontId="2" type="noConversion"/>
  </si>
  <si>
    <t>품질</t>
    <phoneticPr fontId="2" type="noConversion"/>
  </si>
  <si>
    <t>기능성</t>
    <phoneticPr fontId="2" type="noConversion"/>
  </si>
  <si>
    <t>전체</t>
    <phoneticPr fontId="2" type="noConversion"/>
  </si>
  <si>
    <t>바지정장</t>
  </si>
  <si>
    <t>치마정장</t>
  </si>
  <si>
    <t>치마/큐롯</t>
  </si>
  <si>
    <t>트레이닝수트</t>
  </si>
  <si>
    <t>수영복</t>
  </si>
  <si>
    <t>스키복</t>
  </si>
  <si>
    <t>윈드브레이커</t>
  </si>
  <si>
    <t>윈드브레이커</t>
    <phoneticPr fontId="2" type="noConversion"/>
  </si>
  <si>
    <t>런닝</t>
  </si>
  <si>
    <t>내복</t>
  </si>
  <si>
    <t>잠옷</t>
  </si>
  <si>
    <t>외출용 샌들/슬리퍼</t>
  </si>
  <si>
    <t>부츠/워커/레인부츠</t>
  </si>
  <si>
    <t>등산화</t>
  </si>
  <si>
    <t>골프화</t>
  </si>
  <si>
    <t>실내화</t>
  </si>
  <si>
    <t>코트</t>
  </si>
  <si>
    <t>점퍼/사파리</t>
  </si>
  <si>
    <t>정장세트</t>
  </si>
  <si>
    <t>셔츠/블라우스</t>
  </si>
  <si>
    <t>바지정장</t>
    <phoneticPr fontId="2" type="noConversion"/>
  </si>
  <si>
    <t>갤럭시</t>
  </si>
  <si>
    <t>타임</t>
  </si>
  <si>
    <t>파크랜드</t>
  </si>
  <si>
    <t>로가디스</t>
  </si>
  <si>
    <t>닥스</t>
  </si>
  <si>
    <t>지오지아</t>
  </si>
  <si>
    <t>지이크</t>
  </si>
  <si>
    <t>캠브리지멤버스</t>
  </si>
  <si>
    <t>마에스트로</t>
  </si>
  <si>
    <t>레노마</t>
  </si>
  <si>
    <t>바쏘</t>
  </si>
  <si>
    <t>트루젠</t>
  </si>
  <si>
    <t>지오다노</t>
  </si>
  <si>
    <t>톰브라운</t>
  </si>
  <si>
    <t>휴고보스</t>
  </si>
  <si>
    <t>크로커다일</t>
  </si>
  <si>
    <t>5. 골프웨어</t>
    <phoneticPr fontId="2" type="noConversion"/>
  </si>
  <si>
    <t>7. 이너웨어</t>
    <phoneticPr fontId="2" type="noConversion"/>
  </si>
  <si>
    <t>8. 유아동복</t>
    <phoneticPr fontId="2" type="noConversion"/>
  </si>
  <si>
    <t>9. 신발</t>
    <phoneticPr fontId="2" type="noConversion"/>
  </si>
  <si>
    <t>10. 가방/지갑</t>
    <phoneticPr fontId="2" type="noConversion"/>
  </si>
  <si>
    <t>11. 기타잡화</t>
    <phoneticPr fontId="2" type="noConversion"/>
  </si>
  <si>
    <t xml:space="preserve"> </t>
    <phoneticPr fontId="2" type="noConversion"/>
  </si>
  <si>
    <t>골프웨어</t>
    <phoneticPr fontId="2" type="noConversion"/>
  </si>
  <si>
    <t>이너웨어</t>
    <phoneticPr fontId="2" type="noConversion"/>
  </si>
  <si>
    <t>유아동복</t>
    <phoneticPr fontId="2" type="noConversion"/>
  </si>
  <si>
    <t>기타잡화</t>
    <phoneticPr fontId="2" type="noConversion"/>
  </si>
  <si>
    <t>가방/지갑</t>
    <phoneticPr fontId="2" type="noConversion"/>
  </si>
  <si>
    <t>1. 패션제품 인지 및 인식</t>
    <phoneticPr fontId="2" type="noConversion"/>
  </si>
  <si>
    <t>2. 중고 패션제품 구매 경험 및 인식</t>
    <phoneticPr fontId="2" type="noConversion"/>
  </si>
  <si>
    <t>3. 의류 처리(기부, 판매, 폐기 등) 경험</t>
    <phoneticPr fontId="2" type="noConversion"/>
  </si>
  <si>
    <t>아울렛</t>
    <phoneticPr fontId="2" type="noConversion"/>
  </si>
  <si>
    <t>브랜드로드샵/가두점</t>
    <phoneticPr fontId="2" type="noConversion"/>
  </si>
  <si>
    <t>대형할인마트</t>
    <phoneticPr fontId="2" type="noConversion"/>
  </si>
  <si>
    <t>오픈마켓</t>
    <phoneticPr fontId="2" type="noConversion"/>
  </si>
  <si>
    <t>면세점</t>
    <phoneticPr fontId="2" type="noConversion"/>
  </si>
  <si>
    <t>오프라인 유통채널</t>
    <phoneticPr fontId="2" type="noConversion"/>
  </si>
  <si>
    <t>종합쇼핑몰</t>
    <phoneticPr fontId="2" type="noConversion"/>
  </si>
  <si>
    <t>홈쇼핑</t>
    <phoneticPr fontId="2" type="noConversion"/>
  </si>
  <si>
    <t>SNS</t>
  </si>
  <si>
    <t>SNS</t>
    <phoneticPr fontId="2" type="noConversion"/>
  </si>
  <si>
    <t>온라인 유통채널</t>
    <phoneticPr fontId="2" type="noConversion"/>
  </si>
  <si>
    <t>디자인/스타일</t>
    <phoneticPr fontId="2" type="noConversion"/>
  </si>
  <si>
    <t>관리 편리성</t>
    <phoneticPr fontId="2" type="noConversion"/>
  </si>
  <si>
    <t>가격 적절성</t>
    <phoneticPr fontId="2" type="noConversion"/>
  </si>
  <si>
    <t>브랜드의 유명도</t>
    <phoneticPr fontId="2" type="noConversion"/>
  </si>
  <si>
    <t>국산제품 여부</t>
    <phoneticPr fontId="2" type="noConversion"/>
  </si>
  <si>
    <t>티셔츠/스웨트셔츠</t>
  </si>
  <si>
    <t>(2) 제품품목별 구매율</t>
    <phoneticPr fontId="2" type="noConversion"/>
  </si>
  <si>
    <t>품목별 평균</t>
    <phoneticPr fontId="2" type="noConversion"/>
  </si>
  <si>
    <t>구매개수</t>
    <phoneticPr fontId="2" type="noConversion"/>
  </si>
  <si>
    <t>(4) 벌당 평균 구입금액</t>
    <phoneticPr fontId="2" type="noConversion"/>
  </si>
  <si>
    <t>(3) 제품품목별 평균 구매개수</t>
    <phoneticPr fontId="2" type="noConversion"/>
  </si>
  <si>
    <t>상기도</t>
    <phoneticPr fontId="2" type="noConversion"/>
  </si>
  <si>
    <t>TV 방송</t>
  </si>
  <si>
    <t>패션잡지</t>
  </si>
  <si>
    <t>패션매장</t>
  </si>
  <si>
    <t>포털사이트</t>
  </si>
  <si>
    <t>2. 패션제품 구매 선호 채널 및 매장 유형</t>
    <phoneticPr fontId="2" type="noConversion"/>
  </si>
  <si>
    <t>(1) 중고 패션제품 구매 경험</t>
    <phoneticPr fontId="2" type="noConversion"/>
  </si>
  <si>
    <t>경험 있음</t>
    <phoneticPr fontId="2" type="noConversion"/>
  </si>
  <si>
    <t>경험 없음</t>
    <phoneticPr fontId="2" type="noConversion"/>
  </si>
  <si>
    <t>(2) 중고 패션제품 구매 경로</t>
    <phoneticPr fontId="2" type="noConversion"/>
  </si>
  <si>
    <t>빈티지샵</t>
    <phoneticPr fontId="2" type="noConversion"/>
  </si>
  <si>
    <t>리셀 플랫폼</t>
    <phoneticPr fontId="2" type="noConversion"/>
  </si>
  <si>
    <t>개인 간 중고거래 플랫폼</t>
    <phoneticPr fontId="2" type="noConversion"/>
  </si>
  <si>
    <t>지인 간 거래</t>
    <phoneticPr fontId="2" type="noConversion"/>
  </si>
  <si>
    <t xml:space="preserve">의류 폐기함에 투입 </t>
  </si>
  <si>
    <t>기부</t>
  </si>
  <si>
    <t>무료 나눔</t>
  </si>
  <si>
    <t>(단위 : 개, 복수응답)</t>
    <phoneticPr fontId="2" type="noConversion"/>
  </si>
  <si>
    <t>없음</t>
    <phoneticPr fontId="2" type="noConversion"/>
  </si>
  <si>
    <t>(단위 : %, 복수응답)</t>
    <phoneticPr fontId="2" type="noConversion"/>
  </si>
  <si>
    <t>(단위 :  %, 복수응답)</t>
    <phoneticPr fontId="2" type="noConversion"/>
  </si>
  <si>
    <t>(3) 중고 패션제품 구매 이유</t>
    <phoneticPr fontId="2" type="noConversion"/>
  </si>
  <si>
    <t>(4) 중고 패션제품 거래 인식</t>
    <phoneticPr fontId="2" type="noConversion"/>
  </si>
  <si>
    <t>-1. 중고 패션제품 거래 의향</t>
    <phoneticPr fontId="2" type="noConversion"/>
  </si>
  <si>
    <t>종합 결과</t>
  </si>
  <si>
    <t>전혀 그렇지 않다</t>
  </si>
  <si>
    <t>그렇지 않다</t>
  </si>
  <si>
    <t>보통이다</t>
  </si>
  <si>
    <t>그렇다</t>
  </si>
  <si>
    <t>매우 그렇다</t>
  </si>
  <si>
    <t>보통</t>
  </si>
  <si>
    <t>그런 편</t>
  </si>
  <si>
    <t>(단위 :  %, 점)</t>
    <phoneticPr fontId="2" type="noConversion"/>
  </si>
  <si>
    <t>평균 : (5점)</t>
    <phoneticPr fontId="2" type="noConversion"/>
  </si>
  <si>
    <t>-2. 중고 패션제품 거래 플랫폼 이용 인식</t>
    <phoneticPr fontId="2" type="noConversion"/>
  </si>
  <si>
    <t>(1) 의류 처리(기부, 판매, 폐기 등) 경험</t>
    <phoneticPr fontId="2" type="noConversion"/>
  </si>
  <si>
    <t>(2) 의류 처리 방식</t>
    <phoneticPr fontId="2" type="noConversion"/>
  </si>
  <si>
    <t>(3) 복종별 의류 처리 개수 및 비율</t>
    <phoneticPr fontId="2" type="noConversion"/>
  </si>
  <si>
    <t>16~19세</t>
  </si>
  <si>
    <t>20대</t>
  </si>
  <si>
    <t>30대</t>
  </si>
  <si>
    <t>40대</t>
  </si>
  <si>
    <t>50대</t>
  </si>
  <si>
    <t>60대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</si>
  <si>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</si>
  <si>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</si>
  <si>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</si>
  <si>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</si>
  <si>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</si>
  <si>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</si>
  <si>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</si>
  <si>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</si>
  <si>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</si>
  <si>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</si>
  <si>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(권역)</t>
    <phoneticPr fontId="2" type="noConversion"/>
  </si>
  <si>
    <t>수도권</t>
  </si>
  <si>
    <t>비수도권</t>
  </si>
  <si>
    <t>(수도권/비수도권)</t>
    <phoneticPr fontId="2" type="noConversion"/>
  </si>
  <si>
    <t>300만 원 미만</t>
  </si>
  <si>
    <t>3-500만 원 미만</t>
  </si>
  <si>
    <t>5-700만 원 미만</t>
  </si>
  <si>
    <t>700만 원 이상</t>
  </si>
  <si>
    <t>권역</t>
    <phoneticPr fontId="2" type="noConversion"/>
  </si>
  <si>
    <t>강원/제주권</t>
  </si>
  <si>
    <t>충청권</t>
  </si>
  <si>
    <t>전라권</t>
  </si>
  <si>
    <t>경상권</t>
  </si>
  <si>
    <t>수도권/
비수도권</t>
    <phoneticPr fontId="2" type="noConversion"/>
  </si>
  <si>
    <t>1명</t>
  </si>
  <si>
    <t>2명</t>
  </si>
  <si>
    <t>3명</t>
  </si>
  <si>
    <t>4명 이상</t>
  </si>
  <si>
    <t>가구원 수</t>
    <phoneticPr fontId="2" type="noConversion"/>
  </si>
  <si>
    <t>16~19세 남성</t>
  </si>
  <si>
    <t>20대 남성</t>
  </si>
  <si>
    <t>30대 남성</t>
  </si>
  <si>
    <t>40대 남성</t>
  </si>
  <si>
    <t>50대 남성</t>
  </si>
  <si>
    <t>60대 남성</t>
  </si>
  <si>
    <t>16~19세 여성</t>
  </si>
  <si>
    <t>20대 여성</t>
  </si>
  <si>
    <t>30대 여성</t>
  </si>
  <si>
    <t>40대 여성</t>
  </si>
  <si>
    <t>50대 여성</t>
  </si>
  <si>
    <t>60대 여성</t>
  </si>
  <si>
    <t>월 평균 
가구소득</t>
    <phoneticPr fontId="2" type="noConversion"/>
  </si>
  <si>
    <t>성 BY 연령</t>
    <phoneticPr fontId="2" type="noConversion"/>
  </si>
  <si>
    <t>3-500만 원 미만</t>
    <phoneticPr fontId="2" type="noConversion"/>
  </si>
  <si>
    <t>(단위 :  만원)</t>
    <phoneticPr fontId="2" type="noConversion"/>
  </si>
  <si>
    <t>300만원 미만</t>
  </si>
  <si>
    <t>3-500만원 미만</t>
  </si>
  <si>
    <t>5-700만원 미만</t>
  </si>
  <si>
    <t>700만원 이상</t>
  </si>
  <si>
    <t>조끼/뷔스티에</t>
  </si>
  <si>
    <t>블라우스/셔츠</t>
  </si>
  <si>
    <t>집업/후드집업</t>
  </si>
  <si>
    <t>레인웨어</t>
  </si>
  <si>
    <t>팬티/브리프/트렁크</t>
  </si>
  <si>
    <t>팬티/브리프/
트렁크</t>
    <phoneticPr fontId="2" type="noConversion"/>
  </si>
  <si>
    <t>4. 스포츠의류</t>
    <phoneticPr fontId="2" type="noConversion"/>
  </si>
  <si>
    <t>6. 아웃도어</t>
    <phoneticPr fontId="2" type="noConversion"/>
  </si>
  <si>
    <t>후드집업/
티셔츠</t>
    <phoneticPr fontId="2" type="noConversion"/>
  </si>
  <si>
    <t>정장용 가죽구두</t>
  </si>
  <si>
    <t>캐주얼용 가죽구두</t>
  </si>
  <si>
    <t>캐주얼스포츠 샌들/슬리퍼</t>
  </si>
  <si>
    <t>부츠/워커/
레인부츠</t>
    <phoneticPr fontId="2" type="noConversion"/>
  </si>
  <si>
    <t>외출용 샌들/
슬리퍼</t>
    <phoneticPr fontId="2" type="noConversion"/>
  </si>
  <si>
    <t>정장용 
가죽구두</t>
    <phoneticPr fontId="2" type="noConversion"/>
  </si>
  <si>
    <t>캐주얼용 
가죽구두</t>
    <phoneticPr fontId="2" type="noConversion"/>
  </si>
  <si>
    <t>운동화/스니커즈/워킹화(가죽/레자)</t>
    <phoneticPr fontId="2" type="noConversion"/>
  </si>
  <si>
    <t>운동화/스니커즈/워킹화(면/원단)</t>
    <phoneticPr fontId="2" type="noConversion"/>
  </si>
  <si>
    <t>여성지갑</t>
  </si>
  <si>
    <t>남성지갑</t>
  </si>
  <si>
    <t>머플러/스카프/숄</t>
  </si>
  <si>
    <t>모자/두건</t>
  </si>
  <si>
    <t>넥타이</t>
  </si>
  <si>
    <t>벨트</t>
  </si>
  <si>
    <t>양말/스타킹</t>
  </si>
  <si>
    <t>머플러/
스카프/숄</t>
    <phoneticPr fontId="2" type="noConversion"/>
  </si>
  <si>
    <t>여성가방</t>
  </si>
  <si>
    <t>여성가방</t>
    <phoneticPr fontId="2" type="noConversion"/>
  </si>
  <si>
    <t>남성가방</t>
  </si>
  <si>
    <t>남성가방</t>
    <phoneticPr fontId="2" type="noConversion"/>
  </si>
  <si>
    <t>기타 스포츠특수화</t>
    <phoneticPr fontId="2" type="noConversion"/>
  </si>
  <si>
    <t>기타 
스포츠특수화</t>
    <phoneticPr fontId="2" type="noConversion"/>
  </si>
  <si>
    <t>1. 남성복(정장)</t>
    <phoneticPr fontId="2" type="noConversion"/>
  </si>
  <si>
    <t>2. 여성복(정장)</t>
    <phoneticPr fontId="2" type="noConversion"/>
  </si>
  <si>
    <t>남성복(정장)</t>
  </si>
  <si>
    <t>남성복(정장)</t>
    <phoneticPr fontId="2" type="noConversion"/>
  </si>
  <si>
    <t>여성복(정장)</t>
  </si>
  <si>
    <t>여성복(정장)</t>
    <phoneticPr fontId="2" type="noConversion"/>
  </si>
  <si>
    <t>스포츠의류</t>
  </si>
  <si>
    <t>스포츠의류</t>
    <phoneticPr fontId="2" type="noConversion"/>
  </si>
  <si>
    <t>아웃도어</t>
  </si>
  <si>
    <t>아웃도어</t>
    <phoneticPr fontId="2" type="noConversion"/>
  </si>
  <si>
    <t>골프웨어</t>
  </si>
  <si>
    <t>이너웨어</t>
  </si>
  <si>
    <t>유아동복</t>
  </si>
  <si>
    <t>가방/지갑</t>
  </si>
  <si>
    <t>기타잡화</t>
  </si>
  <si>
    <r>
      <t>남성복</t>
    </r>
    <r>
      <rPr>
        <sz val="8"/>
        <color theme="2" tint="-0.499984740745262"/>
        <rFont val="맑은 고딕"/>
        <family val="3"/>
        <charset val="129"/>
        <scheme val="minor"/>
      </rPr>
      <t>(정장)</t>
    </r>
    <phoneticPr fontId="2" type="noConversion"/>
  </si>
  <si>
    <r>
      <t>여성복</t>
    </r>
    <r>
      <rPr>
        <sz val="8"/>
        <color theme="2" tint="-0.499984740745262"/>
        <rFont val="맑은 고딕"/>
        <family val="3"/>
        <charset val="129"/>
        <scheme val="minor"/>
      </rPr>
      <t>(정장)</t>
    </r>
    <phoneticPr fontId="2" type="noConversion"/>
  </si>
  <si>
    <t>점퍼</t>
  </si>
  <si>
    <t>점퍼</t>
    <phoneticPr fontId="2" type="noConversion"/>
  </si>
  <si>
    <t>슈트</t>
  </si>
  <si>
    <t>슈트</t>
    <phoneticPr fontId="2" type="noConversion"/>
  </si>
  <si>
    <t>셔츠/남방</t>
    <phoneticPr fontId="2" type="noConversion"/>
  </si>
  <si>
    <t>스웨터</t>
    <phoneticPr fontId="2" type="noConversion"/>
  </si>
  <si>
    <t>가디건</t>
    <phoneticPr fontId="2" type="noConversion"/>
  </si>
  <si>
    <t>치마정장</t>
    <phoneticPr fontId="2" type="noConversion"/>
  </si>
  <si>
    <t>티셔츠</t>
    <phoneticPr fontId="2" type="noConversion"/>
  </si>
  <si>
    <t>바지</t>
    <phoneticPr fontId="2" type="noConversion"/>
  </si>
  <si>
    <t>수영복</t>
    <phoneticPr fontId="2" type="noConversion"/>
  </si>
  <si>
    <t>내복</t>
    <phoneticPr fontId="2" type="noConversion"/>
  </si>
  <si>
    <t>잠옷</t>
    <phoneticPr fontId="2" type="noConversion"/>
  </si>
  <si>
    <t>실내복</t>
  </si>
  <si>
    <t>실내복</t>
    <phoneticPr fontId="2" type="noConversion"/>
  </si>
  <si>
    <t>후드집업/티셔츠</t>
    <phoneticPr fontId="2" type="noConversion"/>
  </si>
  <si>
    <t>여행용 가방</t>
  </si>
  <si>
    <t>여행용 가방</t>
    <phoneticPr fontId="2" type="noConversion"/>
  </si>
  <si>
    <t>티셔츠/
스웨트셔츠</t>
    <phoneticPr fontId="2" type="noConversion"/>
  </si>
  <si>
    <t>패션전문 
쇼핑몰</t>
    <phoneticPr fontId="2" type="noConversion"/>
  </si>
  <si>
    <t>패션 브랜드 
자사몰</t>
    <phoneticPr fontId="2" type="noConversion"/>
  </si>
  <si>
    <t>전통시장/
보세/개인매장</t>
    <phoneticPr fontId="2" type="noConversion"/>
  </si>
  <si>
    <t>(단위 :  건, %)</t>
    <phoneticPr fontId="2" type="noConversion"/>
  </si>
  <si>
    <t>빈도</t>
    <phoneticPr fontId="2" type="noConversion"/>
  </si>
  <si>
    <t>인디안</t>
  </si>
  <si>
    <t>빈폴</t>
  </si>
  <si>
    <t>코오롱</t>
  </si>
  <si>
    <t>무신사스탠다드</t>
  </si>
  <si>
    <t>STCO</t>
  </si>
  <si>
    <t>폴로랄프로렌</t>
  </si>
  <si>
    <t>구찌</t>
  </si>
  <si>
    <t>조르지오아르마니</t>
  </si>
  <si>
    <t>헤지스</t>
  </si>
  <si>
    <t>자라</t>
  </si>
  <si>
    <t>유니클로</t>
  </si>
  <si>
    <t>버버리</t>
  </si>
  <si>
    <t>보스</t>
  </si>
  <si>
    <t>TNGT</t>
  </si>
  <si>
    <t>로엠</t>
  </si>
  <si>
    <t>샤넬</t>
  </si>
  <si>
    <t>잇미샤</t>
  </si>
  <si>
    <t>조이너스</t>
  </si>
  <si>
    <t>쉬즈미스</t>
  </si>
  <si>
    <t>올리비아로렌</t>
  </si>
  <si>
    <t>미쏘</t>
  </si>
  <si>
    <t>SOUP</t>
  </si>
  <si>
    <t>지센</t>
  </si>
  <si>
    <t>JJ지고트</t>
  </si>
  <si>
    <t>리스트</t>
  </si>
  <si>
    <t>디올</t>
  </si>
  <si>
    <t>온앤온</t>
  </si>
  <si>
    <t>꼼빠니아</t>
  </si>
  <si>
    <t>라인</t>
  </si>
  <si>
    <t>SYSTEM</t>
  </si>
  <si>
    <t>마인</t>
  </si>
  <si>
    <t>띠어리</t>
  </si>
  <si>
    <t>시슬리</t>
  </si>
  <si>
    <t>나이키</t>
  </si>
  <si>
    <t>아디다스</t>
  </si>
  <si>
    <t>탑텐</t>
  </si>
  <si>
    <t>스파오</t>
  </si>
  <si>
    <t>라코스테</t>
  </si>
  <si>
    <t>휠라</t>
  </si>
  <si>
    <t>폴햄</t>
  </si>
  <si>
    <t>뉴발란스</t>
  </si>
  <si>
    <t>GUESS</t>
  </si>
  <si>
    <t>뱅뱅</t>
  </si>
  <si>
    <t>타미힐피거</t>
  </si>
  <si>
    <t>푸마</t>
  </si>
  <si>
    <t>에잇세컨즈</t>
  </si>
  <si>
    <t>H&amp;M</t>
  </si>
  <si>
    <t>리바이스</t>
  </si>
  <si>
    <t>노스페이스</t>
  </si>
  <si>
    <t>리복</t>
  </si>
  <si>
    <t>행텐</t>
  </si>
  <si>
    <t>캘빈클라인</t>
  </si>
  <si>
    <t>K2</t>
  </si>
  <si>
    <t>코오롱스포츠</t>
  </si>
  <si>
    <t>아식스</t>
  </si>
  <si>
    <t>언더아머</t>
  </si>
  <si>
    <t>프로스펙스</t>
  </si>
  <si>
    <t>네파</t>
  </si>
  <si>
    <t>블랙야크</t>
  </si>
  <si>
    <t>아이더</t>
  </si>
  <si>
    <t>디스커버리</t>
  </si>
  <si>
    <t>데상트</t>
  </si>
  <si>
    <t>르까프</t>
  </si>
  <si>
    <t>젝시믹스</t>
  </si>
  <si>
    <t>내셔널지오그래픽</t>
  </si>
  <si>
    <t>안다르</t>
  </si>
  <si>
    <t>룰루레몬</t>
  </si>
  <si>
    <t>르꼬끄</t>
  </si>
  <si>
    <t>스케쳐스</t>
  </si>
  <si>
    <t>컬럼비아</t>
  </si>
  <si>
    <t>밀레</t>
  </si>
  <si>
    <t>미즈노</t>
  </si>
  <si>
    <t>콜핑</t>
  </si>
  <si>
    <t>착용감, 맞음새, 
활동성</t>
    <phoneticPr fontId="2" type="noConversion"/>
  </si>
  <si>
    <t>가지고 있는 
옷들과의 조화</t>
    <phoneticPr fontId="2" type="noConversion"/>
  </si>
  <si>
    <t>패션 관련 
커뮤니티</t>
    <phoneticPr fontId="2" type="noConversion"/>
  </si>
  <si>
    <t>연예인, 
유명인</t>
    <phoneticPr fontId="2" type="noConversion"/>
  </si>
  <si>
    <t>가족, 친구, 
주변 지인 등</t>
    <phoneticPr fontId="2" type="noConversion"/>
  </si>
  <si>
    <t>패션매장 
판매원</t>
    <phoneticPr fontId="2" type="noConversion"/>
  </si>
  <si>
    <t>패션브랜드 
광고</t>
    <phoneticPr fontId="2" type="noConversion"/>
  </si>
  <si>
    <t>백화점/유통점 
정보지</t>
    <phoneticPr fontId="2" type="noConversion"/>
  </si>
  <si>
    <t>거리에 다니는 
사람들</t>
    <phoneticPr fontId="2" type="noConversion"/>
  </si>
  <si>
    <t>브랜드로드샵/
가두점</t>
    <phoneticPr fontId="2" type="noConversion"/>
  </si>
  <si>
    <t>새 제품에 
비해 가격이 
저렴해서</t>
    <phoneticPr fontId="2" type="noConversion"/>
  </si>
  <si>
    <t>새 제품에 
비해 희소해서</t>
    <phoneticPr fontId="2" type="noConversion"/>
  </si>
  <si>
    <t>구매가 
편리해서</t>
    <phoneticPr fontId="2" type="noConversion"/>
  </si>
  <si>
    <t>새 제품을 
구할 수 
없어서</t>
    <phoneticPr fontId="2" type="noConversion"/>
  </si>
  <si>
    <t>평균 : (100점)</t>
    <phoneticPr fontId="2" type="noConversion"/>
  </si>
  <si>
    <t>그렇지 
않은 편</t>
    <phoneticPr fontId="2" type="noConversion"/>
  </si>
  <si>
    <t>중고 의류 
판매</t>
    <phoneticPr fontId="2" type="noConversion"/>
  </si>
  <si>
    <t>마뗑킴</t>
  </si>
  <si>
    <t>호카</t>
  </si>
  <si>
    <t>스투시</t>
  </si>
  <si>
    <t>스노우피크</t>
  </si>
  <si>
    <t>미우미우</t>
  </si>
  <si>
    <t>아울렛</t>
  </si>
  <si>
    <t>쿠팡</t>
  </si>
  <si>
    <t>매장</t>
  </si>
  <si>
    <t>모다아울렛</t>
  </si>
  <si>
    <t>홈플러스</t>
  </si>
  <si>
    <t>쇼핑몰</t>
  </si>
  <si>
    <t>시장</t>
  </si>
  <si>
    <t>지그재그</t>
  </si>
  <si>
    <t>마트</t>
  </si>
  <si>
    <t>에이블리</t>
  </si>
  <si>
    <t>마리오아울렛</t>
  </si>
  <si>
    <t>면세점</t>
  </si>
  <si>
    <t>G마켓</t>
  </si>
  <si>
    <t>SSG</t>
  </si>
  <si>
    <t>퀸잇</t>
  </si>
  <si>
    <t>더블유컨셉</t>
  </si>
  <si>
    <t>GS</t>
  </si>
  <si>
    <t>패션플러스</t>
  </si>
  <si>
    <t>29cm</t>
  </si>
  <si>
    <t>알리</t>
  </si>
  <si>
    <t>하프클럽</t>
  </si>
  <si>
    <t>공식홈</t>
  </si>
  <si>
    <t>SSF</t>
  </si>
  <si>
    <t>CJ</t>
  </si>
  <si>
    <t>하이버</t>
  </si>
  <si>
    <t>라이브커머스</t>
    <phoneticPr fontId="2" type="noConversion"/>
  </si>
  <si>
    <t>리셀 플랫폼</t>
  </si>
  <si>
    <t xml:space="preserve">종량제 봉투에 폐기 </t>
    <phoneticPr fontId="2" type="noConversion"/>
  </si>
  <si>
    <t>-1. (본인 착용) 복종별 평균 의류 처리 비율</t>
    <phoneticPr fontId="2" type="noConversion"/>
  </si>
  <si>
    <t>-2. (본인 착용) 복종별 평균 의류 처리 개수</t>
    <phoneticPr fontId="2" type="noConversion"/>
  </si>
  <si>
    <t>-3. (가족 착용) 복종별 평균 의류 처리 비율</t>
    <phoneticPr fontId="2" type="noConversion"/>
  </si>
  <si>
    <t>-4. (가족 착용) 복종별 평균 의류 처리 개수</t>
    <phoneticPr fontId="2" type="noConversion"/>
  </si>
  <si>
    <t>대도시</t>
  </si>
  <si>
    <t>중소도시</t>
  </si>
  <si>
    <t>읍/면/리</t>
  </si>
  <si>
    <t>미혼</t>
  </si>
  <si>
    <t>기혼</t>
  </si>
  <si>
    <t>미혼 남성</t>
  </si>
  <si>
    <t>기혼 남성</t>
  </si>
  <si>
    <t>미혼 여성</t>
  </si>
  <si>
    <t>기혼 여성</t>
  </si>
  <si>
    <t>자녀 있음</t>
  </si>
  <si>
    <t>자녀 없음</t>
  </si>
  <si>
    <t>유자녀 남성</t>
  </si>
  <si>
    <t>무자녀 남성</t>
  </si>
  <si>
    <t>유자녀 여성</t>
  </si>
  <si>
    <t>무자녀 여성</t>
  </si>
  <si>
    <t>미성년 자녀 있음</t>
  </si>
  <si>
    <t>미성년 자녀 없음</t>
  </si>
  <si>
    <t>미성년 유자녀 남성</t>
  </si>
  <si>
    <t>미성년 무자녀 남성</t>
  </si>
  <si>
    <t>미성년 유자녀 여성</t>
  </si>
  <si>
    <t>미성년 무자녀 여성</t>
  </si>
  <si>
    <t>1세대 가구</t>
  </si>
  <si>
    <t>2세대 가구</t>
  </si>
  <si>
    <t>3세대 가구</t>
  </si>
  <si>
    <t>4세대 가구 이상</t>
  </si>
  <si>
    <t>200만원 미만</t>
  </si>
  <si>
    <t>200~300만원 미만</t>
  </si>
  <si>
    <t>300~400만원 미만</t>
  </si>
  <si>
    <t>400~500만원 미만</t>
  </si>
  <si>
    <t>500~600만원 미만</t>
  </si>
  <si>
    <t>600~700만원 미만</t>
  </si>
  <si>
    <t>700~800만원 미만</t>
  </si>
  <si>
    <t>800~900만원 미만</t>
  </si>
  <si>
    <t>900~1,000만원 미만</t>
  </si>
  <si>
    <t>1,000만원 이상</t>
  </si>
  <si>
    <t>고등학교 졸업 이하</t>
  </si>
  <si>
    <t>대학교 졸업</t>
  </si>
  <si>
    <t>대학원 졸업</t>
  </si>
  <si>
    <t>자영업</t>
  </si>
  <si>
    <t>화이트칼라</t>
  </si>
  <si>
    <t>블루칼라</t>
  </si>
  <si>
    <t>주부</t>
  </si>
  <si>
    <t>학생</t>
  </si>
  <si>
    <t>무직/퇴직</t>
  </si>
  <si>
    <t>혼인상태</t>
  </si>
  <si>
    <t>자녀 유무</t>
  </si>
  <si>
    <t>최종학력</t>
  </si>
  <si>
    <t>직업</t>
  </si>
  <si>
    <t>가구원 수</t>
  </si>
  <si>
    <t>세대 구성</t>
  </si>
  <si>
    <t>지역특성</t>
  </si>
  <si>
    <t>성별 
혼인상태</t>
    <phoneticPr fontId="2" type="noConversion"/>
  </si>
  <si>
    <t>성별 
자녀 유무</t>
    <phoneticPr fontId="2" type="noConversion"/>
  </si>
  <si>
    <t>미성년 
자녀 유무</t>
    <phoneticPr fontId="2" type="noConversion"/>
  </si>
  <si>
    <t>성별 
미성년 
자녀 유무</t>
    <phoneticPr fontId="2" type="noConversion"/>
  </si>
  <si>
    <t>월 평균 
가구소득1</t>
    <phoneticPr fontId="2" type="noConversion"/>
  </si>
  <si>
    <t>월 평균 
가구소득2</t>
    <phoneticPr fontId="2" type="noConversion"/>
  </si>
  <si>
    <t>(5) 패션제품 주 구매장소(1순위)</t>
    <phoneticPr fontId="2" type="noConversion"/>
  </si>
  <si>
    <t>(6) 패션제품 주 구매장소(1+2+3순위)</t>
    <phoneticPr fontId="2" type="noConversion"/>
  </si>
  <si>
    <t>(7) 패션제품 주 고려 요소(1순위)</t>
    <phoneticPr fontId="2" type="noConversion"/>
  </si>
  <si>
    <t>(8) 패션제품 주 고려 요소(1+2+3순위)</t>
    <phoneticPr fontId="2" type="noConversion"/>
  </si>
  <si>
    <t>(2) 패션 정보 습득 매체(1+2+3순위)</t>
    <phoneticPr fontId="2" type="noConversion"/>
  </si>
  <si>
    <t>(1) 패션 정보 습득 매체(1순위)</t>
    <phoneticPr fontId="2" type="noConversion"/>
  </si>
  <si>
    <t>(3) 패션제품 구매 결정 영향 매체(1순위)</t>
    <phoneticPr fontId="2" type="noConversion"/>
  </si>
  <si>
    <t>(4) 패션제품 구매 결정 영향 매체(1+2+3순위)</t>
    <phoneticPr fontId="2" type="noConversion"/>
  </si>
  <si>
    <t>(1) 선호하는 오프라인 매장(1순위)</t>
    <phoneticPr fontId="2" type="noConversion"/>
  </si>
  <si>
    <t>(2) 선호하는 오프라인 매장(1+2+3순위)</t>
    <phoneticPr fontId="2" type="noConversion"/>
  </si>
  <si>
    <t>(3) 선호하는 온라인 매장(1순위)</t>
    <phoneticPr fontId="2" type="noConversion"/>
  </si>
  <si>
    <t>(4) 선호하는 온라인 매장(1+2+3순위)</t>
    <phoneticPr fontId="2" type="noConversion"/>
  </si>
  <si>
    <t>-1. 주목받기 시작한 브랜드 TOP30</t>
    <phoneticPr fontId="2" type="noConversion"/>
  </si>
  <si>
    <t>-2. 주목받기 시작한 오프라인 판매처 TOP30</t>
    <phoneticPr fontId="2" type="noConversion"/>
  </si>
  <si>
    <t>-3. 주목받기 시작한 온라인 판매처 TOP30</t>
    <phoneticPr fontId="2" type="noConversion"/>
  </si>
  <si>
    <t>(9) 브랜드 상기도 TOP30</t>
    <phoneticPr fontId="2" type="noConversion"/>
  </si>
  <si>
    <t>(5) 주목받기 시작한 브랜드 및 판매처 TOP30</t>
    <phoneticPr fontId="2" type="noConversion"/>
  </si>
  <si>
    <t>통계 보고서</t>
    <phoneticPr fontId="2" type="noConversion"/>
  </si>
  <si>
    <t>Chapter 1</t>
    <phoneticPr fontId="2" type="noConversion"/>
  </si>
  <si>
    <t>Chapter 2</t>
    <phoneticPr fontId="2" type="noConversion"/>
  </si>
  <si>
    <t>Chapter 3</t>
    <phoneticPr fontId="2" type="noConversion"/>
  </si>
  <si>
    <t>Chapter 4</t>
    <phoneticPr fontId="2" type="noConversion"/>
  </si>
  <si>
    <t>본인 착용</t>
    <phoneticPr fontId="2" type="noConversion"/>
  </si>
  <si>
    <t>가족 착용</t>
    <phoneticPr fontId="2" type="noConversion"/>
  </si>
  <si>
    <t>지인 선물</t>
    <phoneticPr fontId="2" type="noConversion"/>
  </si>
  <si>
    <t>비중</t>
  </si>
  <si>
    <t xml:space="preserve">복종별 패션 소비 실태 </t>
    <phoneticPr fontId="2" type="noConversion"/>
  </si>
  <si>
    <t>(단위 : 억원, %)</t>
    <phoneticPr fontId="2" type="noConversion"/>
  </si>
  <si>
    <t>(1) '24년 3월~'25년 2월 구매율</t>
  </si>
  <si>
    <t>(단위 : 억원,  %)</t>
    <phoneticPr fontId="2" type="noConversion"/>
  </si>
  <si>
    <t>(억원)</t>
    <phoneticPr fontId="2" type="noConversion"/>
  </si>
  <si>
    <t>구매액</t>
    <phoneticPr fontId="2" type="noConversion"/>
  </si>
  <si>
    <t>▷ 성별 패션 소비 현황</t>
    <phoneticPr fontId="2" type="noConversion"/>
  </si>
  <si>
    <t>▷ 연령별 패션 소비 현황</t>
    <phoneticPr fontId="2" type="noConversion"/>
  </si>
  <si>
    <t>▷ 지역별 패션 소비 현황</t>
    <phoneticPr fontId="2" type="noConversion"/>
  </si>
  <si>
    <t>패션 소비 현황</t>
    <phoneticPr fontId="2" type="noConversion"/>
  </si>
  <si>
    <t>복종별 패션 소비 실태</t>
    <phoneticPr fontId="2" type="noConversion"/>
  </si>
  <si>
    <t>(1) '24년 3월~'25년 2월 패션 소비 현황</t>
    <phoneticPr fontId="2" type="noConversion"/>
  </si>
  <si>
    <t>구매금액</t>
    <phoneticPr fontId="2" type="noConversion"/>
  </si>
  <si>
    <t>합계</t>
    <phoneticPr fontId="2" type="noConversion"/>
  </si>
  <si>
    <t>패션 소비 U&amp;A</t>
    <phoneticPr fontId="2" type="noConversion"/>
  </si>
  <si>
    <t>비율(%)</t>
    <phoneticPr fontId="2" type="noConversion"/>
  </si>
  <si>
    <t>‘24년 3월~’24년 8월(S/S)</t>
    <phoneticPr fontId="2" type="noConversion"/>
  </si>
  <si>
    <t>‘24년 9월~’25년 2월(F/W)</t>
    <phoneticPr fontId="2" type="noConversion"/>
  </si>
  <si>
    <t>‘24년 3월~’25년 2월(연간)</t>
    <phoneticPr fontId="2" type="noConversion"/>
  </si>
  <si>
    <t>상반기 대비 증감률</t>
    <phoneticPr fontId="2" type="noConversion"/>
  </si>
  <si>
    <t>S시즌(3~5월)</t>
    <phoneticPr fontId="2" type="noConversion"/>
  </si>
  <si>
    <t>S시즌(6~8월)</t>
    <phoneticPr fontId="2" type="noConversion"/>
  </si>
  <si>
    <t>F시즌(9~11월)</t>
    <phoneticPr fontId="2" type="noConversion"/>
  </si>
  <si>
    <t>W시즌(12~2월)</t>
    <phoneticPr fontId="2" type="noConversion"/>
  </si>
  <si>
    <t>3~5월 대비 증감률</t>
    <phoneticPr fontId="2" type="noConversion"/>
  </si>
  <si>
    <t>(5) 인구통계별 '24년 3월~'25년 2월 패션 소비 현황</t>
    <phoneticPr fontId="2" type="noConversion"/>
  </si>
  <si>
    <t>수도권/비수도권</t>
    <phoneticPr fontId="2" type="noConversion"/>
  </si>
  <si>
    <t>연령(전체)</t>
    <phoneticPr fontId="2" type="noConversion"/>
  </si>
  <si>
    <t>연령(남성)</t>
    <phoneticPr fontId="2" type="noConversion"/>
  </si>
  <si>
    <t>연령(여성)</t>
    <phoneticPr fontId="2" type="noConversion"/>
  </si>
  <si>
    <t>6~8월 대비 증감률</t>
    <phoneticPr fontId="2" type="noConversion"/>
  </si>
  <si>
    <t>9~11월 대비 증감률</t>
    <phoneticPr fontId="2" type="noConversion"/>
  </si>
  <si>
    <t>착용 목적별 구매율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</si>
  <si>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</si>
  <si>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</si>
  <si>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</si>
  <si>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</si>
  <si>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</si>
  <si>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</si>
  <si>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</si>
  <si>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</si>
  <si>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</si>
  <si>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</si>
  <si>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</si>
  <si>
    <t>2월</t>
  </si>
  <si>
    <t>-</t>
    <phoneticPr fontId="2" type="noConversion"/>
  </si>
  <si>
    <t>복종별</t>
    <phoneticPr fontId="2" type="noConversion"/>
  </si>
  <si>
    <t>지인 착용</t>
    <phoneticPr fontId="2" type="noConversion"/>
  </si>
  <si>
    <t>(2) 착용 목적별 구매율(월별)</t>
    <phoneticPr fontId="2" type="noConversion"/>
  </si>
  <si>
    <t>(3) '24년 3월~'25년 2월 평균 구매개수</t>
    <phoneticPr fontId="2" type="noConversion"/>
  </si>
  <si>
    <t>(4) 착용 목적별 평균 구매개수(월별)</t>
    <phoneticPr fontId="2" type="noConversion"/>
  </si>
  <si>
    <t>착용 목적별 평균 구매개수</t>
    <phoneticPr fontId="2" type="noConversion"/>
  </si>
  <si>
    <t>(5) '24년 3월~'25년 2월 주요 구매장소(1+2+3순위)</t>
    <phoneticPr fontId="2" type="noConversion"/>
  </si>
  <si>
    <t>(6) '24년 3월~'25년 2월 패션제품 구매 고려 요소(1+2+3순위)</t>
    <phoneticPr fontId="2" type="noConversion"/>
  </si>
  <si>
    <t>1. '24년 3월~'25년 2월 기준 패션 소비 현황</t>
    <phoneticPr fontId="2" type="noConversion"/>
  </si>
  <si>
    <t xml:space="preserve">2. '24년 3월~'25년 2월 기준 패션 소비 실태  </t>
    <phoneticPr fontId="2" type="noConversion"/>
  </si>
  <si>
    <t>(1) 패션 소비 현황</t>
    <phoneticPr fontId="2" type="noConversion"/>
  </si>
  <si>
    <t>(2) 시즌별 패션 소비 현황</t>
    <phoneticPr fontId="2" type="noConversion"/>
  </si>
  <si>
    <t>(3) 착용 목적별 패션 소비 현황</t>
    <phoneticPr fontId="2" type="noConversion"/>
  </si>
  <si>
    <t>(4) 시즌별 착용 목적별 패션 소비 현황</t>
    <phoneticPr fontId="2" type="noConversion"/>
  </si>
  <si>
    <t>(6) 인구통계별 패션 소비 현황(S/S &amp; F/W 시즌 포함)</t>
    <phoneticPr fontId="2" type="noConversion"/>
  </si>
  <si>
    <t>'24년 3월~'24년 5월, 패션 소비 실태조사</t>
    <phoneticPr fontId="2" type="noConversion"/>
  </si>
  <si>
    <t xml:space="preserve">2. '24년 3월~'25년 2월 기준 패션 소비 행태  </t>
    <phoneticPr fontId="2" type="noConversion"/>
  </si>
  <si>
    <t>패션 소비 실태</t>
    <phoneticPr fontId="2" type="noConversion"/>
  </si>
  <si>
    <t>6. 아웃도어복</t>
    <phoneticPr fontId="2" type="noConversion"/>
  </si>
  <si>
    <t>11. 기타 잡화</t>
    <phoneticPr fontId="2" type="noConversion"/>
  </si>
  <si>
    <t>패션 소비 구매 행태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</si>
</sst>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76" formatCode="0.0%"/>
    <numFmt numFmtId="177" formatCode="#,##0.0"/>
    <numFmt numFmtId="178" formatCode="0.00_ "/>
    <numFmt numFmtId="179" formatCode="&quot;₩&quot;#,##0"/>
    <numFmt numFmtId="180" formatCode="0.0"/>
    <numFmt numFmtId="181" formatCode="_-* #,##0.0_-;\-* #,##0.0_-;_-* &quot;-&quot;?_-;_-@_-"/>
    <numFmt numFmtId="182" formatCode="_-* #,##0.00_-;\-* #,##0.00_-;_-* &quot;-&quot;?_-;_-@_-"/>
    <numFmt numFmtId="183" formatCode="_-* #,##0_-;\-* #,##0_-;_-* &quot;-&quot;?_-;_-@_-"/>
    <numFmt numFmtId="184" formatCode="0.0;&quot;△&quot;0.0"/>
    <numFmt numFmtId="185" formatCode="0.0_);[Red]\(0.0\)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0"/>
      <color indexed="8"/>
      <name val="돋움체"/>
      <family val="3"/>
      <charset val="129"/>
    </font>
    <font>
      <sz val="12"/>
      <color indexed="8"/>
      <name val="바탕체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2" tint="-0.499984740745262"/>
      <name val="맑은 고딕"/>
      <family val="3"/>
      <charset val="129"/>
      <scheme val="minor"/>
    </font>
    <font>
      <sz val="14"/>
      <color theme="2" tint="-0.499984740745262"/>
      <name val="맑은 고딕"/>
      <family val="3"/>
      <charset val="129"/>
      <scheme val="minor"/>
    </font>
    <font>
      <sz val="16"/>
      <color theme="2" tint="-0.499984740745262"/>
      <name val="맑은 고딕"/>
      <family val="3"/>
      <charset val="129"/>
      <scheme val="minor"/>
    </font>
    <font>
      <sz val="10"/>
      <color theme="2" tint="-0.499984740745262"/>
      <name val="맑은 고딕"/>
      <family val="3"/>
      <charset val="129"/>
      <scheme val="minor"/>
    </font>
    <font>
      <sz val="9"/>
      <color theme="2" tint="-0.499984740745262"/>
      <name val="맑은 고딕"/>
      <family val="3"/>
      <charset val="129"/>
      <scheme val="minor"/>
    </font>
    <font>
      <sz val="11"/>
      <color theme="2" tint="-0.499984740745262"/>
      <name val="맑은 고딕"/>
      <family val="2"/>
      <charset val="129"/>
      <scheme val="minor"/>
    </font>
    <font>
      <sz val="14"/>
      <color theme="2" tint="-0.499984740745262"/>
      <name val="맑은 고딕"/>
      <family val="2"/>
      <charset val="129"/>
      <scheme val="minor"/>
    </font>
    <font>
      <sz val="20"/>
      <color theme="2" tint="-0.499984740745262"/>
      <name val="맑은 고딕"/>
      <family val="2"/>
      <charset val="129"/>
      <scheme val="minor"/>
    </font>
    <font>
      <sz val="20"/>
      <color theme="2" tint="-0.499984740745262"/>
      <name val="맑은 고딕"/>
      <family val="3"/>
      <charset val="129"/>
      <scheme val="minor"/>
    </font>
    <font>
      <sz val="10"/>
      <color theme="2" tint="-0.499984740745262"/>
      <name val="맑은 고딕"/>
      <family val="2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9"/>
      <color theme="2" tint="-0.499984740745262"/>
      <name val="맑은 고딕"/>
      <family val="2"/>
      <charset val="129"/>
      <scheme val="minor"/>
    </font>
    <font>
      <b/>
      <sz val="14"/>
      <color theme="2" tint="-0.499984740745262"/>
      <name val="맑은 고딕"/>
      <family val="3"/>
      <charset val="129"/>
      <scheme val="minor"/>
    </font>
    <font>
      <b/>
      <sz val="12"/>
      <color theme="2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color theme="2" tint="-0.49998474074526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8"/>
      <color theme="0"/>
      <name val="맑은 고딕"/>
      <family val="3"/>
      <charset val="129"/>
      <scheme val="minor"/>
    </font>
    <font>
      <b/>
      <sz val="11"/>
      <color theme="2" tint="-0.499984740745262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73A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5C4BC5"/>
        <bgColor indexed="64"/>
      </patternFill>
    </fill>
  </fills>
  <borders count="48">
    <border>
      <left/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double">
        <color indexed="8"/>
      </right>
      <top style="thin">
        <color indexed="8"/>
      </top>
      <bottom/>
      <diagonal/>
    </border>
    <border>
      <left/>
      <right style="hair">
        <color indexed="8"/>
      </right>
      <top/>
      <bottom style="double">
        <color indexed="8"/>
      </bottom>
      <diagonal/>
    </border>
    <border>
      <left style="hair">
        <color indexed="8"/>
      </left>
      <right style="hair">
        <color indexed="8"/>
      </right>
      <top/>
      <bottom style="double">
        <color indexed="8"/>
      </bottom>
      <diagonal/>
    </border>
    <border>
      <left style="hair">
        <color indexed="8"/>
      </left>
      <right/>
      <top style="double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hair">
        <color theme="0" tint="-0.34998626667073579"/>
      </right>
      <top/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/>
      <bottom style="thin">
        <color theme="0" tint="-0.34998626667073579"/>
      </bottom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hair">
        <color theme="0" tint="-0.34998626667073579"/>
      </left>
      <right/>
      <top style="thin">
        <color theme="0" tint="-0.34998626667073579"/>
      </top>
      <bottom/>
      <diagonal/>
    </border>
    <border>
      <left/>
      <right style="hair">
        <color theme="0" tint="-0.249977111117893"/>
      </right>
      <top/>
      <bottom style="thin">
        <color theme="0" tint="-0.34998626667073579"/>
      </bottom>
      <diagonal/>
    </border>
    <border>
      <left/>
      <right style="hair">
        <color theme="0" tint="-0.249977111117893"/>
      </right>
      <top/>
      <bottom/>
      <diagonal/>
    </border>
    <border>
      <left style="hair">
        <color theme="2" tint="-0.249977111117893"/>
      </left>
      <right/>
      <top/>
      <bottom style="thin">
        <color theme="0" tint="-0.34998626667073579"/>
      </bottom>
      <diagonal/>
    </border>
    <border>
      <left style="hair">
        <color theme="2" tint="-0.249977111117893"/>
      </left>
      <right/>
      <top/>
      <bottom/>
      <diagonal/>
    </border>
    <border>
      <left style="hair">
        <color theme="2" tint="-0.249977111117893"/>
      </left>
      <right/>
      <top style="hair">
        <color theme="0" tint="-0.34998626667073579"/>
      </top>
      <bottom/>
      <diagonal/>
    </border>
    <border>
      <left style="hair">
        <color theme="2" tint="-0.249977111117893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2" tint="-0.249977111117893"/>
      </bottom>
      <diagonal/>
    </border>
    <border>
      <left/>
      <right/>
      <top style="hair">
        <color theme="2" tint="-0.249977111117893"/>
      </top>
      <bottom/>
      <diagonal/>
    </border>
    <border>
      <left/>
      <right style="hair">
        <color theme="2" tint="-0.249977111117893"/>
      </right>
      <top/>
      <bottom/>
      <diagonal/>
    </border>
    <border>
      <left/>
      <right style="hair">
        <color theme="2" tint="-0.249977111117893"/>
      </right>
      <top style="hair">
        <color theme="0" tint="-0.34998626667073579"/>
      </top>
      <bottom/>
      <diagonal/>
    </border>
    <border>
      <left/>
      <right style="hair">
        <color theme="2" tint="-0.249977111117893"/>
      </right>
      <top/>
      <bottom style="hair">
        <color theme="0" tint="-0.34998626667073579"/>
      </bottom>
      <diagonal/>
    </border>
    <border>
      <left/>
      <right style="hair">
        <color theme="2" tint="-0.249977111117893"/>
      </right>
      <top/>
      <bottom style="thin">
        <color theme="0" tint="-0.34998626667073579"/>
      </bottom>
      <diagonal/>
    </border>
    <border>
      <left style="hair">
        <color theme="2" tint="-0.249977111117893"/>
      </left>
      <right/>
      <top style="thin">
        <color theme="0" tint="-0.34998626667073579"/>
      </top>
      <bottom/>
      <diagonal/>
    </border>
    <border>
      <left/>
      <right/>
      <top/>
      <bottom style="thin">
        <color theme="2" tint="-0.249977111117893"/>
      </bottom>
      <diagonal/>
    </border>
    <border>
      <left style="hair">
        <color theme="0" tint="-0.34998626667073579"/>
      </left>
      <right/>
      <top style="hair">
        <color theme="2" tint="-0.249977111117893"/>
      </top>
      <bottom style="hair">
        <color theme="2" tint="-0.249977111117893"/>
      </bottom>
      <diagonal/>
    </border>
    <border>
      <left/>
      <right style="hair">
        <color theme="0" tint="-0.34998626667073579"/>
      </right>
      <top style="hair">
        <color theme="2" tint="-0.249977111117893"/>
      </top>
      <bottom style="hair">
        <color theme="2" tint="-0.249977111117893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hair">
        <color theme="2" tint="-0.249977111117893"/>
      </top>
      <bottom style="hair">
        <color theme="2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2" tint="-0.249977111117893"/>
      </bottom>
      <diagonal/>
    </border>
    <border>
      <left/>
      <right/>
      <top style="hair">
        <color theme="0" tint="-0.499984740745262"/>
      </top>
      <bottom/>
      <diagonal/>
    </border>
    <border>
      <left/>
      <right/>
      <top/>
      <bottom style="hair">
        <color theme="0" tint="-0.499984740745262"/>
      </bottom>
      <diagonal/>
    </border>
  </borders>
  <cellStyleXfs count="12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" fontId="8" fillId="0" borderId="7">
      <alignment vertical="center"/>
    </xf>
    <xf numFmtId="3" fontId="8" fillId="0" borderId="1">
      <alignment vertical="center"/>
    </xf>
    <xf numFmtId="3" fontId="8" fillId="4" borderId="6">
      <alignment vertical="center"/>
    </xf>
    <xf numFmtId="178" fontId="8" fillId="5" borderId="5">
      <alignment horizontal="center" vertical="center"/>
    </xf>
    <xf numFmtId="0" fontId="8" fillId="5" borderId="4">
      <alignment horizontal="centerContinuous" vertical="center"/>
    </xf>
    <xf numFmtId="41" fontId="7" fillId="0" borderId="0" applyFont="0" applyFill="0" applyBorder="0" applyAlignment="0" applyProtection="0">
      <alignment vertical="center"/>
    </xf>
    <xf numFmtId="0" fontId="8" fillId="5" borderId="3">
      <alignment vertical="center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8" fillId="5" borderId="2">
      <alignment horizontal="centerContinuous" vertical="center"/>
    </xf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>
      <alignment vertical="center"/>
    </xf>
    <xf numFmtId="0" fontId="7" fillId="0" borderId="0" applyNumberFormat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5" fillId="3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320">
    <xf numFmtId="0" fontId="0" fillId="0" borderId="0" xfId="0">
      <alignment vertical="center"/>
    </xf>
    <xf numFmtId="0" fontId="13" fillId="0" borderId="0" xfId="0" applyFont="1">
      <alignment vertical="center"/>
    </xf>
    <xf numFmtId="0" fontId="13" fillId="5" borderId="0" xfId="98" applyFont="1" applyFill="1" applyAlignment="1">
      <alignment vertical="center"/>
    </xf>
    <xf numFmtId="0" fontId="13" fillId="0" borderId="0" xfId="98" applyFont="1" applyAlignment="1">
      <alignment vertical="center"/>
    </xf>
    <xf numFmtId="176" fontId="13" fillId="5" borderId="0" xfId="76" applyNumberFormat="1" applyFont="1" applyFill="1" applyAlignment="1">
      <alignment horizontal="right" vertical="center"/>
    </xf>
    <xf numFmtId="3" fontId="13" fillId="0" borderId="0" xfId="76" applyNumberFormat="1" applyFont="1" applyAlignment="1">
      <alignment horizontal="right" vertical="center"/>
    </xf>
    <xf numFmtId="177" fontId="13" fillId="0" borderId="0" xfId="77" applyNumberFormat="1" applyFont="1" applyAlignment="1">
      <alignment horizontal="righ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98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8" xfId="0" applyFont="1" applyBorder="1">
      <alignment vertical="center"/>
    </xf>
    <xf numFmtId="0" fontId="16" fillId="0" borderId="9" xfId="0" applyFont="1" applyBorder="1">
      <alignment vertical="center"/>
    </xf>
    <xf numFmtId="0" fontId="16" fillId="0" borderId="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8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3" fillId="0" borderId="0" xfId="0" applyFont="1">
      <alignment vertical="center"/>
    </xf>
    <xf numFmtId="0" fontId="24" fillId="0" borderId="0" xfId="28" applyFont="1" applyAlignment="1">
      <alignment horizontal="left" vertical="center"/>
    </xf>
    <xf numFmtId="0" fontId="10" fillId="0" borderId="0" xfId="0" applyFont="1">
      <alignment vertical="center"/>
    </xf>
    <xf numFmtId="0" fontId="16" fillId="0" borderId="15" xfId="0" applyFont="1" applyBorder="1">
      <alignment vertical="center"/>
    </xf>
    <xf numFmtId="0" fontId="22" fillId="0" borderId="0" xfId="0" applyFont="1">
      <alignment vertical="center"/>
    </xf>
    <xf numFmtId="0" fontId="16" fillId="0" borderId="10" xfId="0" applyFont="1" applyBorder="1">
      <alignment vertical="center"/>
    </xf>
    <xf numFmtId="0" fontId="16" fillId="0" borderId="16" xfId="0" applyFont="1" applyBorder="1">
      <alignment vertical="center"/>
    </xf>
    <xf numFmtId="0" fontId="22" fillId="0" borderId="0" xfId="0" applyFont="1" applyAlignment="1">
      <alignment vertical="center" wrapText="1"/>
    </xf>
    <xf numFmtId="0" fontId="22" fillId="0" borderId="10" xfId="0" applyFont="1" applyBorder="1">
      <alignment vertical="center"/>
    </xf>
    <xf numFmtId="0" fontId="22" fillId="0" borderId="8" xfId="0" applyFont="1" applyBorder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10" fillId="0" borderId="10" xfId="0" applyFont="1" applyBorder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16" fillId="0" borderId="0" xfId="98" applyFont="1" applyAlignment="1">
      <alignment horizontal="left" vertical="center"/>
    </xf>
    <xf numFmtId="0" fontId="16" fillId="0" borderId="8" xfId="98" applyFont="1" applyBorder="1" applyAlignment="1">
      <alignment vertical="center"/>
    </xf>
    <xf numFmtId="176" fontId="16" fillId="0" borderId="8" xfId="77" applyNumberFormat="1" applyFont="1" applyBorder="1" applyAlignment="1">
      <alignment horizontal="right" vertical="center" indent="1"/>
    </xf>
    <xf numFmtId="177" fontId="16" fillId="0" borderId="8" xfId="77" applyNumberFormat="1" applyFont="1" applyBorder="1" applyAlignment="1">
      <alignment horizontal="right" vertical="center" indent="1"/>
    </xf>
    <xf numFmtId="0" fontId="24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 indent="1"/>
    </xf>
    <xf numFmtId="0" fontId="16" fillId="0" borderId="10" xfId="0" applyFont="1" applyBorder="1" applyAlignment="1">
      <alignment horizontal="right" vertical="center" indent="1"/>
    </xf>
    <xf numFmtId="0" fontId="4" fillId="0" borderId="0" xfId="0" applyFont="1">
      <alignment vertical="center"/>
    </xf>
    <xf numFmtId="0" fontId="17" fillId="0" borderId="23" xfId="73" applyFont="1" applyBorder="1" applyAlignment="1">
      <alignment horizontal="justify" vertical="center" wrapText="1"/>
    </xf>
    <xf numFmtId="0" fontId="29" fillId="0" borderId="0" xfId="0" applyFont="1">
      <alignment vertical="center"/>
    </xf>
    <xf numFmtId="176" fontId="22" fillId="0" borderId="0" xfId="110" applyNumberFormat="1" applyFont="1" applyBorder="1">
      <alignment vertical="center"/>
    </xf>
    <xf numFmtId="177" fontId="16" fillId="0" borderId="0" xfId="0" applyNumberFormat="1" applyFont="1" applyAlignment="1">
      <alignment horizontal="right" vertical="center" indent="1"/>
    </xf>
    <xf numFmtId="177" fontId="16" fillId="0" borderId="9" xfId="0" applyNumberFormat="1" applyFont="1" applyBorder="1" applyAlignment="1">
      <alignment horizontal="right" vertical="center" indent="1"/>
    </xf>
    <xf numFmtId="177" fontId="16" fillId="0" borderId="8" xfId="0" applyNumberFormat="1" applyFont="1" applyBorder="1" applyAlignment="1">
      <alignment horizontal="right" vertical="center" indent="1"/>
    </xf>
    <xf numFmtId="177" fontId="16" fillId="0" borderId="10" xfId="0" applyNumberFormat="1" applyFont="1" applyBorder="1" applyAlignment="1">
      <alignment horizontal="right" vertical="center" indent="1"/>
    </xf>
    <xf numFmtId="177" fontId="16" fillId="0" borderId="0" xfId="1" applyNumberFormat="1" applyFont="1" applyBorder="1" applyAlignment="1">
      <alignment horizontal="right" vertical="center"/>
    </xf>
    <xf numFmtId="177" fontId="16" fillId="0" borderId="0" xfId="1" applyNumberFormat="1" applyFont="1" applyBorder="1" applyAlignment="1">
      <alignment horizontal="center" vertical="center"/>
    </xf>
    <xf numFmtId="177" fontId="16" fillId="0" borderId="0" xfId="1" applyNumberFormat="1" applyFont="1" applyBorder="1" applyAlignment="1">
      <alignment horizontal="right" vertical="center" indent="1"/>
    </xf>
    <xf numFmtId="177" fontId="16" fillId="0" borderId="9" xfId="1" applyNumberFormat="1" applyFont="1" applyBorder="1" applyAlignment="1">
      <alignment horizontal="right" vertical="center" indent="1"/>
    </xf>
    <xf numFmtId="177" fontId="16" fillId="0" borderId="8" xfId="1" applyNumberFormat="1" applyFont="1" applyBorder="1" applyAlignment="1">
      <alignment horizontal="right" vertical="center" indent="1"/>
    </xf>
    <xf numFmtId="4" fontId="13" fillId="5" borderId="0" xfId="76" applyNumberFormat="1" applyFont="1" applyFill="1" applyAlignment="1">
      <alignment horizontal="center" vertical="center"/>
    </xf>
    <xf numFmtId="177" fontId="16" fillId="0" borderId="0" xfId="0" applyNumberFormat="1" applyFont="1">
      <alignment vertical="center"/>
    </xf>
    <xf numFmtId="177" fontId="22" fillId="0" borderId="0" xfId="0" applyNumberFormat="1" applyFont="1">
      <alignment vertical="center"/>
    </xf>
    <xf numFmtId="177" fontId="16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176" fontId="22" fillId="0" borderId="0" xfId="110" applyNumberFormat="1" applyFont="1" applyFill="1" applyBorder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177" fontId="16" fillId="0" borderId="0" xfId="1" applyNumberFormat="1" applyFont="1" applyFill="1" applyBorder="1" applyAlignment="1">
      <alignment horizontal="right" vertical="center"/>
    </xf>
    <xf numFmtId="0" fontId="18" fillId="0" borderId="0" xfId="0" quotePrefix="1" applyFont="1">
      <alignment vertical="center"/>
    </xf>
    <xf numFmtId="176" fontId="16" fillId="0" borderId="0" xfId="110" applyNumberFormat="1" applyFont="1" applyFill="1" applyBorder="1">
      <alignment vertical="center"/>
    </xf>
    <xf numFmtId="43" fontId="16" fillId="0" borderId="0" xfId="0" applyNumberFormat="1" applyFont="1" applyAlignment="1">
      <alignment horizontal="right" vertical="center" indent="1"/>
    </xf>
    <xf numFmtId="43" fontId="16" fillId="0" borderId="9" xfId="0" applyNumberFormat="1" applyFont="1" applyBorder="1" applyAlignment="1">
      <alignment horizontal="right" vertical="center" indent="1"/>
    </xf>
    <xf numFmtId="43" fontId="16" fillId="0" borderId="8" xfId="0" applyNumberFormat="1" applyFont="1" applyBorder="1" applyAlignment="1">
      <alignment horizontal="right" vertical="center" indent="1"/>
    </xf>
    <xf numFmtId="43" fontId="16" fillId="0" borderId="10" xfId="0" applyNumberFormat="1" applyFont="1" applyBorder="1" applyAlignment="1">
      <alignment horizontal="right" vertical="center" indent="1"/>
    </xf>
    <xf numFmtId="43" fontId="16" fillId="0" borderId="0" xfId="0" applyNumberFormat="1" applyFont="1" applyAlignment="1">
      <alignment horizontal="right" vertical="center" indent="2"/>
    </xf>
    <xf numFmtId="43" fontId="16" fillId="0" borderId="0" xfId="1" applyNumberFormat="1" applyFont="1" applyBorder="1" applyAlignment="1">
      <alignment horizontal="right" vertical="center" indent="2"/>
    </xf>
    <xf numFmtId="43" fontId="16" fillId="0" borderId="9" xfId="0" applyNumberFormat="1" applyFont="1" applyBorder="1" applyAlignment="1">
      <alignment horizontal="right" vertical="center" indent="2"/>
    </xf>
    <xf numFmtId="43" fontId="16" fillId="0" borderId="9" xfId="1" applyNumberFormat="1" applyFont="1" applyBorder="1" applyAlignment="1">
      <alignment horizontal="right" vertical="center" indent="2"/>
    </xf>
    <xf numFmtId="43" fontId="16" fillId="0" borderId="8" xfId="0" applyNumberFormat="1" applyFont="1" applyBorder="1" applyAlignment="1">
      <alignment horizontal="right" vertical="center" indent="2"/>
    </xf>
    <xf numFmtId="43" fontId="16" fillId="0" borderId="8" xfId="1" applyNumberFormat="1" applyFont="1" applyBorder="1" applyAlignment="1">
      <alignment horizontal="right" vertical="center" indent="2"/>
    </xf>
    <xf numFmtId="43" fontId="16" fillId="0" borderId="10" xfId="0" applyNumberFormat="1" applyFont="1" applyBorder="1" applyAlignment="1">
      <alignment horizontal="right" vertical="center" indent="2"/>
    </xf>
    <xf numFmtId="181" fontId="16" fillId="0" borderId="0" xfId="0" applyNumberFormat="1" applyFont="1" applyAlignment="1">
      <alignment horizontal="right" vertical="center" indent="1"/>
    </xf>
    <xf numFmtId="181" fontId="16" fillId="0" borderId="9" xfId="0" applyNumberFormat="1" applyFont="1" applyBorder="1" applyAlignment="1">
      <alignment horizontal="right" vertical="center" indent="1"/>
    </xf>
    <xf numFmtId="181" fontId="16" fillId="0" borderId="8" xfId="0" applyNumberFormat="1" applyFont="1" applyBorder="1" applyAlignment="1">
      <alignment horizontal="right" vertical="center" indent="1"/>
    </xf>
    <xf numFmtId="181" fontId="16" fillId="0" borderId="10" xfId="0" applyNumberFormat="1" applyFont="1" applyBorder="1" applyAlignment="1">
      <alignment horizontal="right" vertical="center" indent="1"/>
    </xf>
    <xf numFmtId="181" fontId="16" fillId="0" borderId="0" xfId="0" applyNumberFormat="1" applyFont="1">
      <alignment vertical="center"/>
    </xf>
    <xf numFmtId="181" fontId="16" fillId="0" borderId="9" xfId="0" applyNumberFormat="1" applyFont="1" applyBorder="1" applyAlignment="1">
      <alignment horizontal="right" vertical="center"/>
    </xf>
    <xf numFmtId="181" fontId="16" fillId="0" borderId="10" xfId="0" applyNumberFormat="1" applyFont="1" applyBorder="1">
      <alignment vertical="center"/>
    </xf>
    <xf numFmtId="181" fontId="16" fillId="0" borderId="0" xfId="0" applyNumberFormat="1" applyFont="1" applyAlignment="1">
      <alignment horizontal="right" vertical="center"/>
    </xf>
    <xf numFmtId="181" fontId="16" fillId="0" borderId="10" xfId="0" applyNumberFormat="1" applyFont="1" applyBorder="1" applyAlignment="1">
      <alignment horizontal="right" vertical="center"/>
    </xf>
    <xf numFmtId="181" fontId="16" fillId="0" borderId="0" xfId="1" applyNumberFormat="1" applyFont="1" applyBorder="1" applyAlignment="1">
      <alignment horizontal="right" vertical="center"/>
    </xf>
    <xf numFmtId="181" fontId="16" fillId="0" borderId="9" xfId="1" applyNumberFormat="1" applyFont="1" applyBorder="1" applyAlignment="1">
      <alignment horizontal="right" vertical="center"/>
    </xf>
    <xf numFmtId="181" fontId="16" fillId="0" borderId="8" xfId="0" applyNumberFormat="1" applyFont="1" applyBorder="1" applyAlignment="1">
      <alignment horizontal="right" vertical="center"/>
    </xf>
    <xf numFmtId="181" fontId="16" fillId="0" borderId="8" xfId="1" applyNumberFormat="1" applyFont="1" applyBorder="1" applyAlignment="1">
      <alignment horizontal="right" vertical="center"/>
    </xf>
    <xf numFmtId="181" fontId="16" fillId="0" borderId="15" xfId="1" applyNumberFormat="1" applyFont="1" applyBorder="1" applyAlignment="1">
      <alignment horizontal="right" vertical="center"/>
    </xf>
    <xf numFmtId="181" fontId="16" fillId="0" borderId="14" xfId="1" applyNumberFormat="1" applyFont="1" applyBorder="1" applyAlignment="1">
      <alignment horizontal="right" vertical="center"/>
    </xf>
    <xf numFmtId="181" fontId="16" fillId="0" borderId="17" xfId="1" applyNumberFormat="1" applyFont="1" applyBorder="1" applyAlignment="1">
      <alignment horizontal="right" vertical="center"/>
    </xf>
    <xf numFmtId="181" fontId="16" fillId="0" borderId="10" xfId="1" applyNumberFormat="1" applyFont="1" applyBorder="1" applyAlignment="1">
      <alignment horizontal="right" vertical="center"/>
    </xf>
    <xf numFmtId="181" fontId="16" fillId="0" borderId="16" xfId="1" applyNumberFormat="1" applyFont="1" applyBorder="1" applyAlignment="1">
      <alignment horizontal="right" vertical="center"/>
    </xf>
    <xf numFmtId="41" fontId="16" fillId="0" borderId="0" xfId="76" applyNumberFormat="1" applyFont="1" applyAlignment="1">
      <alignment horizontal="right" vertical="center" indent="1"/>
    </xf>
    <xf numFmtId="41" fontId="16" fillId="0" borderId="0" xfId="77" applyNumberFormat="1" applyFont="1" applyAlignment="1">
      <alignment horizontal="right" vertical="center" indent="1"/>
    </xf>
    <xf numFmtId="41" fontId="16" fillId="0" borderId="0" xfId="100" applyNumberFormat="1" applyFont="1" applyFill="1" applyBorder="1" applyAlignment="1" applyProtection="1">
      <alignment horizontal="right" vertical="center" indent="1"/>
    </xf>
    <xf numFmtId="41" fontId="16" fillId="0" borderId="10" xfId="76" applyNumberFormat="1" applyFont="1" applyBorder="1" applyAlignment="1">
      <alignment horizontal="right" vertical="center" indent="1"/>
    </xf>
    <xf numFmtId="43" fontId="16" fillId="0" borderId="0" xfId="76" applyNumberFormat="1" applyFont="1" applyAlignment="1">
      <alignment horizontal="right" vertical="center" indent="1"/>
    </xf>
    <xf numFmtId="43" fontId="16" fillId="0" borderId="0" xfId="77" applyNumberFormat="1" applyFont="1" applyAlignment="1">
      <alignment horizontal="right" vertical="center" indent="1"/>
    </xf>
    <xf numFmtId="43" fontId="16" fillId="0" borderId="0" xfId="100" applyNumberFormat="1" applyFont="1" applyFill="1" applyBorder="1" applyAlignment="1" applyProtection="1">
      <alignment horizontal="right" vertical="center" indent="1"/>
    </xf>
    <xf numFmtId="43" fontId="16" fillId="0" borderId="10" xfId="76" applyNumberFormat="1" applyFont="1" applyBorder="1" applyAlignment="1">
      <alignment horizontal="right" vertical="center" indent="1"/>
    </xf>
    <xf numFmtId="177" fontId="16" fillId="0" borderId="0" xfId="1" applyNumberFormat="1" applyFont="1" applyFill="1" applyBorder="1" applyAlignment="1">
      <alignment horizontal="right" vertical="center" indent="1"/>
    </xf>
    <xf numFmtId="0" fontId="4" fillId="0" borderId="0" xfId="38" applyFont="1" applyAlignment="1">
      <alignment horizontal="center" vertical="center" wrapText="1"/>
    </xf>
    <xf numFmtId="0" fontId="4" fillId="0" borderId="0" xfId="10" applyFont="1" applyAlignment="1">
      <alignment horizontal="center" vertical="center" wrapText="1"/>
    </xf>
    <xf numFmtId="43" fontId="16" fillId="0" borderId="0" xfId="1" applyNumberFormat="1" applyFont="1" applyFill="1" applyBorder="1" applyAlignment="1">
      <alignment horizontal="right" vertical="center" indent="2"/>
    </xf>
    <xf numFmtId="181" fontId="16" fillId="0" borderId="0" xfId="1" applyNumberFormat="1" applyFont="1" applyFill="1" applyBorder="1" applyAlignment="1">
      <alignment horizontal="right" vertical="center"/>
    </xf>
    <xf numFmtId="0" fontId="32" fillId="0" borderId="0" xfId="117" applyFont="1" applyAlignment="1">
      <alignment vertical="center" wrapText="1"/>
    </xf>
    <xf numFmtId="176" fontId="16" fillId="0" borderId="10" xfId="76" applyNumberFormat="1" applyFont="1" applyBorder="1" applyAlignment="1">
      <alignment horizontal="left" vertical="center"/>
    </xf>
    <xf numFmtId="181" fontId="16" fillId="0" borderId="0" xfId="76" applyNumberFormat="1" applyFont="1" applyAlignment="1">
      <alignment horizontal="right" vertical="center" indent="1"/>
    </xf>
    <xf numFmtId="181" fontId="16" fillId="0" borderId="0" xfId="77" applyNumberFormat="1" applyFont="1" applyAlignment="1">
      <alignment horizontal="right" vertical="center" indent="1"/>
    </xf>
    <xf numFmtId="181" fontId="16" fillId="0" borderId="0" xfId="110" applyNumberFormat="1" applyFont="1" applyFill="1" applyBorder="1" applyAlignment="1">
      <alignment horizontal="right" vertical="center" indent="1"/>
    </xf>
    <xf numFmtId="181" fontId="16" fillId="0" borderId="0" xfId="100" applyNumberFormat="1" applyFont="1" applyFill="1" applyBorder="1" applyAlignment="1" applyProtection="1">
      <alignment horizontal="right" vertical="center" indent="1"/>
    </xf>
    <xf numFmtId="181" fontId="16" fillId="0" borderId="10" xfId="76" applyNumberFormat="1" applyFont="1" applyBorder="1" applyAlignment="1">
      <alignment horizontal="right" vertical="center" indent="1"/>
    </xf>
    <xf numFmtId="181" fontId="16" fillId="0" borderId="0" xfId="76" applyNumberFormat="1" applyFont="1" applyAlignment="1">
      <alignment horizontal="right" vertical="center"/>
    </xf>
    <xf numFmtId="181" fontId="16" fillId="0" borderId="0" xfId="77" applyNumberFormat="1" applyFont="1" applyAlignment="1">
      <alignment horizontal="right" vertical="center"/>
    </xf>
    <xf numFmtId="181" fontId="16" fillId="0" borderId="0" xfId="110" applyNumberFormat="1" applyFont="1" applyFill="1" applyBorder="1" applyAlignment="1">
      <alignment horizontal="right" vertical="center"/>
    </xf>
    <xf numFmtId="181" fontId="16" fillId="0" borderId="0" xfId="100" applyNumberFormat="1" applyFont="1" applyFill="1" applyBorder="1" applyAlignment="1" applyProtection="1">
      <alignment horizontal="right" vertical="center"/>
    </xf>
    <xf numFmtId="181" fontId="16" fillId="0" borderId="10" xfId="76" applyNumberFormat="1" applyFont="1" applyBorder="1" applyAlignment="1">
      <alignment horizontal="right" vertical="center"/>
    </xf>
    <xf numFmtId="181" fontId="16" fillId="0" borderId="0" xfId="1" applyNumberFormat="1" applyFont="1" applyBorder="1" applyAlignment="1">
      <alignment horizontal="right" vertical="center" indent="1"/>
    </xf>
    <xf numFmtId="181" fontId="16" fillId="0" borderId="9" xfId="1" applyNumberFormat="1" applyFont="1" applyBorder="1" applyAlignment="1">
      <alignment horizontal="right" vertical="center" indent="1"/>
    </xf>
    <xf numFmtId="181" fontId="16" fillId="0" borderId="8" xfId="1" applyNumberFormat="1" applyFont="1" applyBorder="1" applyAlignment="1">
      <alignment horizontal="right" vertical="center" inden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43" fontId="16" fillId="0" borderId="0" xfId="0" applyNumberFormat="1" applyFont="1" applyAlignment="1">
      <alignment horizontal="right" vertical="center"/>
    </xf>
    <xf numFmtId="43" fontId="16" fillId="0" borderId="0" xfId="1" applyNumberFormat="1" applyFont="1" applyBorder="1" applyAlignment="1">
      <alignment horizontal="right" vertical="center"/>
    </xf>
    <xf numFmtId="43" fontId="16" fillId="0" borderId="9" xfId="0" applyNumberFormat="1" applyFont="1" applyBorder="1" applyAlignment="1">
      <alignment horizontal="right" vertical="center"/>
    </xf>
    <xf numFmtId="43" fontId="16" fillId="0" borderId="9" xfId="1" applyNumberFormat="1" applyFont="1" applyBorder="1" applyAlignment="1">
      <alignment horizontal="right" vertical="center"/>
    </xf>
    <xf numFmtId="43" fontId="16" fillId="0" borderId="8" xfId="0" applyNumberFormat="1" applyFont="1" applyBorder="1" applyAlignment="1">
      <alignment horizontal="right" vertical="center"/>
    </xf>
    <xf numFmtId="43" fontId="16" fillId="0" borderId="8" xfId="1" applyNumberFormat="1" applyFont="1" applyBorder="1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41" fontId="16" fillId="0" borderId="0" xfId="0" applyNumberFormat="1" applyFont="1">
      <alignment vertical="center"/>
    </xf>
    <xf numFmtId="41" fontId="16" fillId="0" borderId="10" xfId="0" applyNumberFormat="1" applyFont="1" applyBorder="1">
      <alignment vertical="center"/>
    </xf>
    <xf numFmtId="0" fontId="28" fillId="0" borderId="0" xfId="0" applyFont="1">
      <alignment vertical="center"/>
    </xf>
    <xf numFmtId="181" fontId="16" fillId="0" borderId="8" xfId="77" applyNumberFormat="1" applyFont="1" applyBorder="1" applyAlignment="1">
      <alignment horizontal="right" vertical="center" indent="1"/>
    </xf>
    <xf numFmtId="43" fontId="16" fillId="0" borderId="8" xfId="77" applyNumberFormat="1" applyFont="1" applyBorder="1" applyAlignment="1">
      <alignment horizontal="right" vertical="center" indent="1"/>
    </xf>
    <xf numFmtId="41" fontId="16" fillId="0" borderId="8" xfId="77" applyNumberFormat="1" applyFont="1" applyBorder="1" applyAlignment="1">
      <alignment horizontal="right" vertical="center" indent="1"/>
    </xf>
    <xf numFmtId="177" fontId="16" fillId="0" borderId="0" xfId="0" applyNumberFormat="1" applyFont="1" applyAlignment="1">
      <alignment horizontal="center" vertical="center"/>
    </xf>
    <xf numFmtId="181" fontId="16" fillId="0" borderId="30" xfId="0" applyNumberFormat="1" applyFont="1" applyBorder="1" applyAlignment="1">
      <alignment horizontal="right" vertical="center"/>
    </xf>
    <xf numFmtId="181" fontId="16" fillId="0" borderId="31" xfId="0" applyNumberFormat="1" applyFont="1" applyBorder="1" applyAlignment="1">
      <alignment horizontal="right" vertical="center"/>
    </xf>
    <xf numFmtId="181" fontId="16" fillId="0" borderId="32" xfId="0" applyNumberFormat="1" applyFont="1" applyBorder="1" applyAlignment="1">
      <alignment horizontal="right" vertical="center"/>
    </xf>
    <xf numFmtId="181" fontId="16" fillId="0" borderId="33" xfId="0" applyNumberFormat="1" applyFont="1" applyBorder="1" applyAlignment="1">
      <alignment horizontal="right" vertical="center"/>
    </xf>
    <xf numFmtId="181" fontId="16" fillId="0" borderId="25" xfId="0" applyNumberFormat="1" applyFont="1" applyBorder="1" applyAlignment="1">
      <alignment horizontal="right" vertical="center"/>
    </xf>
    <xf numFmtId="181" fontId="16" fillId="0" borderId="26" xfId="0" applyNumberFormat="1" applyFont="1" applyBorder="1" applyAlignment="1">
      <alignment horizontal="right" vertical="center"/>
    </xf>
    <xf numFmtId="181" fontId="16" fillId="0" borderId="27" xfId="0" applyNumberFormat="1" applyFont="1" applyBorder="1" applyAlignment="1">
      <alignment horizontal="right" vertical="center"/>
    </xf>
    <xf numFmtId="181" fontId="16" fillId="0" borderId="24" xfId="0" applyNumberFormat="1" applyFont="1" applyBorder="1" applyAlignment="1">
      <alignment horizontal="right" vertical="center"/>
    </xf>
    <xf numFmtId="0" fontId="13" fillId="0" borderId="0" xfId="0" quotePrefix="1" applyFont="1">
      <alignment vertical="center"/>
    </xf>
    <xf numFmtId="182" fontId="16" fillId="0" borderId="0" xfId="0" applyNumberFormat="1" applyFont="1" applyAlignment="1">
      <alignment horizontal="right" vertical="center"/>
    </xf>
    <xf numFmtId="182" fontId="16" fillId="0" borderId="9" xfId="0" applyNumberFormat="1" applyFont="1" applyBorder="1" applyAlignment="1">
      <alignment horizontal="right" vertical="center"/>
    </xf>
    <xf numFmtId="182" fontId="16" fillId="0" borderId="8" xfId="0" applyNumberFormat="1" applyFont="1" applyBorder="1" applyAlignment="1">
      <alignment horizontal="right" vertical="center"/>
    </xf>
    <xf numFmtId="182" fontId="16" fillId="0" borderId="10" xfId="0" applyNumberFormat="1" applyFont="1" applyBorder="1" applyAlignment="1">
      <alignment horizontal="right" vertical="center"/>
    </xf>
    <xf numFmtId="181" fontId="16" fillId="0" borderId="25" xfId="0" applyNumberFormat="1" applyFont="1" applyBorder="1" applyAlignment="1">
      <alignment horizontal="right" vertical="center" indent="1"/>
    </xf>
    <xf numFmtId="181" fontId="16" fillId="0" borderId="26" xfId="0" applyNumberFormat="1" applyFont="1" applyBorder="1" applyAlignment="1">
      <alignment horizontal="right" vertical="center" indent="1"/>
    </xf>
    <xf numFmtId="181" fontId="16" fillId="0" borderId="27" xfId="0" applyNumberFormat="1" applyFont="1" applyBorder="1" applyAlignment="1">
      <alignment horizontal="right" vertical="center" indent="1"/>
    </xf>
    <xf numFmtId="181" fontId="16" fillId="0" borderId="24" xfId="0" applyNumberFormat="1" applyFont="1" applyBorder="1" applyAlignment="1">
      <alignment horizontal="right" vertical="center" indent="1"/>
    </xf>
    <xf numFmtId="0" fontId="29" fillId="0" borderId="0" xfId="0" quotePrefix="1" applyFont="1">
      <alignment vertical="center"/>
    </xf>
    <xf numFmtId="0" fontId="22" fillId="0" borderId="0" xfId="0" quotePrefix="1" applyFont="1">
      <alignment vertical="center"/>
    </xf>
    <xf numFmtId="182" fontId="16" fillId="0" borderId="0" xfId="0" applyNumberFormat="1" applyFont="1" applyAlignment="1">
      <alignment horizontal="right" vertical="center" indent="1"/>
    </xf>
    <xf numFmtId="182" fontId="16" fillId="0" borderId="9" xfId="0" applyNumberFormat="1" applyFont="1" applyBorder="1" applyAlignment="1">
      <alignment horizontal="right" vertical="center" indent="1"/>
    </xf>
    <xf numFmtId="182" fontId="16" fillId="0" borderId="8" xfId="0" applyNumberFormat="1" applyFont="1" applyBorder="1" applyAlignment="1">
      <alignment horizontal="right" vertical="center" indent="1"/>
    </xf>
    <xf numFmtId="182" fontId="16" fillId="0" borderId="10" xfId="0" applyNumberFormat="1" applyFont="1" applyBorder="1" applyAlignment="1">
      <alignment horizontal="right" vertical="center" indent="1"/>
    </xf>
    <xf numFmtId="0" fontId="4" fillId="0" borderId="0" xfId="0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0" fontId="16" fillId="0" borderId="35" xfId="0" applyFont="1" applyBorder="1">
      <alignment vertical="center"/>
    </xf>
    <xf numFmtId="181" fontId="16" fillId="0" borderId="35" xfId="0" applyNumberFormat="1" applyFont="1" applyBorder="1" applyAlignment="1">
      <alignment horizontal="right" vertical="center"/>
    </xf>
    <xf numFmtId="0" fontId="16" fillId="0" borderId="28" xfId="0" applyFont="1" applyBorder="1">
      <alignment vertical="center"/>
    </xf>
    <xf numFmtId="181" fontId="16" fillId="0" borderId="28" xfId="0" applyNumberFormat="1" applyFont="1" applyBorder="1">
      <alignment vertical="center"/>
    </xf>
    <xf numFmtId="0" fontId="16" fillId="0" borderId="29" xfId="0" applyFont="1" applyBorder="1">
      <alignment vertical="center"/>
    </xf>
    <xf numFmtId="181" fontId="16" fillId="0" borderId="29" xfId="0" applyNumberFormat="1" applyFont="1" applyBorder="1" applyAlignment="1">
      <alignment horizontal="right" vertical="center"/>
    </xf>
    <xf numFmtId="181" fontId="16" fillId="0" borderId="29" xfId="0" applyNumberFormat="1" applyFont="1" applyBorder="1">
      <alignment vertical="center"/>
    </xf>
    <xf numFmtId="181" fontId="16" fillId="0" borderId="28" xfId="0" applyNumberFormat="1" applyFont="1" applyBorder="1" applyAlignment="1">
      <alignment horizontal="right" vertical="center"/>
    </xf>
    <xf numFmtId="0" fontId="34" fillId="0" borderId="0" xfId="0" applyFont="1">
      <alignment vertical="center"/>
    </xf>
    <xf numFmtId="3" fontId="16" fillId="0" borderId="15" xfId="73" applyNumberFormat="1" applyFont="1" applyBorder="1" applyAlignment="1">
      <alignment horizontal="right" vertical="center" indent="1"/>
    </xf>
    <xf numFmtId="183" fontId="16" fillId="0" borderId="0" xfId="0" applyNumberFormat="1" applyFont="1">
      <alignment vertical="center"/>
    </xf>
    <xf numFmtId="183" fontId="16" fillId="0" borderId="0" xfId="110" applyNumberFormat="1" applyFont="1" applyBorder="1">
      <alignment vertical="center"/>
    </xf>
    <xf numFmtId="183" fontId="16" fillId="0" borderId="12" xfId="0" applyNumberFormat="1" applyFont="1" applyBorder="1">
      <alignment vertical="center"/>
    </xf>
    <xf numFmtId="183" fontId="16" fillId="0" borderId="8" xfId="0" applyNumberFormat="1" applyFont="1" applyBorder="1">
      <alignment vertical="center"/>
    </xf>
    <xf numFmtId="183" fontId="16" fillId="0" borderId="9" xfId="0" applyNumberFormat="1" applyFont="1" applyBorder="1" applyAlignment="1">
      <alignment horizontal="right" vertical="center"/>
    </xf>
    <xf numFmtId="183" fontId="16" fillId="0" borderId="9" xfId="0" applyNumberFormat="1" applyFont="1" applyBorder="1">
      <alignment vertical="center"/>
    </xf>
    <xf numFmtId="183" fontId="16" fillId="0" borderId="9" xfId="110" applyNumberFormat="1" applyFont="1" applyBorder="1">
      <alignment vertical="center"/>
    </xf>
    <xf numFmtId="183" fontId="16" fillId="0" borderId="13" xfId="0" applyNumberFormat="1" applyFont="1" applyBorder="1">
      <alignment vertical="center"/>
    </xf>
    <xf numFmtId="183" fontId="16" fillId="0" borderId="10" xfId="0" applyNumberFormat="1" applyFont="1" applyBorder="1">
      <alignment vertical="center"/>
    </xf>
    <xf numFmtId="183" fontId="16" fillId="0" borderId="10" xfId="110" applyNumberFormat="1" applyFont="1" applyFill="1" applyBorder="1">
      <alignment vertical="center"/>
    </xf>
    <xf numFmtId="183" fontId="16" fillId="0" borderId="11" xfId="0" applyNumberFormat="1" applyFont="1" applyBorder="1">
      <alignment vertical="center"/>
    </xf>
    <xf numFmtId="183" fontId="16" fillId="0" borderId="18" xfId="0" applyNumberFormat="1" applyFont="1" applyBorder="1">
      <alignment vertical="center"/>
    </xf>
    <xf numFmtId="183" fontId="16" fillId="0" borderId="0" xfId="0" applyNumberFormat="1" applyFont="1" applyAlignment="1">
      <alignment horizontal="right" vertical="center"/>
    </xf>
    <xf numFmtId="183" fontId="16" fillId="0" borderId="10" xfId="0" applyNumberFormat="1" applyFont="1" applyBorder="1" applyAlignment="1">
      <alignment horizontal="right" vertical="center"/>
    </xf>
    <xf numFmtId="3" fontId="16" fillId="0" borderId="8" xfId="77" applyNumberFormat="1" applyFont="1" applyBorder="1" applyAlignment="1">
      <alignment horizontal="right" vertical="center" indent="1"/>
    </xf>
    <xf numFmtId="3" fontId="16" fillId="0" borderId="0" xfId="77" applyNumberFormat="1" applyFont="1" applyAlignment="1">
      <alignment horizontal="right" vertical="center" indent="1"/>
    </xf>
    <xf numFmtId="3" fontId="16" fillId="0" borderId="0" xfId="100" applyNumberFormat="1" applyFont="1" applyFill="1" applyBorder="1" applyAlignment="1" applyProtection="1">
      <alignment horizontal="right" vertical="center" indent="1"/>
    </xf>
    <xf numFmtId="3" fontId="16" fillId="0" borderId="10" xfId="77" applyNumberFormat="1" applyFont="1" applyBorder="1" applyAlignment="1">
      <alignment horizontal="right" vertical="center" indent="1"/>
    </xf>
    <xf numFmtId="3" fontId="16" fillId="0" borderId="0" xfId="0" applyNumberFormat="1" applyFont="1">
      <alignment vertical="center"/>
    </xf>
    <xf numFmtId="180" fontId="22" fillId="0" borderId="0" xfId="110" applyNumberFormat="1" applyFont="1" applyBorder="1">
      <alignment vertical="center"/>
    </xf>
    <xf numFmtId="180" fontId="22" fillId="0" borderId="8" xfId="110" applyNumberFormat="1" applyFont="1" applyBorder="1">
      <alignment vertical="center"/>
    </xf>
    <xf numFmtId="181" fontId="16" fillId="0" borderId="8" xfId="0" applyNumberFormat="1" applyFont="1" applyBorder="1">
      <alignment vertical="center"/>
    </xf>
    <xf numFmtId="0" fontId="4" fillId="6" borderId="15" xfId="73" applyFont="1" applyFill="1" applyBorder="1" applyAlignment="1">
      <alignment horizontal="center" vertical="center" wrapText="1"/>
    </xf>
    <xf numFmtId="0" fontId="4" fillId="6" borderId="0" xfId="73" applyFont="1" applyFill="1" applyAlignment="1">
      <alignment horizontal="center" vertical="center" wrapText="1"/>
    </xf>
    <xf numFmtId="0" fontId="4" fillId="6" borderId="12" xfId="73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17" fillId="7" borderId="22" xfId="73" applyFont="1" applyFill="1" applyBorder="1" applyAlignment="1">
      <alignment horizontal="left" vertical="center" wrapText="1"/>
    </xf>
    <xf numFmtId="3" fontId="16" fillId="7" borderId="16" xfId="73" applyNumberFormat="1" applyFont="1" applyFill="1" applyBorder="1" applyAlignment="1">
      <alignment horizontal="right" vertical="center" wrapText="1" indent="1"/>
    </xf>
    <xf numFmtId="180" fontId="16" fillId="7" borderId="10" xfId="73" applyNumberFormat="1" applyFont="1" applyFill="1" applyBorder="1" applyAlignment="1">
      <alignment horizontal="right" vertical="center" wrapText="1"/>
    </xf>
    <xf numFmtId="0" fontId="4" fillId="6" borderId="20" xfId="0" applyFont="1" applyFill="1" applyBorder="1" applyAlignment="1">
      <alignment horizontal="right" vertical="center"/>
    </xf>
    <xf numFmtId="0" fontId="4" fillId="6" borderId="20" xfId="0" applyFont="1" applyFill="1" applyBorder="1" applyAlignment="1">
      <alignment horizontal="center" vertical="center"/>
    </xf>
    <xf numFmtId="0" fontId="3" fillId="6" borderId="20" xfId="0" applyFont="1" applyFill="1" applyBorder="1">
      <alignment vertical="center"/>
    </xf>
    <xf numFmtId="0" fontId="3" fillId="6" borderId="21" xfId="0" applyFon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0" fontId="4" fillId="6" borderId="15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6" borderId="20" xfId="0" applyFont="1" applyFill="1" applyBorder="1">
      <alignment vertical="center"/>
    </xf>
    <xf numFmtId="0" fontId="4" fillId="6" borderId="20" xfId="77" applyFont="1" applyFill="1" applyBorder="1" applyAlignment="1">
      <alignment horizontal="center" vertical="center"/>
    </xf>
    <xf numFmtId="4" fontId="4" fillId="6" borderId="20" xfId="77" applyNumberFormat="1" applyFont="1" applyFill="1" applyBorder="1" applyAlignment="1">
      <alignment horizontal="center" vertical="center"/>
    </xf>
    <xf numFmtId="179" fontId="4" fillId="6" borderId="20" xfId="77" applyNumberFormat="1" applyFont="1" applyFill="1" applyBorder="1" applyAlignment="1">
      <alignment horizontal="center" vertical="center"/>
    </xf>
    <xf numFmtId="0" fontId="4" fillId="6" borderId="20" xfId="98" applyFont="1" applyFill="1" applyBorder="1" applyAlignment="1">
      <alignment horizontal="center" vertical="center"/>
    </xf>
    <xf numFmtId="0" fontId="4" fillId="6" borderId="0" xfId="0" applyFont="1" applyFill="1">
      <alignment vertical="center"/>
    </xf>
    <xf numFmtId="0" fontId="4" fillId="6" borderId="0" xfId="77" applyFont="1" applyFill="1" applyAlignment="1">
      <alignment horizontal="center" vertical="center"/>
    </xf>
    <xf numFmtId="4" fontId="4" fillId="6" borderId="0" xfId="77" applyNumberFormat="1" applyFont="1" applyFill="1" applyAlignment="1">
      <alignment horizontal="center" vertical="center"/>
    </xf>
    <xf numFmtId="179" fontId="4" fillId="6" borderId="0" xfId="77" applyNumberFormat="1" applyFont="1" applyFill="1" applyAlignment="1">
      <alignment horizontal="center" vertical="center"/>
    </xf>
    <xf numFmtId="0" fontId="4" fillId="6" borderId="0" xfId="98" applyFont="1" applyFill="1" applyAlignment="1">
      <alignment horizontal="center" vertical="center"/>
    </xf>
    <xf numFmtId="0" fontId="4" fillId="6" borderId="20" xfId="38" applyFont="1" applyFill="1" applyBorder="1" applyAlignment="1">
      <alignment horizontal="center" vertical="center" wrapText="1"/>
    </xf>
    <xf numFmtId="0" fontId="4" fillId="6" borderId="20" xfId="1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5" fillId="6" borderId="0" xfId="0" applyFont="1" applyFill="1">
      <alignment vertical="center"/>
    </xf>
    <xf numFmtId="0" fontId="4" fillId="6" borderId="25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right" vertical="center"/>
    </xf>
    <xf numFmtId="0" fontId="4" fillId="6" borderId="34" xfId="0" applyFont="1" applyFill="1" applyBorder="1" applyAlignment="1">
      <alignment horizontal="center" vertical="center"/>
    </xf>
    <xf numFmtId="0" fontId="33" fillId="6" borderId="20" xfId="38" applyFont="1" applyFill="1" applyBorder="1" applyAlignment="1">
      <alignment horizontal="center" vertical="center" wrapText="1"/>
    </xf>
    <xf numFmtId="177" fontId="16" fillId="0" borderId="15" xfId="73" applyNumberFormat="1" applyFont="1" applyBorder="1" applyAlignment="1">
      <alignment horizontal="right" vertical="center" indent="1"/>
    </xf>
    <xf numFmtId="3" fontId="16" fillId="0" borderId="40" xfId="73" applyNumberFormat="1" applyFont="1" applyBorder="1" applyAlignment="1">
      <alignment horizontal="right" vertical="center" indent="1"/>
    </xf>
    <xf numFmtId="184" fontId="16" fillId="0" borderId="15" xfId="73" applyNumberFormat="1" applyFont="1" applyBorder="1" applyAlignment="1">
      <alignment horizontal="right" vertical="center" indent="1"/>
    </xf>
    <xf numFmtId="0" fontId="4" fillId="6" borderId="40" xfId="73" applyFont="1" applyFill="1" applyBorder="1" applyAlignment="1">
      <alignment horizontal="center" vertical="center" wrapText="1"/>
    </xf>
    <xf numFmtId="3" fontId="16" fillId="7" borderId="41" xfId="73" applyNumberFormat="1" applyFont="1" applyFill="1" applyBorder="1" applyAlignment="1">
      <alignment horizontal="right" vertical="center" wrapText="1" indent="1"/>
    </xf>
    <xf numFmtId="177" fontId="16" fillId="7" borderId="41" xfId="73" applyNumberFormat="1" applyFont="1" applyFill="1" applyBorder="1" applyAlignment="1">
      <alignment horizontal="right" vertical="center" wrapText="1" indent="1"/>
    </xf>
    <xf numFmtId="184" fontId="16" fillId="7" borderId="41" xfId="73" applyNumberFormat="1" applyFont="1" applyFill="1" applyBorder="1" applyAlignment="1">
      <alignment horizontal="right" vertical="center" wrapText="1" indent="1"/>
    </xf>
    <xf numFmtId="0" fontId="17" fillId="0" borderId="0" xfId="73" applyFont="1" applyAlignment="1">
      <alignment horizontal="justify" vertical="center" wrapText="1"/>
    </xf>
    <xf numFmtId="3" fontId="16" fillId="0" borderId="0" xfId="73" applyNumberFormat="1" applyFont="1" applyAlignment="1">
      <alignment horizontal="right" vertical="center" indent="1"/>
    </xf>
    <xf numFmtId="180" fontId="16" fillId="0" borderId="0" xfId="0" applyNumberFormat="1" applyFont="1">
      <alignment vertical="center"/>
    </xf>
    <xf numFmtId="180" fontId="16" fillId="0" borderId="9" xfId="0" applyNumberFormat="1" applyFont="1" applyBorder="1">
      <alignment vertical="center"/>
    </xf>
    <xf numFmtId="180" fontId="16" fillId="0" borderId="10" xfId="0" applyNumberFormat="1" applyFont="1" applyBorder="1">
      <alignment vertical="center"/>
    </xf>
    <xf numFmtId="180" fontId="22" fillId="0" borderId="0" xfId="0" applyNumberFormat="1" applyFont="1" applyAlignment="1">
      <alignment vertical="center" wrapText="1"/>
    </xf>
    <xf numFmtId="41" fontId="16" fillId="0" borderId="0" xfId="1" applyFont="1">
      <alignment vertical="center"/>
    </xf>
    <xf numFmtId="41" fontId="16" fillId="0" borderId="9" xfId="1" applyFont="1" applyBorder="1">
      <alignment vertical="center"/>
    </xf>
    <xf numFmtId="41" fontId="16" fillId="0" borderId="10" xfId="1" applyFont="1" applyBorder="1">
      <alignment vertical="center"/>
    </xf>
    <xf numFmtId="41" fontId="22" fillId="0" borderId="0" xfId="1" applyFont="1" applyAlignment="1">
      <alignment vertical="center" wrapText="1"/>
    </xf>
    <xf numFmtId="181" fontId="16" fillId="7" borderId="0" xfId="0" applyNumberFormat="1" applyFont="1" applyFill="1" applyAlignment="1">
      <alignment horizontal="right" vertical="center" indent="1"/>
    </xf>
    <xf numFmtId="0" fontId="16" fillId="7" borderId="8" xfId="0" applyFont="1" applyFill="1" applyBorder="1" applyAlignment="1">
      <alignment horizontal="center" vertical="center"/>
    </xf>
    <xf numFmtId="184" fontId="16" fillId="8" borderId="44" xfId="73" applyNumberFormat="1" applyFont="1" applyFill="1" applyBorder="1" applyAlignment="1">
      <alignment horizontal="right" vertical="center" wrapText="1" indent="1"/>
    </xf>
    <xf numFmtId="184" fontId="16" fillId="8" borderId="40" xfId="73" applyNumberFormat="1" applyFont="1" applyFill="1" applyBorder="1" applyAlignment="1">
      <alignment horizontal="right" vertical="center" wrapText="1" indent="1"/>
    </xf>
    <xf numFmtId="0" fontId="18" fillId="9" borderId="0" xfId="0" applyFont="1" applyFill="1">
      <alignment vertical="center"/>
    </xf>
    <xf numFmtId="0" fontId="0" fillId="9" borderId="0" xfId="0" applyFill="1">
      <alignment vertical="center"/>
    </xf>
    <xf numFmtId="0" fontId="13" fillId="9" borderId="0" xfId="0" applyFont="1" applyFill="1">
      <alignment vertical="center"/>
    </xf>
    <xf numFmtId="0" fontId="16" fillId="9" borderId="0" xfId="0" applyFont="1" applyFill="1" applyAlignment="1">
      <alignment horizontal="right" vertical="center"/>
    </xf>
    <xf numFmtId="0" fontId="13" fillId="9" borderId="0" xfId="0" applyFont="1" applyFill="1" applyAlignment="1">
      <alignment horizontal="right" vertical="center"/>
    </xf>
    <xf numFmtId="185" fontId="16" fillId="7" borderId="41" xfId="73" applyNumberFormat="1" applyFont="1" applyFill="1" applyBorder="1" applyAlignment="1">
      <alignment horizontal="right" vertical="center" wrapText="1" indent="1"/>
    </xf>
    <xf numFmtId="185" fontId="16" fillId="0" borderId="15" xfId="73" applyNumberFormat="1" applyFont="1" applyBorder="1" applyAlignment="1">
      <alignment horizontal="right" vertical="center" indent="1"/>
    </xf>
    <xf numFmtId="0" fontId="35" fillId="10" borderId="19" xfId="0" quotePrefix="1" applyFont="1" applyFill="1" applyBorder="1" applyAlignment="1">
      <alignment horizontal="center" vertical="center"/>
    </xf>
    <xf numFmtId="0" fontId="35" fillId="10" borderId="19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" fillId="6" borderId="36" xfId="73" applyFont="1" applyFill="1" applyBorder="1" applyAlignment="1">
      <alignment horizontal="center" vertical="center" wrapText="1"/>
    </xf>
    <xf numFmtId="0" fontId="4" fillId="6" borderId="43" xfId="73" applyFont="1" applyFill="1" applyBorder="1" applyAlignment="1">
      <alignment horizontal="center" vertical="center" wrapText="1"/>
    </xf>
    <xf numFmtId="0" fontId="4" fillId="6" borderId="37" xfId="73" applyFont="1" applyFill="1" applyBorder="1" applyAlignment="1">
      <alignment horizontal="center" vertical="center" wrapText="1"/>
    </xf>
    <xf numFmtId="0" fontId="4" fillId="6" borderId="45" xfId="73" quotePrefix="1" applyFont="1" applyFill="1" applyBorder="1" applyAlignment="1">
      <alignment horizontal="center" vertical="center" wrapText="1"/>
    </xf>
    <xf numFmtId="0" fontId="4" fillId="6" borderId="28" xfId="73" quotePrefix="1" applyFont="1" applyFill="1" applyBorder="1" applyAlignment="1">
      <alignment horizontal="center" vertical="center" wrapText="1"/>
    </xf>
    <xf numFmtId="0" fontId="4" fillId="6" borderId="15" xfId="73" quotePrefix="1" applyFont="1" applyFill="1" applyBorder="1" applyAlignment="1">
      <alignment horizontal="center" vertical="center" wrapText="1"/>
    </xf>
    <xf numFmtId="0" fontId="4" fillId="6" borderId="0" xfId="73" quotePrefix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4" fillId="6" borderId="12" xfId="103" applyFont="1" applyFill="1" applyBorder="1" applyAlignment="1">
      <alignment horizontal="center" vertical="center"/>
    </xf>
    <xf numFmtId="0" fontId="4" fillId="6" borderId="38" xfId="73" applyFont="1" applyFill="1" applyBorder="1" applyAlignment="1">
      <alignment horizontal="center" vertical="center" wrapText="1"/>
    </xf>
    <xf numFmtId="0" fontId="4" fillId="6" borderId="39" xfId="73" applyFont="1" applyFill="1" applyBorder="1" applyAlignment="1">
      <alignment horizontal="center" vertical="center" wrapText="1"/>
    </xf>
    <xf numFmtId="0" fontId="4" fillId="6" borderId="17" xfId="73" applyFont="1" applyFill="1" applyBorder="1" applyAlignment="1">
      <alignment horizontal="center" vertical="center" wrapText="1"/>
    </xf>
    <xf numFmtId="0" fontId="4" fillId="6" borderId="8" xfId="73" applyFont="1" applyFill="1" applyBorder="1" applyAlignment="1">
      <alignment horizontal="center" vertical="center" wrapText="1"/>
    </xf>
    <xf numFmtId="0" fontId="4" fillId="6" borderId="18" xfId="73" applyFont="1" applyFill="1" applyBorder="1" applyAlignment="1">
      <alignment horizontal="center" vertical="center" wrapText="1"/>
    </xf>
    <xf numFmtId="0" fontId="4" fillId="6" borderId="12" xfId="73" quotePrefix="1" applyFont="1" applyFill="1" applyBorder="1" applyAlignment="1">
      <alignment horizontal="center" vertical="center" wrapText="1"/>
    </xf>
    <xf numFmtId="0" fontId="4" fillId="6" borderId="46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4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32" fillId="0" borderId="0" xfId="117" applyFont="1" applyAlignment="1">
      <alignment horizontal="left" vertical="center" wrapText="1"/>
    </xf>
    <xf numFmtId="0" fontId="12" fillId="6" borderId="20" xfId="4" applyFont="1" applyFill="1" applyBorder="1" applyAlignment="1">
      <alignment horizontal="left" wrapText="1"/>
    </xf>
    <xf numFmtId="0" fontId="12" fillId="6" borderId="20" xfId="5" applyFont="1" applyFill="1" applyBorder="1" applyAlignment="1">
      <alignment horizontal="left" wrapText="1"/>
    </xf>
    <xf numFmtId="0" fontId="3" fillId="6" borderId="2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180" fontId="16" fillId="0" borderId="29" xfId="0" applyNumberFormat="1" applyFont="1" applyBorder="1" applyAlignment="1">
      <alignment horizontal="center" vertical="center" wrapText="1"/>
    </xf>
    <xf numFmtId="180" fontId="16" fillId="0" borderId="0" xfId="0" applyNumberFormat="1" applyFont="1" applyAlignment="1">
      <alignment horizontal="center" vertical="center"/>
    </xf>
    <xf numFmtId="180" fontId="16" fillId="0" borderId="28" xfId="0" applyNumberFormat="1" applyFont="1" applyBorder="1" applyAlignment="1">
      <alignment horizontal="center" vertical="center"/>
    </xf>
    <xf numFmtId="180" fontId="16" fillId="0" borderId="29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80" fontId="16" fillId="0" borderId="35" xfId="0" applyNumberFormat="1" applyFont="1" applyBorder="1" applyAlignment="1">
      <alignment horizontal="center" vertical="center"/>
    </xf>
  </cellXfs>
  <cellStyles count="122">
    <cellStyle name="??&amp;O?&amp;H?_x0008__x000f__x0007_?_x0007__x0001__x0001_" xfId="94" xr:uid="{00000000-0005-0000-0000-000000000000}"/>
    <cellStyle name="??&amp;O?&amp;H?_x0008_??_x0007__x0001__x0001_" xfId="93" xr:uid="{00000000-0005-0000-0000-000001000000}"/>
    <cellStyle name="40% - 강조색1 2" xfId="75" xr:uid="{00000000-0005-0000-0000-000002000000}"/>
    <cellStyle name="60% - 강조색6 2" xfId="95" xr:uid="{00000000-0005-0000-0000-000003000000}"/>
    <cellStyle name="60% - 강조색6 3" xfId="104" xr:uid="{00000000-0005-0000-0000-000004000000}"/>
    <cellStyle name="Comma [0]_제조1부1과 현황 " xfId="92" xr:uid="{00000000-0005-0000-0000-000005000000}"/>
    <cellStyle name="Comma_제조1부1과 현황 " xfId="101" xr:uid="{00000000-0005-0000-0000-000006000000}"/>
    <cellStyle name="Currency [0]_제조1부1과 현황 " xfId="91" xr:uid="{00000000-0005-0000-0000-000007000000}"/>
    <cellStyle name="Currency_제조1부1과 현황 " xfId="90" xr:uid="{00000000-0005-0000-0000-000008000000}"/>
    <cellStyle name="Normal_제조1부1과 현황 " xfId="89" xr:uid="{00000000-0005-0000-0000-000009000000}"/>
    <cellStyle name="style1477620219069" xfId="3" xr:uid="{00000000-0005-0000-0000-00000A000000}"/>
    <cellStyle name="style1477620219137" xfId="4" xr:uid="{00000000-0005-0000-0000-00000B000000}"/>
    <cellStyle name="style1477620219198" xfId="5" xr:uid="{00000000-0005-0000-0000-00000C000000}"/>
    <cellStyle name="style1477620219250" xfId="6" xr:uid="{00000000-0005-0000-0000-00000D000000}"/>
    <cellStyle name="style1477620219308" xfId="7" xr:uid="{00000000-0005-0000-0000-00000E000000}"/>
    <cellStyle name="style1477620219365" xfId="8" xr:uid="{00000000-0005-0000-0000-00000F000000}"/>
    <cellStyle name="style1477620219423" xfId="9" xr:uid="{00000000-0005-0000-0000-000010000000}"/>
    <cellStyle name="style1477620219463" xfId="10" xr:uid="{00000000-0005-0000-0000-000011000000}"/>
    <cellStyle name="style1477620219495" xfId="11" xr:uid="{00000000-0005-0000-0000-000012000000}"/>
    <cellStyle name="style1477620219525" xfId="12" xr:uid="{00000000-0005-0000-0000-000013000000}"/>
    <cellStyle name="style1477620219553" xfId="13" xr:uid="{00000000-0005-0000-0000-000014000000}"/>
    <cellStyle name="style1477620219580" xfId="14" xr:uid="{00000000-0005-0000-0000-000015000000}"/>
    <cellStyle name="style1477620219621" xfId="15" xr:uid="{00000000-0005-0000-0000-000016000000}"/>
    <cellStyle name="style1477620219706" xfId="16" xr:uid="{00000000-0005-0000-0000-000017000000}"/>
    <cellStyle name="style1477620219742" xfId="17" xr:uid="{00000000-0005-0000-0000-000018000000}"/>
    <cellStyle name="style1477620219777" xfId="18" xr:uid="{00000000-0005-0000-0000-000019000000}"/>
    <cellStyle name="style1477620219812" xfId="19" xr:uid="{00000000-0005-0000-0000-00001A000000}"/>
    <cellStyle name="style1477620219849" xfId="20" xr:uid="{00000000-0005-0000-0000-00001B000000}"/>
    <cellStyle name="style1477620219888" xfId="21" xr:uid="{00000000-0005-0000-0000-00001C000000}"/>
    <cellStyle name="style1477620219939" xfId="22" xr:uid="{00000000-0005-0000-0000-00001D000000}"/>
    <cellStyle name="style1477620219964" xfId="23" xr:uid="{00000000-0005-0000-0000-00001E000000}"/>
    <cellStyle name="style1477620220022" xfId="24" xr:uid="{00000000-0005-0000-0000-00001F000000}"/>
    <cellStyle name="style1477620220063" xfId="25" xr:uid="{00000000-0005-0000-0000-000020000000}"/>
    <cellStyle name="style1477620220098" xfId="26" xr:uid="{00000000-0005-0000-0000-000021000000}"/>
    <cellStyle name="style1477620220129" xfId="27" xr:uid="{00000000-0005-0000-0000-000022000000}"/>
    <cellStyle name="style1477620220165" xfId="28" xr:uid="{00000000-0005-0000-0000-000023000000}"/>
    <cellStyle name="style1477620220215" xfId="29" xr:uid="{00000000-0005-0000-0000-000024000000}"/>
    <cellStyle name="style1477620220238" xfId="30" xr:uid="{00000000-0005-0000-0000-000025000000}"/>
    <cellStyle name="style1477620220271" xfId="31" xr:uid="{00000000-0005-0000-0000-000026000000}"/>
    <cellStyle name="style1477620220296" xfId="32" xr:uid="{00000000-0005-0000-0000-000027000000}"/>
    <cellStyle name="style1477620220321" xfId="33" xr:uid="{00000000-0005-0000-0000-000028000000}"/>
    <cellStyle name="style1477620220360" xfId="34" xr:uid="{00000000-0005-0000-0000-000029000000}"/>
    <cellStyle name="style1477620220585" xfId="35" xr:uid="{00000000-0005-0000-0000-00002A000000}"/>
    <cellStyle name="style1477620220604" xfId="36" xr:uid="{00000000-0005-0000-0000-00002B000000}"/>
    <cellStyle name="style1477620220634" xfId="37" xr:uid="{00000000-0005-0000-0000-00002C000000}"/>
    <cellStyle name="style1477620220974" xfId="38" xr:uid="{00000000-0005-0000-0000-00002D000000}"/>
    <cellStyle name="style1477620220995" xfId="39" xr:uid="{00000000-0005-0000-0000-00002E000000}"/>
    <cellStyle name="style1477620221032" xfId="40" xr:uid="{00000000-0005-0000-0000-00002F000000}"/>
    <cellStyle name="style1477620221053" xfId="41" xr:uid="{00000000-0005-0000-0000-000030000000}"/>
    <cellStyle name="style1477620221073" xfId="42" xr:uid="{00000000-0005-0000-0000-000031000000}"/>
    <cellStyle name="style1477620221092" xfId="43" xr:uid="{00000000-0005-0000-0000-000032000000}"/>
    <cellStyle name="style1477620221191" xfId="44" xr:uid="{00000000-0005-0000-0000-000033000000}"/>
    <cellStyle name="style1477620221210" xfId="45" xr:uid="{00000000-0005-0000-0000-000034000000}"/>
    <cellStyle name="style1477620223595" xfId="46" xr:uid="{00000000-0005-0000-0000-000035000000}"/>
    <cellStyle name="style1477620223620" xfId="47" xr:uid="{00000000-0005-0000-0000-000036000000}"/>
    <cellStyle name="style1477620223646" xfId="48" xr:uid="{00000000-0005-0000-0000-000037000000}"/>
    <cellStyle name="style1477620223669" xfId="49" xr:uid="{00000000-0005-0000-0000-000038000000}"/>
    <cellStyle name="style1477620223700" xfId="50" xr:uid="{00000000-0005-0000-0000-000039000000}"/>
    <cellStyle name="style1477620246586" xfId="51" xr:uid="{00000000-0005-0000-0000-00003A000000}"/>
    <cellStyle name="style1477620246613" xfId="52" xr:uid="{00000000-0005-0000-0000-00003B000000}"/>
    <cellStyle name="style1477620246647" xfId="53" xr:uid="{00000000-0005-0000-0000-00003C000000}"/>
    <cellStyle name="style1477620246672" xfId="54" xr:uid="{00000000-0005-0000-0000-00003D000000}"/>
    <cellStyle name="style1477620246716" xfId="55" xr:uid="{00000000-0005-0000-0000-00003E000000}"/>
    <cellStyle name="style1477620246737" xfId="56" xr:uid="{00000000-0005-0000-0000-00003F000000}"/>
    <cellStyle name="style1477620246770" xfId="57" xr:uid="{00000000-0005-0000-0000-000040000000}"/>
    <cellStyle name="style1477620246866" xfId="58" xr:uid="{00000000-0005-0000-0000-000041000000}"/>
    <cellStyle name="style1477620246905" xfId="59" xr:uid="{00000000-0005-0000-0000-000042000000}"/>
    <cellStyle name="style1477620246933" xfId="60" xr:uid="{00000000-0005-0000-0000-000043000000}"/>
    <cellStyle name="style1477620246972" xfId="61" xr:uid="{00000000-0005-0000-0000-000044000000}"/>
    <cellStyle name="style1477620247276" xfId="62" xr:uid="{00000000-0005-0000-0000-000045000000}"/>
    <cellStyle name="style1477620253161" xfId="63" xr:uid="{00000000-0005-0000-0000-000046000000}"/>
    <cellStyle name="style1477620253184" xfId="64" xr:uid="{00000000-0005-0000-0000-000047000000}"/>
    <cellStyle name="style1477620253207" xfId="65" xr:uid="{00000000-0005-0000-0000-000048000000}"/>
    <cellStyle name="style1477620253311" xfId="66" xr:uid="{00000000-0005-0000-0000-000049000000}"/>
    <cellStyle name="style1477620253689" xfId="67" xr:uid="{00000000-0005-0000-0000-00004A000000}"/>
    <cellStyle name="style1477620254703" xfId="68" xr:uid="{00000000-0005-0000-0000-00004B000000}"/>
    <cellStyle name="style1477620255574" xfId="69" xr:uid="{00000000-0005-0000-0000-00004C000000}"/>
    <cellStyle name="style1477620255594" xfId="70" xr:uid="{00000000-0005-0000-0000-00004D000000}"/>
    <cellStyle name="style1477620255696" xfId="71" xr:uid="{00000000-0005-0000-0000-00004E000000}"/>
    <cellStyle name="style1477620255908" xfId="72" xr:uid="{00000000-0005-0000-0000-00004F000000}"/>
    <cellStyle name="style1495006751646" xfId="109" xr:uid="{00000000-0005-0000-0000-000050000000}"/>
    <cellStyle name="style1495006751740" xfId="108" xr:uid="{00000000-0005-0000-0000-000051000000}"/>
    <cellStyle name="style1635490534527" xfId="111" xr:uid="{66FA557B-774E-4C4D-BC2A-FBE1093E30A1}"/>
    <cellStyle name="style1667788265499" xfId="113" xr:uid="{6FA6D448-764A-4BB3-B37A-2C5C2C1B868A}"/>
    <cellStyle name="style1667788265525" xfId="116" xr:uid="{23714055-6030-4CD1-9B6A-E867D0BFD820}"/>
    <cellStyle name="style1667788265584" xfId="112" xr:uid="{0882ADEA-F4AC-452E-AEC3-66DAC67D1A52}"/>
    <cellStyle name="style1667788265596" xfId="114" xr:uid="{E9B2C7A9-F2D5-4983-908B-6C81761961AC}"/>
    <cellStyle name="style1667788265608" xfId="115" xr:uid="{6ABDD586-4287-4653-A973-64B382757F23}"/>
    <cellStyle name="style1742181174299" xfId="120" xr:uid="{46F34E15-DE14-4229-8709-32323345F05B}"/>
    <cellStyle name="style1742181174390" xfId="121" xr:uid="{E26BB5E2-FDFF-4158-BF4F-605E6EF5B247}"/>
    <cellStyle name="style1742796322483" xfId="117" xr:uid="{AC333F03-0BB7-4398-9645-F38E6A28B2BA}"/>
    <cellStyle name="style1742796322971" xfId="118" xr:uid="{90D8E5A2-C9DE-4F44-A9E3-EBC46ABC7D4C}"/>
    <cellStyle name="style1742796323006" xfId="119" xr:uid="{186D42EF-AEB3-40CD-B33C-4471031B305D}"/>
    <cellStyle name="강조색3 2" xfId="97" xr:uid="{00000000-0005-0000-0000-000052000000}"/>
    <cellStyle name="강조색5 2" xfId="99" xr:uid="{00000000-0005-0000-0000-000053000000}"/>
    <cellStyle name="백분율" xfId="110" builtinId="5"/>
    <cellStyle name="백분율 2" xfId="88" xr:uid="{00000000-0005-0000-0000-000055000000}"/>
    <cellStyle name="백분율 3" xfId="80" xr:uid="{00000000-0005-0000-0000-000056000000}"/>
    <cellStyle name="백분율 4" xfId="74" xr:uid="{00000000-0005-0000-0000-000057000000}"/>
    <cellStyle name="백분율 5" xfId="106" xr:uid="{00000000-0005-0000-0000-000058000000}"/>
    <cellStyle name="쉼표 [0]" xfId="1" builtinId="6"/>
    <cellStyle name="쉼표 [0] 2" xfId="96" xr:uid="{00000000-0005-0000-0000-00005A000000}"/>
    <cellStyle name="쉼표 [0] 2 2" xfId="87" xr:uid="{00000000-0005-0000-0000-00005B000000}"/>
    <cellStyle name="쉼표 [0] 3" xfId="79" xr:uid="{00000000-0005-0000-0000-00005C000000}"/>
    <cellStyle name="쉼표 [0] 4" xfId="105" xr:uid="{00000000-0005-0000-0000-00005D000000}"/>
    <cellStyle name="콤마 [0]_10월2주 " xfId="86" xr:uid="{00000000-0005-0000-0000-00005E000000}"/>
    <cellStyle name="콤마_10월2주 " xfId="85" xr:uid="{00000000-0005-0000-0000-00005F000000}"/>
    <cellStyle name="표준" xfId="0" builtinId="0"/>
    <cellStyle name="표준 2" xfId="2" xr:uid="{00000000-0005-0000-0000-000061000000}"/>
    <cellStyle name="표준 2 2" xfId="78" xr:uid="{00000000-0005-0000-0000-000062000000}"/>
    <cellStyle name="표준 2 3" xfId="73" xr:uid="{00000000-0005-0000-0000-000063000000}"/>
    <cellStyle name="표준 2 4" xfId="102" xr:uid="{00000000-0005-0000-0000-000064000000}"/>
    <cellStyle name="표준 3" xfId="100" xr:uid="{00000000-0005-0000-0000-000065000000}"/>
    <cellStyle name="표준 4" xfId="84" xr:uid="{00000000-0005-0000-0000-000066000000}"/>
    <cellStyle name="표준 5" xfId="83" xr:uid="{00000000-0005-0000-0000-000067000000}"/>
    <cellStyle name="표준 6" xfId="82" xr:uid="{00000000-0005-0000-0000-000068000000}"/>
    <cellStyle name="표준 7" xfId="81" xr:uid="{00000000-0005-0000-0000-000069000000}"/>
    <cellStyle name="표준 8" xfId="107" xr:uid="{00000000-0005-0000-0000-00006A000000}"/>
    <cellStyle name="표준_전체시장(패션연구소)_시장규모1_03_상반기_시장규모_07_하반기_시장규모_08_상반기_시장규모" xfId="98" xr:uid="{00000000-0005-0000-0000-00006B000000}"/>
    <cellStyle name="표준_전체시장(패션연구소)_시장규모1_03_상반기_시장규모_07_하반기_시장규모_08_상반기_시장규모_10_상반기_시장규모0518" xfId="103" xr:uid="{00000000-0005-0000-0000-00006C000000}"/>
    <cellStyle name="표준_전체시장_시장규모1_03_상반기_시장규모_07_하반기_시장규모_08_상반기_시장규모" xfId="77" xr:uid="{00000000-0005-0000-0000-00006D000000}"/>
    <cellStyle name="표준_전체시장_시장규모1_03_상반기_시장규모_07_하반기_시장규모_08_상반기_시장규모 2" xfId="76" xr:uid="{00000000-0005-0000-0000-00006E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C4BC5"/>
      <color rgb="FF0073AC"/>
      <color rgb="FFED726F"/>
      <color rgb="FFFFFFFF"/>
      <color rgb="FFFCE8E8"/>
      <color rgb="FFEA7275"/>
      <color rgb="FFEAE8F8"/>
      <color rgb="FFF0EBF9"/>
      <color rgb="FF006699"/>
      <color rgb="FF764A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E34"/>
  <sheetViews>
    <sheetView showGridLines="0" tabSelected="1" zoomScale="85" zoomScaleNormal="85" workbookViewId="0">
      <selection activeCell="G15" sqref="G15"/>
    </sheetView>
  </sheetViews>
  <sheetFormatPr defaultRowHeight="16.5" x14ac:dyDescent="0.3"/>
  <cols>
    <col min="2" max="2" width="18.5" customWidth="1"/>
    <col min="3" max="3" width="64.25" customWidth="1"/>
  </cols>
  <sheetData>
    <row r="2" spans="2:5" ht="41.25" customHeight="1" thickBot="1" x14ac:dyDescent="0.35">
      <c r="B2" s="266" t="s">
        <v>574</v>
      </c>
      <c r="C2" s="267"/>
      <c r="D2" s="17"/>
      <c r="E2" s="17"/>
    </row>
    <row r="3" spans="2:5" ht="9.75" customHeight="1" thickTop="1" x14ac:dyDescent="0.3">
      <c r="B3" s="15"/>
      <c r="C3" s="18"/>
      <c r="D3" s="17"/>
      <c r="E3" s="17"/>
    </row>
    <row r="4" spans="2:5" ht="20.25" x14ac:dyDescent="0.3">
      <c r="B4" s="268" t="s">
        <v>504</v>
      </c>
      <c r="C4" s="268"/>
      <c r="D4" s="17"/>
      <c r="E4" s="17"/>
    </row>
    <row r="5" spans="2:5" x14ac:dyDescent="0.3">
      <c r="B5" s="17"/>
      <c r="C5" s="17"/>
      <c r="D5" s="17"/>
      <c r="E5" s="17"/>
    </row>
    <row r="6" spans="2:5" x14ac:dyDescent="0.3">
      <c r="B6" s="17"/>
      <c r="C6" s="17"/>
      <c r="D6" s="17"/>
      <c r="E6" s="17"/>
    </row>
    <row r="7" spans="2:5" ht="20.25" x14ac:dyDescent="0.3">
      <c r="B7" s="32" t="s">
        <v>505</v>
      </c>
      <c r="C7" s="32" t="s">
        <v>576</v>
      </c>
      <c r="D7" s="17"/>
      <c r="E7" s="17"/>
    </row>
    <row r="8" spans="2:5" ht="7.5" customHeight="1" x14ac:dyDescent="0.3">
      <c r="B8" s="174"/>
      <c r="C8" s="17"/>
      <c r="D8" s="17"/>
      <c r="E8" s="17"/>
    </row>
    <row r="9" spans="2:5" x14ac:dyDescent="0.3">
      <c r="B9" s="174"/>
      <c r="C9" s="17" t="s">
        <v>567</v>
      </c>
      <c r="D9" s="17"/>
      <c r="E9" s="17"/>
    </row>
    <row r="10" spans="2:5" x14ac:dyDescent="0.3">
      <c r="B10" s="174"/>
      <c r="C10" s="17" t="s">
        <v>575</v>
      </c>
      <c r="D10" s="17"/>
      <c r="E10" s="17"/>
    </row>
    <row r="11" spans="2:5" x14ac:dyDescent="0.3">
      <c r="B11" s="174"/>
      <c r="C11" s="17" t="s">
        <v>106</v>
      </c>
      <c r="D11" s="17"/>
      <c r="E11" s="17"/>
    </row>
    <row r="12" spans="2:5" ht="20.25" x14ac:dyDescent="0.3">
      <c r="B12" s="32" t="s">
        <v>506</v>
      </c>
      <c r="C12" s="32" t="s">
        <v>513</v>
      </c>
      <c r="D12" s="17"/>
      <c r="E12" s="17"/>
    </row>
    <row r="13" spans="2:5" ht="6.75" customHeight="1" x14ac:dyDescent="0.3">
      <c r="B13" s="174"/>
      <c r="C13" s="17"/>
      <c r="D13" s="17"/>
      <c r="E13" s="17"/>
    </row>
    <row r="14" spans="2:5" x14ac:dyDescent="0.3">
      <c r="B14" s="174"/>
      <c r="C14" s="17" t="s">
        <v>262</v>
      </c>
      <c r="D14" s="17"/>
      <c r="E14" s="17"/>
    </row>
    <row r="15" spans="2:5" x14ac:dyDescent="0.3">
      <c r="B15" s="174"/>
      <c r="C15" s="17" t="s">
        <v>263</v>
      </c>
      <c r="D15" s="17"/>
      <c r="E15" s="17"/>
    </row>
    <row r="16" spans="2:5" x14ac:dyDescent="0.3">
      <c r="B16" s="174"/>
      <c r="C16" s="17" t="s">
        <v>54</v>
      </c>
      <c r="D16" s="17"/>
      <c r="E16" s="17"/>
    </row>
    <row r="17" spans="2:5" x14ac:dyDescent="0.3">
      <c r="B17" s="174"/>
      <c r="C17" s="17" t="s">
        <v>236</v>
      </c>
      <c r="D17" s="17"/>
      <c r="E17" s="17"/>
    </row>
    <row r="18" spans="2:5" x14ac:dyDescent="0.3">
      <c r="B18" s="174"/>
      <c r="C18" s="17" t="s">
        <v>100</v>
      </c>
      <c r="D18" s="17"/>
      <c r="E18" s="17"/>
    </row>
    <row r="19" spans="2:5" x14ac:dyDescent="0.3">
      <c r="B19" s="174"/>
      <c r="C19" s="17" t="s">
        <v>577</v>
      </c>
      <c r="D19" s="17"/>
      <c r="E19" s="17"/>
    </row>
    <row r="20" spans="2:5" x14ac:dyDescent="0.3">
      <c r="B20" s="174"/>
      <c r="C20" s="17" t="s">
        <v>101</v>
      </c>
      <c r="D20" s="17"/>
      <c r="E20" s="17"/>
    </row>
    <row r="21" spans="2:5" x14ac:dyDescent="0.3">
      <c r="B21" s="174"/>
      <c r="C21" s="17" t="s">
        <v>102</v>
      </c>
      <c r="D21" s="17"/>
      <c r="E21" s="17"/>
    </row>
    <row r="22" spans="2:5" x14ac:dyDescent="0.3">
      <c r="B22" s="174"/>
      <c r="C22" s="17" t="s">
        <v>103</v>
      </c>
      <c r="D22" s="17"/>
      <c r="E22" s="17"/>
    </row>
    <row r="23" spans="2:5" x14ac:dyDescent="0.3">
      <c r="B23" s="174"/>
      <c r="C23" s="17" t="s">
        <v>104</v>
      </c>
      <c r="D23" s="17"/>
      <c r="E23" s="17"/>
    </row>
    <row r="24" spans="2:5" x14ac:dyDescent="0.3">
      <c r="B24" s="174"/>
      <c r="C24" s="17" t="s">
        <v>578</v>
      </c>
      <c r="D24" s="17"/>
      <c r="E24" s="17"/>
    </row>
    <row r="25" spans="2:5" x14ac:dyDescent="0.3">
      <c r="B25" s="174"/>
      <c r="C25" s="17"/>
      <c r="D25" s="17"/>
      <c r="E25" s="17"/>
    </row>
    <row r="26" spans="2:5" ht="20.25" x14ac:dyDescent="0.3">
      <c r="B26" s="32" t="s">
        <v>507</v>
      </c>
      <c r="C26" s="32" t="s">
        <v>579</v>
      </c>
      <c r="D26" s="17"/>
      <c r="E26" s="17"/>
    </row>
    <row r="27" spans="2:5" ht="8.25" customHeight="1" x14ac:dyDescent="0.3">
      <c r="B27" s="174"/>
      <c r="C27" s="17"/>
      <c r="D27" s="17"/>
      <c r="E27" s="17"/>
    </row>
    <row r="28" spans="2:5" x14ac:dyDescent="0.3">
      <c r="B28" s="174"/>
      <c r="C28" s="17" t="s">
        <v>112</v>
      </c>
      <c r="D28" s="17"/>
      <c r="E28" s="17"/>
    </row>
    <row r="29" spans="2:5" x14ac:dyDescent="0.3">
      <c r="B29" s="174"/>
      <c r="C29" s="17" t="s">
        <v>113</v>
      </c>
      <c r="D29" s="17"/>
      <c r="E29" s="17"/>
    </row>
    <row r="30" spans="2:5" x14ac:dyDescent="0.3">
      <c r="B30" s="174"/>
      <c r="C30" s="17" t="s">
        <v>114</v>
      </c>
      <c r="D30" s="17"/>
      <c r="E30" s="17"/>
    </row>
    <row r="31" spans="2:5" x14ac:dyDescent="0.3">
      <c r="B31" s="174"/>
      <c r="C31" s="17"/>
      <c r="D31" s="17"/>
      <c r="E31" s="17"/>
    </row>
    <row r="32" spans="2:5" ht="20.25" x14ac:dyDescent="0.3">
      <c r="B32" s="32" t="s">
        <v>508</v>
      </c>
      <c r="C32" s="32" t="s">
        <v>42</v>
      </c>
      <c r="D32" s="17"/>
      <c r="E32" s="17"/>
    </row>
    <row r="33" spans="2:5" ht="9.75" customHeight="1" x14ac:dyDescent="0.3">
      <c r="B33" s="17"/>
      <c r="C33" s="17"/>
      <c r="D33" s="17"/>
      <c r="E33" s="17"/>
    </row>
    <row r="34" spans="2:5" x14ac:dyDescent="0.3">
      <c r="B34" s="17"/>
      <c r="C34" s="17" t="s">
        <v>44</v>
      </c>
      <c r="D34" s="17"/>
      <c r="E34" s="17"/>
    </row>
  </sheetData>
  <mergeCells count="2">
    <mergeCell ref="B2:C2"/>
    <mergeCell ref="B4:C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AT217"/>
  <sheetViews>
    <sheetView showGridLines="0" zoomScaleNormal="100" workbookViewId="0">
      <selection activeCell="G41" sqref="G41"/>
    </sheetView>
  </sheetViews>
  <sheetFormatPr defaultRowHeight="16.5" x14ac:dyDescent="0.3"/>
  <cols>
    <col min="1" max="1" width="5.125" customWidth="1"/>
    <col min="3" max="3" width="10.375" customWidth="1"/>
    <col min="4" max="4" width="10.875" customWidth="1"/>
    <col min="5" max="12" width="10.375" customWidth="1"/>
    <col min="16" max="16" width="9" customWidth="1"/>
    <col min="24" max="24" width="10.125" bestFit="1" customWidth="1"/>
  </cols>
  <sheetData>
    <row r="2" spans="2:9" ht="20.25" x14ac:dyDescent="0.3">
      <c r="B2" s="278" t="s">
        <v>505</v>
      </c>
      <c r="C2" s="278"/>
      <c r="D2" s="32" t="s">
        <v>522</v>
      </c>
    </row>
    <row r="4" spans="2:9" ht="17.25" x14ac:dyDescent="0.3">
      <c r="B4" s="33" t="s">
        <v>567</v>
      </c>
    </row>
    <row r="5" spans="2:9" ht="17.25" x14ac:dyDescent="0.3">
      <c r="B5" s="33"/>
    </row>
    <row r="6" spans="2:9" x14ac:dyDescent="0.3">
      <c r="B6" s="259" t="s">
        <v>569</v>
      </c>
      <c r="C6" s="260"/>
      <c r="D6" s="260"/>
      <c r="E6" s="260"/>
      <c r="F6" s="260"/>
      <c r="G6" s="260"/>
      <c r="H6" s="260"/>
      <c r="I6" s="260"/>
    </row>
    <row r="7" spans="2:9" x14ac:dyDescent="0.3">
      <c r="E7" s="19"/>
      <c r="I7" s="19" t="s">
        <v>514</v>
      </c>
    </row>
    <row r="8" spans="2:9" ht="16.5" customHeight="1" x14ac:dyDescent="0.3">
      <c r="B8" s="279" t="s">
        <v>45</v>
      </c>
      <c r="C8" s="280" t="s">
        <v>531</v>
      </c>
      <c r="D8" s="281"/>
      <c r="E8" s="280" t="s">
        <v>529</v>
      </c>
      <c r="F8" s="281"/>
      <c r="G8" s="282" t="s">
        <v>530</v>
      </c>
      <c r="H8" s="283"/>
      <c r="I8" s="284"/>
    </row>
    <row r="9" spans="2:9" ht="27" x14ac:dyDescent="0.3">
      <c r="B9" s="279"/>
      <c r="C9" s="241" t="s">
        <v>518</v>
      </c>
      <c r="D9" s="241" t="s">
        <v>46</v>
      </c>
      <c r="E9" s="198" t="s">
        <v>518</v>
      </c>
      <c r="F9" s="198" t="s">
        <v>46</v>
      </c>
      <c r="G9" s="241" t="s">
        <v>518</v>
      </c>
      <c r="H9" s="241" t="s">
        <v>46</v>
      </c>
      <c r="I9" s="241" t="s">
        <v>532</v>
      </c>
    </row>
    <row r="10" spans="2:9" ht="22.5" customHeight="1" x14ac:dyDescent="0.3">
      <c r="B10" s="206" t="s">
        <v>20</v>
      </c>
      <c r="C10" s="242">
        <v>828827.60183333489</v>
      </c>
      <c r="D10" s="264">
        <v>100</v>
      </c>
      <c r="E10" s="242">
        <v>349583.31550000003</v>
      </c>
      <c r="F10" s="264">
        <v>100</v>
      </c>
      <c r="G10" s="242">
        <v>479244.28633333481</v>
      </c>
      <c r="H10" s="264">
        <v>100</v>
      </c>
      <c r="I10" s="244">
        <v>37.090148495183193</v>
      </c>
    </row>
    <row r="11" spans="2:9" ht="20.25" customHeight="1" x14ac:dyDescent="0.3">
      <c r="B11" s="43" t="s">
        <v>277</v>
      </c>
      <c r="C11" s="239">
        <v>72607.916532010349</v>
      </c>
      <c r="D11" s="265">
        <v>8.7603159416269953</v>
      </c>
      <c r="E11" s="175">
        <v>30655.2925</v>
      </c>
      <c r="F11" s="238">
        <v>8.7690948454317734</v>
      </c>
      <c r="G11" s="239">
        <v>41952.624032010353</v>
      </c>
      <c r="H11" s="238">
        <v>8.7539121964263789</v>
      </c>
      <c r="I11" s="240">
        <v>36.852793141707437</v>
      </c>
    </row>
    <row r="12" spans="2:9" ht="20.25" customHeight="1" x14ac:dyDescent="0.3">
      <c r="B12" s="43" t="s">
        <v>278</v>
      </c>
      <c r="C12" s="239">
        <v>63910.064252477969</v>
      </c>
      <c r="D12" s="265">
        <v>7.7108996021743677</v>
      </c>
      <c r="E12" s="175">
        <v>31417.323100000001</v>
      </c>
      <c r="F12" s="238">
        <v>8.9870773881369637</v>
      </c>
      <c r="G12" s="239">
        <v>32492.741152477967</v>
      </c>
      <c r="H12" s="238">
        <v>6.779995521924258</v>
      </c>
      <c r="I12" s="240">
        <v>3.4230098123094574</v>
      </c>
    </row>
    <row r="13" spans="2:9" ht="20.25" customHeight="1" x14ac:dyDescent="0.3">
      <c r="B13" s="43" t="s">
        <v>22</v>
      </c>
      <c r="C13" s="239">
        <v>224695.3365334422</v>
      </c>
      <c r="D13" s="265">
        <v>27.110020954469267</v>
      </c>
      <c r="E13" s="175">
        <v>84661.050499999998</v>
      </c>
      <c r="F13" s="238">
        <v>24.217703404669493</v>
      </c>
      <c r="G13" s="239">
        <v>140034.28603344219</v>
      </c>
      <c r="H13" s="238">
        <v>29.219813365921361</v>
      </c>
      <c r="I13" s="240">
        <v>65.405797833139559</v>
      </c>
    </row>
    <row r="14" spans="2:9" ht="20.25" customHeight="1" x14ac:dyDescent="0.3">
      <c r="B14" s="43" t="s">
        <v>268</v>
      </c>
      <c r="C14" s="239">
        <v>101856.74222338079</v>
      </c>
      <c r="D14" s="265">
        <v>12.289255569925226</v>
      </c>
      <c r="E14" s="175">
        <v>42656.614300000001</v>
      </c>
      <c r="F14" s="238">
        <v>12.202131053934695</v>
      </c>
      <c r="G14" s="239">
        <v>59200.127923380787</v>
      </c>
      <c r="H14" s="238">
        <v>12.352808288298418</v>
      </c>
      <c r="I14" s="240">
        <v>38.782997419888495</v>
      </c>
    </row>
    <row r="15" spans="2:9" ht="20.25" customHeight="1" x14ac:dyDescent="0.3">
      <c r="B15" s="43" t="s">
        <v>272</v>
      </c>
      <c r="C15" s="239">
        <v>45635.784852024568</v>
      </c>
      <c r="D15" s="265">
        <v>5.5060648017850706</v>
      </c>
      <c r="E15" s="175">
        <v>23271.638000000003</v>
      </c>
      <c r="F15" s="238">
        <v>6.656964725766497</v>
      </c>
      <c r="G15" s="239">
        <v>22364.146852024565</v>
      </c>
      <c r="H15" s="238">
        <v>4.6665442843630167</v>
      </c>
      <c r="I15" s="240">
        <v>-3.8995585440760006</v>
      </c>
    </row>
    <row r="16" spans="2:9" ht="20.25" customHeight="1" x14ac:dyDescent="0.3">
      <c r="B16" s="43" t="s">
        <v>270</v>
      </c>
      <c r="C16" s="239">
        <v>79044.53576814929</v>
      </c>
      <c r="D16" s="265">
        <v>9.5369091947837887</v>
      </c>
      <c r="E16" s="175">
        <v>27613.847099999999</v>
      </c>
      <c r="F16" s="238">
        <v>7.8990746627895057</v>
      </c>
      <c r="G16" s="239">
        <v>51430.688668149291</v>
      </c>
      <c r="H16" s="238">
        <v>10.731622709921481</v>
      </c>
      <c r="I16" s="240">
        <v>86.249632229437864</v>
      </c>
    </row>
    <row r="17" spans="2:13" ht="20.25" customHeight="1" x14ac:dyDescent="0.3">
      <c r="B17" s="43" t="s">
        <v>273</v>
      </c>
      <c r="C17" s="239">
        <v>20440.410573116118</v>
      </c>
      <c r="D17" s="265">
        <v>2.4661836222518065</v>
      </c>
      <c r="E17" s="175">
        <v>8470.0378000000019</v>
      </c>
      <c r="F17" s="238">
        <v>2.4228953226459118</v>
      </c>
      <c r="G17" s="239">
        <v>11970.372773116116</v>
      </c>
      <c r="H17" s="238">
        <v>2.4977601433082528</v>
      </c>
      <c r="I17" s="240">
        <v>41.326084437499368</v>
      </c>
    </row>
    <row r="18" spans="2:13" ht="20.25" customHeight="1" x14ac:dyDescent="0.3">
      <c r="B18" s="43" t="s">
        <v>274</v>
      </c>
      <c r="C18" s="239">
        <v>18627.233328371654</v>
      </c>
      <c r="D18" s="265">
        <v>2.2474195221260644</v>
      </c>
      <c r="E18" s="175">
        <v>7230.2538999999997</v>
      </c>
      <c r="F18" s="238">
        <v>2.0682491353052002</v>
      </c>
      <c r="G18" s="239">
        <v>11396.979428371655</v>
      </c>
      <c r="H18" s="238">
        <v>2.3781148264842473</v>
      </c>
      <c r="I18" s="240">
        <v>57.629034692290062</v>
      </c>
    </row>
    <row r="19" spans="2:13" ht="19.5" customHeight="1" x14ac:dyDescent="0.3">
      <c r="B19" s="43" t="s">
        <v>23</v>
      </c>
      <c r="C19" s="239">
        <v>123117.51134587577</v>
      </c>
      <c r="D19" s="265">
        <v>14.854417381074731</v>
      </c>
      <c r="E19" s="175">
        <v>51031.216800000002</v>
      </c>
      <c r="F19" s="238">
        <v>14.597726646940048</v>
      </c>
      <c r="G19" s="239">
        <v>72086.294545875775</v>
      </c>
      <c r="H19" s="238">
        <v>15.0416596716057</v>
      </c>
      <c r="I19" s="240">
        <v>41.259211647635595</v>
      </c>
    </row>
    <row r="20" spans="2:13" ht="19.5" customHeight="1" x14ac:dyDescent="0.3">
      <c r="B20" s="43" t="s">
        <v>275</v>
      </c>
      <c r="C20" s="239">
        <v>68326.404000340932</v>
      </c>
      <c r="D20" s="265">
        <v>8.2437413823098495</v>
      </c>
      <c r="E20" s="175">
        <v>37237.6561</v>
      </c>
      <c r="F20" s="238">
        <v>10.65201182348761</v>
      </c>
      <c r="G20" s="239">
        <v>31088.747900340932</v>
      </c>
      <c r="H20" s="238">
        <v>6.4870356907536255</v>
      </c>
      <c r="I20" s="240">
        <v>-16.512608052307215</v>
      </c>
    </row>
    <row r="21" spans="2:13" ht="19.5" customHeight="1" x14ac:dyDescent="0.3">
      <c r="B21" s="43" t="s">
        <v>276</v>
      </c>
      <c r="C21" s="239">
        <v>10565.661624145501</v>
      </c>
      <c r="D21" s="265">
        <v>1.2747719309509797</v>
      </c>
      <c r="E21" s="175">
        <v>5338.3849000000009</v>
      </c>
      <c r="F21" s="238">
        <v>1.5270708478648778</v>
      </c>
      <c r="G21" s="239">
        <v>5227.2767241454994</v>
      </c>
      <c r="H21" s="238">
        <v>1.0907332383947725</v>
      </c>
      <c r="I21" s="240">
        <v>-2.0813069483712479</v>
      </c>
    </row>
    <row r="24" spans="2:13" x14ac:dyDescent="0.3">
      <c r="B24" s="259" t="s">
        <v>570</v>
      </c>
      <c r="C24" s="260"/>
      <c r="D24" s="260"/>
      <c r="E24" s="260"/>
      <c r="F24" s="260"/>
      <c r="G24" s="260"/>
      <c r="H24" s="260"/>
      <c r="I24" s="260"/>
      <c r="J24" s="260"/>
      <c r="K24" s="260"/>
      <c r="L24" s="260"/>
      <c r="M24" s="260"/>
    </row>
    <row r="25" spans="2:13" x14ac:dyDescent="0.3">
      <c r="E25" s="19"/>
      <c r="M25" s="19" t="s">
        <v>514</v>
      </c>
    </row>
    <row r="26" spans="2:13" ht="16.5" customHeight="1" x14ac:dyDescent="0.3">
      <c r="B26" s="279" t="s">
        <v>45</v>
      </c>
      <c r="C26" s="282" t="s">
        <v>533</v>
      </c>
      <c r="D26" s="283"/>
      <c r="E26" s="282" t="s">
        <v>534</v>
      </c>
      <c r="F26" s="283"/>
      <c r="G26" s="283"/>
      <c r="H26" s="282" t="s">
        <v>535</v>
      </c>
      <c r="I26" s="283"/>
      <c r="J26" s="284"/>
      <c r="K26" s="282" t="s">
        <v>536</v>
      </c>
      <c r="L26" s="283"/>
      <c r="M26" s="283"/>
    </row>
    <row r="27" spans="2:13" ht="27" x14ac:dyDescent="0.3">
      <c r="B27" s="279"/>
      <c r="C27" s="198" t="s">
        <v>518</v>
      </c>
      <c r="D27" s="198" t="s">
        <v>46</v>
      </c>
      <c r="E27" s="241" t="s">
        <v>518</v>
      </c>
      <c r="F27" s="241" t="s">
        <v>46</v>
      </c>
      <c r="G27" s="241" t="s">
        <v>537</v>
      </c>
      <c r="H27" s="241" t="s">
        <v>518</v>
      </c>
      <c r="I27" s="241" t="s">
        <v>46</v>
      </c>
      <c r="J27" s="241" t="s">
        <v>543</v>
      </c>
      <c r="K27" s="241" t="s">
        <v>518</v>
      </c>
      <c r="L27" s="241" t="s">
        <v>46</v>
      </c>
      <c r="M27" s="241" t="s">
        <v>544</v>
      </c>
    </row>
    <row r="28" spans="2:13" ht="22.5" customHeight="1" x14ac:dyDescent="0.3">
      <c r="B28" s="206" t="s">
        <v>20</v>
      </c>
      <c r="C28" s="242">
        <v>292885.01620000001</v>
      </c>
      <c r="D28" s="243">
        <v>100</v>
      </c>
      <c r="E28" s="242">
        <v>56698.299299999999</v>
      </c>
      <c r="F28" s="243">
        <v>100</v>
      </c>
      <c r="G28" s="244">
        <v>-80.641447611207624</v>
      </c>
      <c r="H28" s="242">
        <v>282658.4253108917</v>
      </c>
      <c r="I28" s="243">
        <v>100</v>
      </c>
      <c r="J28" s="244">
        <v>398.53069457215923</v>
      </c>
      <c r="K28" s="242">
        <v>196585.86102244313</v>
      </c>
      <c r="L28" s="243">
        <v>100</v>
      </c>
      <c r="M28" s="244">
        <v>-30.451087454328903</v>
      </c>
    </row>
    <row r="29" spans="2:13" ht="20.25" customHeight="1" x14ac:dyDescent="0.3">
      <c r="B29" s="43" t="s">
        <v>277</v>
      </c>
      <c r="C29" s="175">
        <v>26921.505099999998</v>
      </c>
      <c r="D29" s="238">
        <v>9.1918342048663657</v>
      </c>
      <c r="E29" s="239">
        <v>3733.7874000000002</v>
      </c>
      <c r="F29" s="238">
        <v>6.5853604889344535</v>
      </c>
      <c r="G29" s="240">
        <v>-86.130837090531003</v>
      </c>
      <c r="H29" s="239">
        <v>26075.870305172142</v>
      </c>
      <c r="I29" s="238">
        <v>9.2252230855994082</v>
      </c>
      <c r="J29" s="240">
        <v>598.37587178027707</v>
      </c>
      <c r="K29" s="239">
        <v>15876.753726838215</v>
      </c>
      <c r="L29" s="238">
        <v>8.0762439598978339</v>
      </c>
      <c r="M29" s="240">
        <v>-39.113235565951314</v>
      </c>
    </row>
    <row r="30" spans="2:13" ht="20.25" customHeight="1" x14ac:dyDescent="0.3">
      <c r="B30" s="43" t="s">
        <v>278</v>
      </c>
      <c r="C30" s="175">
        <v>28566.4005</v>
      </c>
      <c r="D30" s="238">
        <v>9.753452351585338</v>
      </c>
      <c r="E30" s="239">
        <v>2850.9225999999999</v>
      </c>
      <c r="F30" s="238">
        <v>5.0282330073346664</v>
      </c>
      <c r="G30" s="240">
        <v>-90.020014597218847</v>
      </c>
      <c r="H30" s="239">
        <v>18446.479761866602</v>
      </c>
      <c r="I30" s="238">
        <v>6.526067546572369</v>
      </c>
      <c r="J30" s="240">
        <v>547.03544606460389</v>
      </c>
      <c r="K30" s="239">
        <v>14046.261390611362</v>
      </c>
      <c r="L30" s="238">
        <v>7.1451025610675929</v>
      </c>
      <c r="M30" s="240">
        <v>-23.853973376272965</v>
      </c>
    </row>
    <row r="31" spans="2:13" ht="20.25" customHeight="1" x14ac:dyDescent="0.3">
      <c r="B31" s="43" t="s">
        <v>22</v>
      </c>
      <c r="C31" s="175">
        <v>69306.643599999996</v>
      </c>
      <c r="D31" s="238">
        <v>23.663430959770619</v>
      </c>
      <c r="E31" s="239">
        <v>15354.406899999998</v>
      </c>
      <c r="F31" s="238">
        <v>27.080894999614209</v>
      </c>
      <c r="G31" s="240">
        <v>-77.845692559262815</v>
      </c>
      <c r="H31" s="239">
        <v>84698.742407259211</v>
      </c>
      <c r="I31" s="238">
        <v>29.965051391657742</v>
      </c>
      <c r="J31" s="240">
        <v>451.62496968384511</v>
      </c>
      <c r="K31" s="239">
        <v>55335.543626182982</v>
      </c>
      <c r="L31" s="238">
        <v>28.148282556223929</v>
      </c>
      <c r="M31" s="240">
        <v>-34.667809635104597</v>
      </c>
    </row>
    <row r="32" spans="2:13" ht="20.25" customHeight="1" x14ac:dyDescent="0.3">
      <c r="B32" s="43" t="s">
        <v>268</v>
      </c>
      <c r="C32" s="175">
        <v>35120.724699999999</v>
      </c>
      <c r="D32" s="238">
        <v>11.991301281188587</v>
      </c>
      <c r="E32" s="239">
        <v>7535.8895999999995</v>
      </c>
      <c r="F32" s="238">
        <v>13.291209247964161</v>
      </c>
      <c r="G32" s="240">
        <v>-78.542898347425051</v>
      </c>
      <c r="H32" s="239">
        <v>35130.801391948626</v>
      </c>
      <c r="I32" s="238">
        <v>12.428711917328766</v>
      </c>
      <c r="J32" s="240">
        <v>366.17988395090913</v>
      </c>
      <c r="K32" s="239">
        <v>24069.326531432162</v>
      </c>
      <c r="L32" s="238">
        <v>12.243671241791034</v>
      </c>
      <c r="M32" s="240">
        <v>-31.486542925979379</v>
      </c>
    </row>
    <row r="33" spans="2:30" ht="20.25" customHeight="1" x14ac:dyDescent="0.3">
      <c r="B33" s="43" t="s">
        <v>272</v>
      </c>
      <c r="C33" s="175">
        <v>19208.232100000001</v>
      </c>
      <c r="D33" s="238">
        <v>6.55828432236473</v>
      </c>
      <c r="E33" s="239">
        <v>4063.4059000000002</v>
      </c>
      <c r="F33" s="238">
        <v>7.1667156690183127</v>
      </c>
      <c r="G33" s="240">
        <v>-78.845497707204402</v>
      </c>
      <c r="H33" s="239">
        <v>13901.834107828836</v>
      </c>
      <c r="I33" s="238">
        <v>4.9182450841641883</v>
      </c>
      <c r="J33" s="240">
        <v>242.12270321871699</v>
      </c>
      <c r="K33" s="239">
        <v>8462.3127441957295</v>
      </c>
      <c r="L33" s="238">
        <v>4.3046395606394263</v>
      </c>
      <c r="M33" s="240">
        <v>-39.128084261700643</v>
      </c>
    </row>
    <row r="34" spans="2:30" ht="20.25" customHeight="1" x14ac:dyDescent="0.3">
      <c r="B34" s="43" t="s">
        <v>270</v>
      </c>
      <c r="C34" s="175">
        <v>23518.046799999996</v>
      </c>
      <c r="D34" s="238">
        <v>8.0297883125371001</v>
      </c>
      <c r="E34" s="239">
        <v>4095.8003000000003</v>
      </c>
      <c r="F34" s="238">
        <v>7.2238503633564903</v>
      </c>
      <c r="G34" s="240">
        <v>-82.584436816411127</v>
      </c>
      <c r="H34" s="239">
        <v>30812.462105646053</v>
      </c>
      <c r="I34" s="238">
        <v>10.900953004233251</v>
      </c>
      <c r="J34" s="240">
        <v>652.29405363454975</v>
      </c>
      <c r="K34" s="239">
        <v>20618.226562503231</v>
      </c>
      <c r="L34" s="238">
        <v>10.488153346974103</v>
      </c>
      <c r="M34" s="240">
        <v>-33.084780788338357</v>
      </c>
    </row>
    <row r="35" spans="2:30" ht="20.25" customHeight="1" x14ac:dyDescent="0.3">
      <c r="B35" s="43" t="s">
        <v>273</v>
      </c>
      <c r="C35" s="175">
        <v>6761.5716000000011</v>
      </c>
      <c r="D35" s="238">
        <v>2.3086095996740172</v>
      </c>
      <c r="E35" s="239">
        <v>1708.4662000000001</v>
      </c>
      <c r="F35" s="238">
        <v>3.0132582830398937</v>
      </c>
      <c r="G35" s="240">
        <v>-74.732705633110513</v>
      </c>
      <c r="H35" s="239">
        <v>6743.9379679963367</v>
      </c>
      <c r="I35" s="238">
        <v>2.3858966739020011</v>
      </c>
      <c r="J35" s="240">
        <v>294.7363997014595</v>
      </c>
      <c r="K35" s="239">
        <v>5226.4348051197785</v>
      </c>
      <c r="L35" s="238">
        <v>2.6586015789421933</v>
      </c>
      <c r="M35" s="240">
        <v>-22.501736671925784</v>
      </c>
    </row>
    <row r="36" spans="2:30" ht="20.25" customHeight="1" x14ac:dyDescent="0.3">
      <c r="B36" s="43" t="s">
        <v>274</v>
      </c>
      <c r="C36" s="175">
        <v>5403.3161</v>
      </c>
      <c r="D36" s="238">
        <v>1.8448591771967882</v>
      </c>
      <c r="E36" s="239">
        <v>1826.9378000000002</v>
      </c>
      <c r="F36" s="238">
        <v>3.2222091712722682</v>
      </c>
      <c r="G36" s="240">
        <v>-66.188581859943369</v>
      </c>
      <c r="H36" s="239">
        <v>6547.9230515685977</v>
      </c>
      <c r="I36" s="238">
        <v>2.3165497523615781</v>
      </c>
      <c r="J36" s="240">
        <v>258.40974178587783</v>
      </c>
      <c r="K36" s="239">
        <v>4849.0563768030588</v>
      </c>
      <c r="L36" s="238">
        <v>2.4666353681709943</v>
      </c>
      <c r="M36" s="240">
        <v>-25.945122772305098</v>
      </c>
    </row>
    <row r="37" spans="2:30" ht="19.5" customHeight="1" x14ac:dyDescent="0.3">
      <c r="B37" s="43" t="s">
        <v>23</v>
      </c>
      <c r="C37" s="175">
        <v>42262.521500000003</v>
      </c>
      <c r="D37" s="238">
        <v>14.429731520010753</v>
      </c>
      <c r="E37" s="239">
        <v>8768.6952999999994</v>
      </c>
      <c r="F37" s="238">
        <v>15.465534960058317</v>
      </c>
      <c r="G37" s="240">
        <v>-79.251840664547188</v>
      </c>
      <c r="H37" s="239">
        <v>42011.901242555847</v>
      </c>
      <c r="I37" s="238">
        <v>14.863134256956112</v>
      </c>
      <c r="J37" s="240">
        <v>379.1123400371302</v>
      </c>
      <c r="K37" s="239">
        <v>30074.393303319939</v>
      </c>
      <c r="L37" s="238">
        <v>15.29835011882493</v>
      </c>
      <c r="M37" s="240">
        <v>-28.414586310471091</v>
      </c>
    </row>
    <row r="38" spans="2:30" ht="19.5" customHeight="1" x14ac:dyDescent="0.3">
      <c r="B38" s="43" t="s">
        <v>275</v>
      </c>
      <c r="C38" s="175">
        <v>31644.827599999997</v>
      </c>
      <c r="D38" s="238">
        <v>10.80452254286404</v>
      </c>
      <c r="E38" s="239">
        <v>5592.8285000000005</v>
      </c>
      <c r="F38" s="238">
        <v>9.8641909352649666</v>
      </c>
      <c r="G38" s="240">
        <v>-82.326247528679858</v>
      </c>
      <c r="H38" s="239">
        <v>15450.040318167585</v>
      </c>
      <c r="I38" s="238">
        <v>5.4659755148548355</v>
      </c>
      <c r="J38" s="240">
        <v>176.24734636807801</v>
      </c>
      <c r="K38" s="239">
        <v>15638.707582173345</v>
      </c>
      <c r="L38" s="238">
        <v>7.955153794294473</v>
      </c>
      <c r="M38" s="240">
        <v>1.2211441531573743</v>
      </c>
    </row>
    <row r="39" spans="2:30" ht="19.5" customHeight="1" x14ac:dyDescent="0.3">
      <c r="B39" s="43" t="s">
        <v>276</v>
      </c>
      <c r="C39" s="175">
        <v>4171.2260000000006</v>
      </c>
      <c r="D39" s="238">
        <v>1.4241855230831026</v>
      </c>
      <c r="E39" s="239">
        <v>1167.1588999999999</v>
      </c>
      <c r="F39" s="238">
        <v>2.0585430505143916</v>
      </c>
      <c r="G39" s="240">
        <v>-72.018804543316534</v>
      </c>
      <c r="H39" s="239">
        <v>2838.4323508818979</v>
      </c>
      <c r="I39" s="238">
        <v>1.0041916662345902</v>
      </c>
      <c r="J39" s="240">
        <v>143.19159549585737</v>
      </c>
      <c r="K39" s="239">
        <v>2388.8443732636015</v>
      </c>
      <c r="L39" s="238">
        <v>1.2151659131736234</v>
      </c>
      <c r="M39" s="240">
        <v>-15.839305716714014</v>
      </c>
    </row>
    <row r="42" spans="2:30" x14ac:dyDescent="0.3">
      <c r="B42" s="259" t="s">
        <v>571</v>
      </c>
      <c r="C42" s="260"/>
      <c r="D42" s="260"/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  <c r="AA42" s="260"/>
      <c r="AB42" s="260"/>
      <c r="AC42" s="260"/>
      <c r="AD42" s="260"/>
    </row>
    <row r="43" spans="2:30" x14ac:dyDescent="0.3">
      <c r="E43" s="19"/>
      <c r="Z43" s="19" t="s">
        <v>514</v>
      </c>
    </row>
    <row r="44" spans="2:30" ht="16.5" customHeight="1" x14ac:dyDescent="0.3">
      <c r="B44" s="279" t="s">
        <v>45</v>
      </c>
      <c r="C44" s="274" t="s">
        <v>531</v>
      </c>
      <c r="D44" s="275"/>
      <c r="E44" s="275"/>
      <c r="F44" s="275"/>
      <c r="G44" s="275"/>
      <c r="H44" s="275"/>
      <c r="I44" s="275"/>
      <c r="J44" s="285"/>
      <c r="K44" s="274" t="s">
        <v>529</v>
      </c>
      <c r="L44" s="275"/>
      <c r="M44" s="275"/>
      <c r="N44" s="275"/>
      <c r="O44" s="275"/>
      <c r="P44" s="275"/>
      <c r="Q44" s="275"/>
      <c r="R44" s="285"/>
      <c r="S44" s="274" t="s">
        <v>530</v>
      </c>
      <c r="T44" s="275"/>
      <c r="U44" s="275"/>
      <c r="V44" s="275"/>
      <c r="W44" s="275"/>
      <c r="X44" s="275"/>
      <c r="Y44" s="275"/>
      <c r="Z44" s="275"/>
      <c r="AA44" s="275"/>
      <c r="AB44" s="275"/>
      <c r="AC44" s="275"/>
      <c r="AD44" s="275"/>
    </row>
    <row r="45" spans="2:30" x14ac:dyDescent="0.3">
      <c r="B45" s="279"/>
      <c r="C45" s="269" t="s">
        <v>20</v>
      </c>
      <c r="D45" s="271"/>
      <c r="E45" s="269" t="s">
        <v>509</v>
      </c>
      <c r="F45" s="271"/>
      <c r="G45" s="269" t="s">
        <v>510</v>
      </c>
      <c r="H45" s="271"/>
      <c r="I45" s="269" t="s">
        <v>511</v>
      </c>
      <c r="J45" s="271"/>
      <c r="K45" s="269" t="s">
        <v>20</v>
      </c>
      <c r="L45" s="271"/>
      <c r="M45" s="269" t="s">
        <v>509</v>
      </c>
      <c r="N45" s="271"/>
      <c r="O45" s="269" t="s">
        <v>510</v>
      </c>
      <c r="P45" s="271"/>
      <c r="Q45" s="269" t="s">
        <v>511</v>
      </c>
      <c r="R45" s="271"/>
      <c r="S45" s="269" t="s">
        <v>20</v>
      </c>
      <c r="T45" s="270"/>
      <c r="U45" s="271"/>
      <c r="V45" s="269" t="s">
        <v>509</v>
      </c>
      <c r="W45" s="270"/>
      <c r="X45" s="271"/>
      <c r="Y45" s="269" t="s">
        <v>510</v>
      </c>
      <c r="Z45" s="270"/>
      <c r="AA45" s="271"/>
      <c r="AB45" s="269" t="s">
        <v>511</v>
      </c>
      <c r="AC45" s="270"/>
      <c r="AD45" s="271"/>
    </row>
    <row r="46" spans="2:30" ht="27" x14ac:dyDescent="0.3">
      <c r="B46" s="279"/>
      <c r="C46" s="198" t="s">
        <v>518</v>
      </c>
      <c r="D46" s="199" t="s">
        <v>512</v>
      </c>
      <c r="E46" s="198" t="s">
        <v>518</v>
      </c>
      <c r="F46" s="200" t="s">
        <v>46</v>
      </c>
      <c r="G46" s="198" t="s">
        <v>518</v>
      </c>
      <c r="H46" s="200" t="s">
        <v>512</v>
      </c>
      <c r="I46" s="198" t="s">
        <v>518</v>
      </c>
      <c r="J46" s="199" t="s">
        <v>512</v>
      </c>
      <c r="K46" s="198" t="s">
        <v>518</v>
      </c>
      <c r="L46" s="199" t="s">
        <v>512</v>
      </c>
      <c r="M46" s="198" t="s">
        <v>518</v>
      </c>
      <c r="N46" s="200" t="s">
        <v>46</v>
      </c>
      <c r="O46" s="198" t="s">
        <v>518</v>
      </c>
      <c r="P46" s="200" t="s">
        <v>512</v>
      </c>
      <c r="Q46" s="198" t="s">
        <v>518</v>
      </c>
      <c r="R46" s="199" t="s">
        <v>512</v>
      </c>
      <c r="S46" s="198" t="s">
        <v>518</v>
      </c>
      <c r="T46" s="199" t="s">
        <v>512</v>
      </c>
      <c r="U46" s="241" t="s">
        <v>532</v>
      </c>
      <c r="V46" s="198" t="s">
        <v>518</v>
      </c>
      <c r="W46" s="200" t="s">
        <v>46</v>
      </c>
      <c r="X46" s="241" t="s">
        <v>532</v>
      </c>
      <c r="Y46" s="198" t="s">
        <v>518</v>
      </c>
      <c r="Z46" s="200" t="s">
        <v>512</v>
      </c>
      <c r="AA46" s="241" t="s">
        <v>532</v>
      </c>
      <c r="AB46" s="198" t="s">
        <v>518</v>
      </c>
      <c r="AC46" s="199" t="s">
        <v>512</v>
      </c>
      <c r="AD46" s="241" t="s">
        <v>532</v>
      </c>
    </row>
    <row r="47" spans="2:30" ht="22.5" customHeight="1" x14ac:dyDescent="0.3">
      <c r="B47" s="206" t="s">
        <v>20</v>
      </c>
      <c r="C47" s="207">
        <v>828827.60183333477</v>
      </c>
      <c r="D47" s="208">
        <f>C47/$C$47*100</f>
        <v>100</v>
      </c>
      <c r="E47" s="207">
        <v>602588.07435525348</v>
      </c>
      <c r="F47" s="208">
        <f>E47/$C$47*100</f>
        <v>72.703668775310064</v>
      </c>
      <c r="G47" s="207">
        <v>201500.6233833532</v>
      </c>
      <c r="H47" s="208">
        <f>G47/$C$47*100</f>
        <v>24.311524246736184</v>
      </c>
      <c r="I47" s="207">
        <v>24738.904094728045</v>
      </c>
      <c r="J47" s="208">
        <f>I47/$C$47*100</f>
        <v>2.9848069779537432</v>
      </c>
      <c r="K47" s="207">
        <v>349583.31533103873</v>
      </c>
      <c r="L47" s="208">
        <f>K47/K$47*100</f>
        <v>100</v>
      </c>
      <c r="M47" s="207">
        <v>254375.08016040994</v>
      </c>
      <c r="N47" s="208">
        <f>M47/$K$47*100</f>
        <v>72.765223340115327</v>
      </c>
      <c r="O47" s="207">
        <v>83735.006071617448</v>
      </c>
      <c r="P47" s="208">
        <f>O47/$K$47*100</f>
        <v>23.952803923815527</v>
      </c>
      <c r="Q47" s="207">
        <v>11473.229099011342</v>
      </c>
      <c r="R47" s="208">
        <f>Q47/$K$47*100</f>
        <v>3.281972736069152</v>
      </c>
      <c r="S47" s="207">
        <v>479244.28631993942</v>
      </c>
      <c r="T47" s="208">
        <f>S47/S$47*100</f>
        <v>100</v>
      </c>
      <c r="U47" s="244">
        <f>(S47-K47)/K47*100</f>
        <v>37.090148557610057</v>
      </c>
      <c r="V47" s="207">
        <v>348212.99404607597</v>
      </c>
      <c r="W47" s="208">
        <f>V47/$S$47*100</f>
        <v>72.658767978218933</v>
      </c>
      <c r="X47" s="244">
        <f>(V47-M47)/M47*100</f>
        <v>36.889585971429071</v>
      </c>
      <c r="Y47" s="207">
        <v>117765.61731590203</v>
      </c>
      <c r="Z47" s="208">
        <f>Y47/$S$47*100</f>
        <v>24.573191726543129</v>
      </c>
      <c r="AA47" s="244">
        <f>(Y47-O47)/O47*100</f>
        <v>40.640841675199312</v>
      </c>
      <c r="AB47" s="207">
        <v>13265.674957961401</v>
      </c>
      <c r="AC47" s="208">
        <f>AB47/$S$47*100</f>
        <v>2.7680402952379382</v>
      </c>
      <c r="AD47" s="244">
        <f>(AB47-Q47)/Q47*100</f>
        <v>15.622854241658224</v>
      </c>
    </row>
    <row r="48" spans="2:30" ht="20.25" customHeight="1" x14ac:dyDescent="0.3">
      <c r="B48" s="43" t="s">
        <v>277</v>
      </c>
      <c r="C48" s="175">
        <v>72607.916532010349</v>
      </c>
      <c r="D48" s="195">
        <f t="shared" ref="D48:D58" si="0">C48/$C$47*100</f>
        <v>8.7603159416269971</v>
      </c>
      <c r="E48" s="175">
        <v>53475.881229204977</v>
      </c>
      <c r="F48" s="195">
        <f>E48/$E$47*100</f>
        <v>8.87436766590878</v>
      </c>
      <c r="G48" s="175">
        <v>17453.080952635599</v>
      </c>
      <c r="H48" s="195">
        <f>G48/$G$47*100</f>
        <v>8.6615518401802962</v>
      </c>
      <c r="I48" s="175">
        <v>1678.9543501698295</v>
      </c>
      <c r="J48" s="195">
        <f>I48/$I$47*100</f>
        <v>6.7866965478378685</v>
      </c>
      <c r="K48" s="175">
        <v>30655.292432326965</v>
      </c>
      <c r="L48" s="195">
        <f>K48/K$47*100</f>
        <v>8.7690948303118716</v>
      </c>
      <c r="M48" s="175">
        <v>21769.550888215224</v>
      </c>
      <c r="N48" s="195">
        <f>M48/M$47*100</f>
        <v>8.5580517063571087</v>
      </c>
      <c r="O48" s="175">
        <v>7908.4632385267942</v>
      </c>
      <c r="P48" s="195">
        <f>O48/O$47*100</f>
        <v>9.444632071517125</v>
      </c>
      <c r="Q48" s="175">
        <v>977.27830558494531</v>
      </c>
      <c r="R48" s="195">
        <f>Q48/Q$47*100</f>
        <v>8.5179010821736156</v>
      </c>
      <c r="S48" s="175">
        <v>41952.624146789349</v>
      </c>
      <c r="T48" s="195">
        <f>S48/S$47*100</f>
        <v>8.7539122206210571</v>
      </c>
      <c r="U48" s="257">
        <f t="shared" ref="U48:U58" si="1">(S48-K48)/K48*100</f>
        <v>36.852793818234773</v>
      </c>
      <c r="V48" s="175">
        <v>31706.330389248091</v>
      </c>
      <c r="W48" s="195">
        <f t="shared" ref="W48:W58" si="2">V48/V$47*100</f>
        <v>9.1054414773081884</v>
      </c>
      <c r="X48" s="257">
        <f t="shared" ref="X48:X58" si="3">(V48-M48)/M48*100</f>
        <v>45.645312354202325</v>
      </c>
      <c r="Y48" s="175">
        <v>9544.6177153240151</v>
      </c>
      <c r="Z48" s="195">
        <f t="shared" ref="Z48:Z58" si="4">Y48/Y$47*100</f>
        <v>8.1047575114567803</v>
      </c>
      <c r="AA48" s="257">
        <f t="shared" ref="AA48:AA58" si="5">(Y48-O48)/O48*100</f>
        <v>20.68865249099909</v>
      </c>
      <c r="AB48" s="175">
        <v>701.67604221724901</v>
      </c>
      <c r="AC48" s="195">
        <f t="shared" ref="AC48:AC58" si="6">AB48/AB$47*100</f>
        <v>5.2894107871694667</v>
      </c>
      <c r="AD48" s="257">
        <f t="shared" ref="AD48:AD58" si="7">(AB48-Q48)/Q48*100</f>
        <v>-28.201000860521084</v>
      </c>
    </row>
    <row r="49" spans="2:46" ht="20.25" customHeight="1" x14ac:dyDescent="0.3">
      <c r="B49" s="43" t="s">
        <v>278</v>
      </c>
      <c r="C49" s="175">
        <v>63910.064252477961</v>
      </c>
      <c r="D49" s="195">
        <f t="shared" si="0"/>
        <v>7.7108996021743677</v>
      </c>
      <c r="E49" s="175">
        <v>48053.833105562328</v>
      </c>
      <c r="F49" s="195">
        <f t="shared" ref="F49:F58" si="8">E49/$E$47*100</f>
        <v>7.9745741992949526</v>
      </c>
      <c r="G49" s="175">
        <v>14050.295640192133</v>
      </c>
      <c r="H49" s="195">
        <f t="shared" ref="H49:H58" si="9">G49/$G$47*100</f>
        <v>6.972829862397778</v>
      </c>
      <c r="I49" s="175">
        <v>1805.9355067235028</v>
      </c>
      <c r="J49" s="195">
        <f>I49/$I$47*100</f>
        <v>7.2999818415899611</v>
      </c>
      <c r="K49" s="175">
        <v>31417.323016447644</v>
      </c>
      <c r="L49" s="195">
        <f t="shared" ref="L49:L58" si="10">K49/K$47*100</f>
        <v>8.9870773685800582</v>
      </c>
      <c r="M49" s="175">
        <v>22910.133973594351</v>
      </c>
      <c r="N49" s="195">
        <f t="shared" ref="N49:N58" si="11">M49/M$47*100</f>
        <v>9.0064380359692198</v>
      </c>
      <c r="O49" s="175">
        <v>7517.3363468566868</v>
      </c>
      <c r="P49" s="195">
        <f t="shared" ref="P49:P58" si="12">O49/O$47*100</f>
        <v>8.9775312614502081</v>
      </c>
      <c r="Q49" s="175">
        <v>989.85269599660353</v>
      </c>
      <c r="R49" s="195">
        <f t="shared" ref="R49:R58" si="13">Q49/Q$47*100</f>
        <v>8.6274987403668248</v>
      </c>
      <c r="S49" s="175">
        <v>32492.741282039417</v>
      </c>
      <c r="T49" s="195">
        <f t="shared" ref="T49:T58" si="14">S49/S$47*100</f>
        <v>6.7799955491482971</v>
      </c>
      <c r="U49" s="258">
        <f t="shared" si="1"/>
        <v>3.423010499744894</v>
      </c>
      <c r="V49" s="175">
        <v>25143.699158933043</v>
      </c>
      <c r="W49" s="195">
        <f t="shared" si="2"/>
        <v>7.2207814150686165</v>
      </c>
      <c r="X49" s="258">
        <f t="shared" si="3"/>
        <v>9.7492454121527317</v>
      </c>
      <c r="Y49" s="175">
        <v>6532.959300689221</v>
      </c>
      <c r="Z49" s="195">
        <f t="shared" si="4"/>
        <v>5.5474250036534798</v>
      </c>
      <c r="AA49" s="258">
        <f t="shared" si="5"/>
        <v>-13.094758578669625</v>
      </c>
      <c r="AB49" s="175">
        <v>816.08282241714994</v>
      </c>
      <c r="AC49" s="195">
        <f t="shared" si="6"/>
        <v>6.1518379200703803</v>
      </c>
      <c r="AD49" s="258">
        <f t="shared" si="7"/>
        <v>-17.555124543505798</v>
      </c>
    </row>
    <row r="50" spans="2:46" ht="20.25" customHeight="1" x14ac:dyDescent="0.3">
      <c r="B50" s="43" t="s">
        <v>22</v>
      </c>
      <c r="C50" s="175">
        <v>224695.33653344199</v>
      </c>
      <c r="D50" s="195">
        <f t="shared" si="0"/>
        <v>27.110020954469249</v>
      </c>
      <c r="E50" s="175">
        <v>171618.08906300511</v>
      </c>
      <c r="F50" s="195">
        <f t="shared" si="8"/>
        <v>28.480166861355492</v>
      </c>
      <c r="G50" s="175">
        <v>48642.67204938893</v>
      </c>
      <c r="H50" s="195">
        <f t="shared" si="9"/>
        <v>24.140209212577304</v>
      </c>
      <c r="I50" s="175">
        <v>4434.57542104817</v>
      </c>
      <c r="J50" s="195">
        <f>I50/$I$47*100</f>
        <v>17.925512803912746</v>
      </c>
      <c r="K50" s="175">
        <v>84661.050559077397</v>
      </c>
      <c r="L50" s="195">
        <f t="shared" si="10"/>
        <v>24.217703433273815</v>
      </c>
      <c r="M50" s="175">
        <v>64655.839849903205</v>
      </c>
      <c r="N50" s="195">
        <f t="shared" si="11"/>
        <v>25.417521169577999</v>
      </c>
      <c r="O50" s="175">
        <v>17968.251908274156</v>
      </c>
      <c r="P50" s="195">
        <f t="shared" si="12"/>
        <v>21.458470896755113</v>
      </c>
      <c r="Q50" s="175">
        <v>2036.9588009000502</v>
      </c>
      <c r="R50" s="195">
        <f t="shared" si="13"/>
        <v>17.754014875163406</v>
      </c>
      <c r="S50" s="175">
        <v>140034.28596151309</v>
      </c>
      <c r="T50" s="195">
        <f t="shared" si="14"/>
        <v>29.219813351729222</v>
      </c>
      <c r="U50" s="258">
        <f t="shared" si="1"/>
        <v>65.405797632756332</v>
      </c>
      <c r="V50" s="175">
        <v>106962.24926212803</v>
      </c>
      <c r="W50" s="195">
        <f t="shared" si="2"/>
        <v>30.717477834263317</v>
      </c>
      <c r="X50" s="258">
        <f t="shared" si="3"/>
        <v>65.433237756153218</v>
      </c>
      <c r="Y50" s="175">
        <v>30674.420143312658</v>
      </c>
      <c r="Z50" s="195">
        <f t="shared" si="4"/>
        <v>26.047008322496733</v>
      </c>
      <c r="AA50" s="258">
        <f t="shared" si="5"/>
        <v>70.714548637797478</v>
      </c>
      <c r="AB50" s="175">
        <v>2397.6165560724335</v>
      </c>
      <c r="AC50" s="195">
        <f t="shared" si="6"/>
        <v>18.073837657491396</v>
      </c>
      <c r="AD50" s="258">
        <f t="shared" si="7"/>
        <v>17.705697091812713</v>
      </c>
    </row>
    <row r="51" spans="2:46" ht="20.25" customHeight="1" x14ac:dyDescent="0.3">
      <c r="B51" s="43" t="s">
        <v>268</v>
      </c>
      <c r="C51" s="175">
        <v>101856.74222338079</v>
      </c>
      <c r="D51" s="195">
        <f t="shared" si="0"/>
        <v>12.289255569925228</v>
      </c>
      <c r="E51" s="175">
        <v>75677.161779775066</v>
      </c>
      <c r="F51" s="195">
        <f t="shared" si="8"/>
        <v>12.558688928709181</v>
      </c>
      <c r="G51" s="175">
        <v>24338.923261896525</v>
      </c>
      <c r="H51" s="195">
        <f t="shared" si="9"/>
        <v>12.078832736706692</v>
      </c>
      <c r="I51" s="175">
        <v>1840.6571817092058</v>
      </c>
      <c r="J51" s="195">
        <f>I51/$I$47*100</f>
        <v>7.4403343602494374</v>
      </c>
      <c r="K51" s="175">
        <v>42656.614359566593</v>
      </c>
      <c r="L51" s="195">
        <f>K51/K$47*100</f>
        <v>12.202131076871565</v>
      </c>
      <c r="M51" s="175">
        <v>31164.18697646281</v>
      </c>
      <c r="N51" s="195">
        <f t="shared" si="11"/>
        <v>12.251273574758404</v>
      </c>
      <c r="O51" s="175">
        <v>10624.799169169015</v>
      </c>
      <c r="P51" s="195">
        <f t="shared" si="12"/>
        <v>12.688599031188657</v>
      </c>
      <c r="Q51" s="175">
        <v>867.6282139347594</v>
      </c>
      <c r="R51" s="195">
        <f t="shared" si="13"/>
        <v>7.5621972371276343</v>
      </c>
      <c r="S51" s="175">
        <v>59200.128003785874</v>
      </c>
      <c r="T51" s="195">
        <f>S51/S$47*100</f>
        <v>12.352808305421167</v>
      </c>
      <c r="U51" s="258">
        <f t="shared" si="1"/>
        <v>38.78299741458283</v>
      </c>
      <c r="V51" s="175">
        <v>44512.974784016151</v>
      </c>
      <c r="W51" s="195">
        <f t="shared" si="2"/>
        <v>12.783260689612904</v>
      </c>
      <c r="X51" s="258">
        <f t="shared" si="3"/>
        <v>42.833743160491238</v>
      </c>
      <c r="Y51" s="175">
        <v>13714.124237067857</v>
      </c>
      <c r="Z51" s="195">
        <f t="shared" si="4"/>
        <v>11.645270113330458</v>
      </c>
      <c r="AA51" s="258">
        <f t="shared" si="5"/>
        <v>29.076550236012267</v>
      </c>
      <c r="AB51" s="175">
        <v>973.0289827018637</v>
      </c>
      <c r="AC51" s="195">
        <f t="shared" si="6"/>
        <v>7.3349376174628791</v>
      </c>
      <c r="AD51" s="258">
        <f t="shared" si="7"/>
        <v>12.148149065958085</v>
      </c>
    </row>
    <row r="52" spans="2:46" ht="20.25" customHeight="1" x14ac:dyDescent="0.3">
      <c r="B52" s="43" t="s">
        <v>272</v>
      </c>
      <c r="C52" s="175">
        <v>45635.784852024575</v>
      </c>
      <c r="D52" s="195">
        <f t="shared" si="0"/>
        <v>5.5060648017850724</v>
      </c>
      <c r="E52" s="175">
        <v>34193.095536604174</v>
      </c>
      <c r="F52" s="195">
        <f t="shared" si="8"/>
        <v>5.674373090305429</v>
      </c>
      <c r="G52" s="175">
        <v>9603.3146020431832</v>
      </c>
      <c r="H52" s="195">
        <f t="shared" si="9"/>
        <v>4.7658982095419926</v>
      </c>
      <c r="I52" s="175">
        <v>1839.3747133772144</v>
      </c>
      <c r="J52" s="195">
        <f t="shared" ref="J52:J58" si="15">I52/$I$47*100</f>
        <v>7.4351503459249528</v>
      </c>
      <c r="K52" s="175">
        <v>23271.638223248752</v>
      </c>
      <c r="L52" s="195">
        <f>K52/K$47*100</f>
        <v>6.656964792845339</v>
      </c>
      <c r="M52" s="175">
        <v>17765.811033514408</v>
      </c>
      <c r="N52" s="195">
        <f t="shared" si="11"/>
        <v>6.9841004167197571</v>
      </c>
      <c r="O52" s="175">
        <v>4384.4835083301668</v>
      </c>
      <c r="P52" s="195">
        <f t="shared" si="12"/>
        <v>5.2361416258573819</v>
      </c>
      <c r="Q52" s="175">
        <v>1121.3436814041816</v>
      </c>
      <c r="R52" s="195">
        <f t="shared" si="13"/>
        <v>9.7735665498112354</v>
      </c>
      <c r="S52" s="175">
        <v>22364.146714995932</v>
      </c>
      <c r="T52" s="195">
        <f>S52/S$47*100</f>
        <v>4.6665442559008028</v>
      </c>
      <c r="U52" s="258">
        <f t="shared" si="1"/>
        <v>-3.8995600548062037</v>
      </c>
      <c r="V52" s="175">
        <v>16427.284660647078</v>
      </c>
      <c r="W52" s="195">
        <f t="shared" si="2"/>
        <v>4.7175966840781935</v>
      </c>
      <c r="X52" s="258">
        <f t="shared" si="3"/>
        <v>-7.5342823941010106</v>
      </c>
      <c r="Y52" s="175">
        <v>5218.8310310445004</v>
      </c>
      <c r="Z52" s="195">
        <f t="shared" si="4"/>
        <v>4.431540503919047</v>
      </c>
      <c r="AA52" s="258">
        <f t="shared" si="5"/>
        <v>19.029550940929308</v>
      </c>
      <c r="AB52" s="175">
        <v>718.03102330435831</v>
      </c>
      <c r="AC52" s="195">
        <f t="shared" si="6"/>
        <v>5.4126987550937367</v>
      </c>
      <c r="AD52" s="258">
        <f t="shared" si="7"/>
        <v>-35.96690869963993</v>
      </c>
    </row>
    <row r="53" spans="2:46" ht="20.25" customHeight="1" x14ac:dyDescent="0.3">
      <c r="B53" s="43" t="s">
        <v>270</v>
      </c>
      <c r="C53" s="175">
        <v>79044.535768149275</v>
      </c>
      <c r="D53" s="195">
        <f t="shared" si="0"/>
        <v>9.5369091947837887</v>
      </c>
      <c r="E53" s="175">
        <v>55214.913824937466</v>
      </c>
      <c r="F53" s="195">
        <f t="shared" si="8"/>
        <v>9.1629615942889924</v>
      </c>
      <c r="G53" s="175">
        <v>21183.100659679469</v>
      </c>
      <c r="H53" s="195">
        <f t="shared" si="9"/>
        <v>10.512672518823329</v>
      </c>
      <c r="I53" s="175">
        <v>2646.5212835323514</v>
      </c>
      <c r="J53" s="195">
        <f t="shared" si="15"/>
        <v>10.697811323405935</v>
      </c>
      <c r="K53" s="175">
        <v>27613.847265602846</v>
      </c>
      <c r="L53" s="195">
        <f t="shared" si="10"/>
        <v>7.8990747139787976</v>
      </c>
      <c r="M53" s="175">
        <v>19962.060896185081</v>
      </c>
      <c r="N53" s="195">
        <f t="shared" si="11"/>
        <v>7.8474907540459258</v>
      </c>
      <c r="O53" s="175">
        <v>6709.3408856740925</v>
      </c>
      <c r="P53" s="195">
        <f t="shared" si="12"/>
        <v>8.0125878057925757</v>
      </c>
      <c r="Q53" s="175">
        <v>942.44548374367207</v>
      </c>
      <c r="R53" s="195">
        <f t="shared" si="13"/>
        <v>8.2143002254254949</v>
      </c>
      <c r="S53" s="175">
        <v>51430.688726210326</v>
      </c>
      <c r="T53" s="195">
        <f t="shared" si="14"/>
        <v>10.731622722336565</v>
      </c>
      <c r="U53" s="258">
        <f t="shared" si="1"/>
        <v>86.24963132274182</v>
      </c>
      <c r="V53" s="175">
        <v>35252.852934297611</v>
      </c>
      <c r="W53" s="195">
        <f t="shared" si="2"/>
        <v>10.123933781067604</v>
      </c>
      <c r="X53" s="258">
        <f t="shared" si="3"/>
        <v>76.599265564983469</v>
      </c>
      <c r="Y53" s="175">
        <v>14473.759799453926</v>
      </c>
      <c r="Z53" s="195">
        <f t="shared" si="4"/>
        <v>12.290310303922228</v>
      </c>
      <c r="AA53" s="258">
        <f t="shared" si="5"/>
        <v>115.72550934710388</v>
      </c>
      <c r="AB53" s="175">
        <v>1704.0759924587858</v>
      </c>
      <c r="AC53" s="195">
        <f t="shared" si="6"/>
        <v>12.845754157696165</v>
      </c>
      <c r="AD53" s="258">
        <f t="shared" si="7"/>
        <v>80.814277520827218</v>
      </c>
    </row>
    <row r="54" spans="2:46" ht="20.25" customHeight="1" x14ac:dyDescent="0.3">
      <c r="B54" s="43" t="s">
        <v>273</v>
      </c>
      <c r="C54" s="175">
        <v>20440.410573116118</v>
      </c>
      <c r="D54" s="195">
        <f t="shared" si="0"/>
        <v>2.466183622251807</v>
      </c>
      <c r="E54" s="175">
        <v>14232.679284065012</v>
      </c>
      <c r="F54" s="195">
        <f t="shared" si="8"/>
        <v>2.3619251508243742</v>
      </c>
      <c r="G54" s="175">
        <v>5483.7663919401293</v>
      </c>
      <c r="H54" s="195">
        <f t="shared" si="9"/>
        <v>2.7214637353787792</v>
      </c>
      <c r="I54" s="175">
        <v>723.96489711097684</v>
      </c>
      <c r="J54" s="195">
        <f t="shared" si="15"/>
        <v>2.9264226674667313</v>
      </c>
      <c r="K54" s="175">
        <v>8470.0377686917782</v>
      </c>
      <c r="L54" s="195">
        <f t="shared" si="10"/>
        <v>2.4228953148610817</v>
      </c>
      <c r="M54" s="175">
        <v>6117.7890324687642</v>
      </c>
      <c r="N54" s="195">
        <f t="shared" si="11"/>
        <v>2.4050268715830425</v>
      </c>
      <c r="O54" s="175">
        <v>2084.5505964376121</v>
      </c>
      <c r="P54" s="195">
        <f t="shared" si="12"/>
        <v>2.4894613307303319</v>
      </c>
      <c r="Q54" s="175">
        <v>267.69813978540105</v>
      </c>
      <c r="R54" s="195">
        <f t="shared" si="13"/>
        <v>2.3332414743506589</v>
      </c>
      <c r="S54" s="175">
        <v>11970.372752901192</v>
      </c>
      <c r="T54" s="195">
        <f t="shared" si="14"/>
        <v>2.497760139159984</v>
      </c>
      <c r="U54" s="258">
        <f t="shared" si="1"/>
        <v>41.32608472122611</v>
      </c>
      <c r="V54" s="175">
        <v>8114.8901350306332</v>
      </c>
      <c r="W54" s="195">
        <f t="shared" si="2"/>
        <v>2.3304386320393493</v>
      </c>
      <c r="X54" s="258">
        <f t="shared" si="3"/>
        <v>32.644164288155615</v>
      </c>
      <c r="Y54" s="175">
        <v>3399.21576799997</v>
      </c>
      <c r="Z54" s="195">
        <f t="shared" si="4"/>
        <v>2.8864246165174818</v>
      </c>
      <c r="AA54" s="258">
        <f t="shared" si="5"/>
        <v>63.067079005376605</v>
      </c>
      <c r="AB54" s="175">
        <v>456.26684987058837</v>
      </c>
      <c r="AC54" s="195">
        <f t="shared" si="6"/>
        <v>3.4394544666327715</v>
      </c>
      <c r="AD54" s="258">
        <f t="shared" si="7"/>
        <v>70.440799564895201</v>
      </c>
    </row>
    <row r="55" spans="2:46" ht="20.25" customHeight="1" x14ac:dyDescent="0.3">
      <c r="B55" s="43" t="s">
        <v>274</v>
      </c>
      <c r="C55" s="175">
        <v>18627.233328371658</v>
      </c>
      <c r="D55" s="195">
        <f t="shared" si="0"/>
        <v>2.2474195221260649</v>
      </c>
      <c r="E55" s="175">
        <v>0</v>
      </c>
      <c r="F55" s="195">
        <f t="shared" si="8"/>
        <v>0</v>
      </c>
      <c r="G55" s="175">
        <v>16320.482342806004</v>
      </c>
      <c r="H55" s="195">
        <f t="shared" si="9"/>
        <v>8.0994699017662235</v>
      </c>
      <c r="I55" s="175">
        <v>2306.7509855656554</v>
      </c>
      <c r="J55" s="195">
        <f t="shared" si="15"/>
        <v>9.3243863056053193</v>
      </c>
      <c r="K55" s="175">
        <v>7230.2539639102815</v>
      </c>
      <c r="L55" s="195">
        <f t="shared" si="10"/>
        <v>2.0682491545866757</v>
      </c>
      <c r="M55" s="175">
        <v>0</v>
      </c>
      <c r="N55" s="195">
        <f t="shared" si="11"/>
        <v>0</v>
      </c>
      <c r="O55" s="175">
        <v>6254.3973848027053</v>
      </c>
      <c r="P55" s="195">
        <f t="shared" si="12"/>
        <v>7.4692744148766188</v>
      </c>
      <c r="Q55" s="175">
        <v>975.85657910757698</v>
      </c>
      <c r="R55" s="195">
        <f t="shared" si="13"/>
        <v>8.5055093965801429</v>
      </c>
      <c r="S55" s="175">
        <v>11396.979429976185</v>
      </c>
      <c r="T55" s="195">
        <f t="shared" si="14"/>
        <v>2.3781148268855223</v>
      </c>
      <c r="U55" s="258">
        <f t="shared" si="1"/>
        <v>57.629033321153855</v>
      </c>
      <c r="V55" s="175">
        <v>0</v>
      </c>
      <c r="W55" s="195">
        <f t="shared" si="2"/>
        <v>0</v>
      </c>
      <c r="X55" s="258" t="s">
        <v>558</v>
      </c>
      <c r="Y55" s="175">
        <v>10066.085036111352</v>
      </c>
      <c r="Z55" s="195">
        <f t="shared" si="4"/>
        <v>8.5475585026735281</v>
      </c>
      <c r="AA55" s="258">
        <f t="shared" si="5"/>
        <v>60.944123259108927</v>
      </c>
      <c r="AB55" s="175">
        <v>1330.8943938648317</v>
      </c>
      <c r="AC55" s="195">
        <f t="shared" si="6"/>
        <v>10.032617247764652</v>
      </c>
      <c r="AD55" s="258">
        <f t="shared" si="7"/>
        <v>36.382171556596731</v>
      </c>
    </row>
    <row r="56" spans="2:46" ht="19.5" customHeight="1" x14ac:dyDescent="0.3">
      <c r="B56" s="43" t="s">
        <v>23</v>
      </c>
      <c r="C56" s="175">
        <v>123117.5113458758</v>
      </c>
      <c r="D56" s="195">
        <f t="shared" si="0"/>
        <v>14.854417381074736</v>
      </c>
      <c r="E56" s="175">
        <v>91175.836977765517</v>
      </c>
      <c r="F56" s="195">
        <f t="shared" si="8"/>
        <v>15.130707170950938</v>
      </c>
      <c r="G56" s="175">
        <v>29137.746339862249</v>
      </c>
      <c r="H56" s="195">
        <f t="shared" si="9"/>
        <v>14.460375283518569</v>
      </c>
      <c r="I56" s="175">
        <v>2803.9280282480167</v>
      </c>
      <c r="J56" s="195">
        <f t="shared" si="15"/>
        <v>11.334083423871409</v>
      </c>
      <c r="K56" s="175">
        <v>51031.216697770724</v>
      </c>
      <c r="L56" s="195">
        <f t="shared" si="10"/>
        <v>14.597726624752269</v>
      </c>
      <c r="M56" s="175">
        <v>37761.283969900891</v>
      </c>
      <c r="N56" s="195">
        <f t="shared" si="11"/>
        <v>14.844726121005436</v>
      </c>
      <c r="O56" s="175">
        <v>11850.048614012518</v>
      </c>
      <c r="P56" s="195">
        <f t="shared" si="12"/>
        <v>14.151845410839675</v>
      </c>
      <c r="Q56" s="175">
        <v>1419.8841138573036</v>
      </c>
      <c r="R56" s="195">
        <f t="shared" si="13"/>
        <v>12.375627659868279</v>
      </c>
      <c r="S56" s="175">
        <v>72086.294587490935</v>
      </c>
      <c r="T56" s="195">
        <f t="shared" si="14"/>
        <v>15.041659680709628</v>
      </c>
      <c r="U56" s="258">
        <f t="shared" si="1"/>
        <v>41.259212012164298</v>
      </c>
      <c r="V56" s="175">
        <v>53414.552813743161</v>
      </c>
      <c r="W56" s="195">
        <f t="shared" si="2"/>
        <v>15.339620785855937</v>
      </c>
      <c r="X56" s="258">
        <f t="shared" si="3"/>
        <v>41.453221919888421</v>
      </c>
      <c r="Y56" s="175">
        <v>17287.697802477807</v>
      </c>
      <c r="Z56" s="195">
        <f t="shared" si="4"/>
        <v>14.679749655711632</v>
      </c>
      <c r="AA56" s="258">
        <f t="shared" si="5"/>
        <v>45.887146674110227</v>
      </c>
      <c r="AB56" s="175">
        <v>1384.0439712699535</v>
      </c>
      <c r="AC56" s="195">
        <f t="shared" si="6"/>
        <v>10.433272152800027</v>
      </c>
      <c r="AD56" s="258">
        <f t="shared" si="7"/>
        <v>-2.5241596999057618</v>
      </c>
    </row>
    <row r="57" spans="2:46" ht="19.5" customHeight="1" x14ac:dyDescent="0.3">
      <c r="B57" s="43" t="s">
        <v>275</v>
      </c>
      <c r="C57" s="175">
        <v>68326.404000340932</v>
      </c>
      <c r="D57" s="195">
        <f t="shared" si="0"/>
        <v>8.2437413823098495</v>
      </c>
      <c r="E57" s="175">
        <v>50829.192830819302</v>
      </c>
      <c r="F57" s="195">
        <f t="shared" si="8"/>
        <v>8.4351474902991779</v>
      </c>
      <c r="G57" s="175">
        <v>13459.437262492233</v>
      </c>
      <c r="H57" s="195">
        <f t="shared" si="9"/>
        <v>6.6796008054455349</v>
      </c>
      <c r="I57" s="175">
        <v>4037.773907029391</v>
      </c>
      <c r="J57" s="195">
        <f t="shared" si="15"/>
        <v>16.321555278149351</v>
      </c>
      <c r="K57" s="175">
        <v>37237.656072055594</v>
      </c>
      <c r="L57" s="195">
        <f t="shared" si="10"/>
        <v>10.652011820642329</v>
      </c>
      <c r="M57" s="175">
        <v>27920.485562262456</v>
      </c>
      <c r="N57" s="195">
        <f t="shared" si="11"/>
        <v>10.97610880148153</v>
      </c>
      <c r="O57" s="175">
        <v>7615.7607226880191</v>
      </c>
      <c r="P57" s="195">
        <f t="shared" si="12"/>
        <v>9.0950739481339014</v>
      </c>
      <c r="Q57" s="175">
        <v>1701.4097871051185</v>
      </c>
      <c r="R57" s="195">
        <f t="shared" si="13"/>
        <v>14.829389114627986</v>
      </c>
      <c r="S57" s="175">
        <v>31088.748012164764</v>
      </c>
      <c r="T57" s="195">
        <f t="shared" si="14"/>
        <v>6.4870357142683135</v>
      </c>
      <c r="U57" s="258">
        <f t="shared" si="1"/>
        <v>-16.512607689357708</v>
      </c>
      <c r="V57" s="175">
        <v>22908.707376084287</v>
      </c>
      <c r="W57" s="195">
        <f t="shared" si="2"/>
        <v>6.5789352401516012</v>
      </c>
      <c r="X57" s="258">
        <f t="shared" si="3"/>
        <v>-17.950182760976503</v>
      </c>
      <c r="Y57" s="175">
        <v>5843.6765395456587</v>
      </c>
      <c r="Z57" s="195">
        <f t="shared" si="4"/>
        <v>4.9621244916249259</v>
      </c>
      <c r="AA57" s="258">
        <f t="shared" si="5"/>
        <v>-23.268643116152091</v>
      </c>
      <c r="AB57" s="175">
        <v>2336.3640965348213</v>
      </c>
      <c r="AC57" s="195">
        <f t="shared" si="6"/>
        <v>17.612101185493405</v>
      </c>
      <c r="AD57" s="258">
        <f t="shared" si="7"/>
        <v>37.319305098747108</v>
      </c>
    </row>
    <row r="58" spans="2:46" ht="19.5" customHeight="1" x14ac:dyDescent="0.3">
      <c r="B58" s="43" t="s">
        <v>276</v>
      </c>
      <c r="C58" s="175">
        <v>10565.661624145501</v>
      </c>
      <c r="D58" s="195">
        <f t="shared" si="0"/>
        <v>1.27477193095098</v>
      </c>
      <c r="E58" s="175">
        <v>8117.390523514995</v>
      </c>
      <c r="F58" s="195">
        <f t="shared" si="8"/>
        <v>1.3470878148725889</v>
      </c>
      <c r="G58" s="175">
        <v>1827.8036804167768</v>
      </c>
      <c r="H58" s="195">
        <f t="shared" si="9"/>
        <v>0.90709579440823673</v>
      </c>
      <c r="I58" s="175">
        <v>620.46742021372813</v>
      </c>
      <c r="J58" s="195">
        <f t="shared" si="15"/>
        <v>2.5080634850997789</v>
      </c>
      <c r="K58" s="175">
        <v>5338.3849723403409</v>
      </c>
      <c r="L58" s="195">
        <f t="shared" si="10"/>
        <v>1.5270708692962491</v>
      </c>
      <c r="M58" s="175">
        <v>4347.9379779029314</v>
      </c>
      <c r="N58" s="195">
        <f t="shared" si="11"/>
        <v>1.7092625485016475</v>
      </c>
      <c r="O58" s="175">
        <v>817.57369684568437</v>
      </c>
      <c r="P58" s="195">
        <f t="shared" si="12"/>
        <v>0.97638220285841304</v>
      </c>
      <c r="Q58" s="175">
        <v>172.87329759172533</v>
      </c>
      <c r="R58" s="195">
        <f t="shared" si="13"/>
        <v>1.5067536445046843</v>
      </c>
      <c r="S58" s="175">
        <v>5227.2767020725041</v>
      </c>
      <c r="T58" s="195">
        <f t="shared" si="14"/>
        <v>1.0907332338194677</v>
      </c>
      <c r="U58" s="258">
        <f t="shared" si="1"/>
        <v>-2.081308688742376</v>
      </c>
      <c r="V58" s="175">
        <v>3769.4525319481054</v>
      </c>
      <c r="W58" s="195">
        <f t="shared" si="2"/>
        <v>1.0825134605543545</v>
      </c>
      <c r="X58" s="258">
        <f t="shared" si="3"/>
        <v>-13.304822858440065</v>
      </c>
      <c r="Y58" s="175">
        <v>1010.2299428749945</v>
      </c>
      <c r="Z58" s="195">
        <f t="shared" si="4"/>
        <v>0.85783097469364855</v>
      </c>
      <c r="AA58" s="258">
        <f t="shared" si="5"/>
        <v>23.564388968554809</v>
      </c>
      <c r="AB58" s="175">
        <v>447.59422724940481</v>
      </c>
      <c r="AC58" s="195">
        <f t="shared" si="6"/>
        <v>3.3740780523254186</v>
      </c>
      <c r="AD58" s="258">
        <f t="shared" si="7"/>
        <v>158.91461173285856</v>
      </c>
    </row>
    <row r="59" spans="2:46" ht="19.5" customHeight="1" x14ac:dyDescent="0.3">
      <c r="B59" s="245"/>
      <c r="C59" s="246"/>
      <c r="D59" s="195"/>
      <c r="E59" s="246"/>
      <c r="F59" s="195"/>
      <c r="G59" s="246"/>
      <c r="H59" s="195"/>
      <c r="I59" s="246"/>
      <c r="J59" s="195"/>
      <c r="K59" s="246"/>
      <c r="L59" s="195"/>
      <c r="M59" s="246"/>
      <c r="N59" s="195"/>
      <c r="O59" s="246"/>
      <c r="P59" s="195"/>
      <c r="Q59" s="246"/>
      <c r="R59" s="195"/>
      <c r="S59" s="246"/>
      <c r="T59" s="195"/>
      <c r="U59" s="246"/>
      <c r="V59" s="195"/>
      <c r="W59" s="246"/>
      <c r="X59" s="195"/>
      <c r="Y59" s="246"/>
      <c r="Z59" s="195"/>
    </row>
    <row r="60" spans="2:46" x14ac:dyDescent="0.3">
      <c r="B60" s="259" t="s">
        <v>572</v>
      </c>
      <c r="C60" s="260"/>
      <c r="D60" s="260"/>
      <c r="E60" s="260"/>
      <c r="F60" s="260"/>
      <c r="G60" s="260"/>
      <c r="H60" s="260"/>
      <c r="I60" s="260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/>
      <c r="AH60" s="260"/>
      <c r="AI60" s="260"/>
      <c r="AJ60" s="260"/>
      <c r="AK60" s="260"/>
      <c r="AL60" s="260"/>
      <c r="AM60" s="260"/>
      <c r="AN60" s="260"/>
      <c r="AO60" s="260"/>
      <c r="AP60" s="260"/>
      <c r="AQ60" s="260"/>
      <c r="AR60" s="260"/>
      <c r="AS60" s="260"/>
      <c r="AT60" s="260"/>
    </row>
    <row r="61" spans="2:46" ht="16.5" customHeight="1" x14ac:dyDescent="0.3">
      <c r="E61" s="19"/>
      <c r="AT61" s="19" t="s">
        <v>514</v>
      </c>
    </row>
    <row r="62" spans="2:46" ht="16.5" customHeight="1" x14ac:dyDescent="0.3">
      <c r="B62" s="279" t="s">
        <v>45</v>
      </c>
      <c r="C62" s="274" t="s">
        <v>533</v>
      </c>
      <c r="D62" s="275"/>
      <c r="E62" s="275"/>
      <c r="F62" s="275"/>
      <c r="G62" s="275"/>
      <c r="H62" s="275"/>
      <c r="I62" s="275"/>
      <c r="J62" s="285"/>
      <c r="K62" s="272" t="s">
        <v>534</v>
      </c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2" t="s">
        <v>535</v>
      </c>
      <c r="X62" s="273"/>
      <c r="Y62" s="273"/>
      <c r="Z62" s="273"/>
      <c r="AA62" s="273"/>
      <c r="AB62" s="273"/>
      <c r="AC62" s="273"/>
      <c r="AD62" s="273"/>
      <c r="AE62" s="273"/>
      <c r="AF62" s="273"/>
      <c r="AG62" s="273"/>
      <c r="AH62" s="273"/>
      <c r="AI62" s="272" t="s">
        <v>536</v>
      </c>
      <c r="AJ62" s="273"/>
      <c r="AK62" s="273"/>
      <c r="AL62" s="273"/>
      <c r="AM62" s="273"/>
      <c r="AN62" s="273"/>
      <c r="AO62" s="273"/>
      <c r="AP62" s="273"/>
      <c r="AQ62" s="273"/>
      <c r="AR62" s="273"/>
      <c r="AS62" s="273"/>
      <c r="AT62" s="273"/>
    </row>
    <row r="63" spans="2:46" x14ac:dyDescent="0.3">
      <c r="B63" s="279"/>
      <c r="C63" s="269" t="s">
        <v>20</v>
      </c>
      <c r="D63" s="271"/>
      <c r="E63" s="269" t="s">
        <v>509</v>
      </c>
      <c r="F63" s="271"/>
      <c r="G63" s="269" t="s">
        <v>510</v>
      </c>
      <c r="H63" s="271"/>
      <c r="I63" s="269" t="s">
        <v>511</v>
      </c>
      <c r="J63" s="271"/>
      <c r="K63" s="269" t="s">
        <v>20</v>
      </c>
      <c r="L63" s="270"/>
      <c r="M63" s="271"/>
      <c r="N63" s="269" t="s">
        <v>509</v>
      </c>
      <c r="O63" s="270"/>
      <c r="P63" s="271"/>
      <c r="Q63" s="269" t="s">
        <v>510</v>
      </c>
      <c r="R63" s="270"/>
      <c r="S63" s="271"/>
      <c r="T63" s="269" t="s">
        <v>511</v>
      </c>
      <c r="U63" s="270"/>
      <c r="V63" s="271"/>
      <c r="W63" s="269" t="s">
        <v>20</v>
      </c>
      <c r="X63" s="270"/>
      <c r="Y63" s="271"/>
      <c r="Z63" s="269" t="s">
        <v>509</v>
      </c>
      <c r="AA63" s="270"/>
      <c r="AB63" s="271"/>
      <c r="AC63" s="269" t="s">
        <v>510</v>
      </c>
      <c r="AD63" s="270"/>
      <c r="AE63" s="271"/>
      <c r="AF63" s="269" t="s">
        <v>511</v>
      </c>
      <c r="AG63" s="270"/>
      <c r="AH63" s="271"/>
      <c r="AI63" s="269" t="s">
        <v>20</v>
      </c>
      <c r="AJ63" s="270"/>
      <c r="AK63" s="271"/>
      <c r="AL63" s="269" t="s">
        <v>509</v>
      </c>
      <c r="AM63" s="270"/>
      <c r="AN63" s="271"/>
      <c r="AO63" s="269" t="s">
        <v>510</v>
      </c>
      <c r="AP63" s="270"/>
      <c r="AQ63" s="271"/>
      <c r="AR63" s="269" t="s">
        <v>511</v>
      </c>
      <c r="AS63" s="270"/>
      <c r="AT63" s="271"/>
    </row>
    <row r="64" spans="2:46" ht="27" x14ac:dyDescent="0.3">
      <c r="B64" s="279"/>
      <c r="C64" s="198" t="s">
        <v>518</v>
      </c>
      <c r="D64" s="199" t="s">
        <v>512</v>
      </c>
      <c r="E64" s="198" t="s">
        <v>518</v>
      </c>
      <c r="F64" s="200" t="s">
        <v>46</v>
      </c>
      <c r="G64" s="198" t="s">
        <v>518</v>
      </c>
      <c r="H64" s="200" t="s">
        <v>512</v>
      </c>
      <c r="I64" s="198" t="s">
        <v>518</v>
      </c>
      <c r="J64" s="199" t="s">
        <v>512</v>
      </c>
      <c r="K64" s="198" t="s">
        <v>518</v>
      </c>
      <c r="L64" s="199" t="s">
        <v>512</v>
      </c>
      <c r="M64" s="241" t="s">
        <v>537</v>
      </c>
      <c r="N64" s="198" t="s">
        <v>518</v>
      </c>
      <c r="O64" s="200" t="s">
        <v>46</v>
      </c>
      <c r="P64" s="241" t="s">
        <v>537</v>
      </c>
      <c r="Q64" s="198" t="s">
        <v>518</v>
      </c>
      <c r="R64" s="200" t="s">
        <v>512</v>
      </c>
      <c r="S64" s="241" t="s">
        <v>537</v>
      </c>
      <c r="T64" s="198" t="s">
        <v>518</v>
      </c>
      <c r="U64" s="199" t="s">
        <v>512</v>
      </c>
      <c r="V64" s="241" t="s">
        <v>537</v>
      </c>
      <c r="W64" s="198" t="s">
        <v>518</v>
      </c>
      <c r="X64" s="199" t="s">
        <v>512</v>
      </c>
      <c r="Y64" s="241" t="s">
        <v>543</v>
      </c>
      <c r="Z64" s="198" t="s">
        <v>518</v>
      </c>
      <c r="AA64" s="200" t="s">
        <v>46</v>
      </c>
      <c r="AB64" s="241" t="s">
        <v>543</v>
      </c>
      <c r="AC64" s="198" t="s">
        <v>518</v>
      </c>
      <c r="AD64" s="200" t="s">
        <v>512</v>
      </c>
      <c r="AE64" s="241" t="s">
        <v>543</v>
      </c>
      <c r="AF64" s="198" t="s">
        <v>518</v>
      </c>
      <c r="AG64" s="199" t="s">
        <v>512</v>
      </c>
      <c r="AH64" s="241" t="s">
        <v>543</v>
      </c>
      <c r="AI64" s="198" t="s">
        <v>518</v>
      </c>
      <c r="AJ64" s="199" t="s">
        <v>512</v>
      </c>
      <c r="AK64" s="241" t="s">
        <v>544</v>
      </c>
      <c r="AL64" s="198" t="s">
        <v>518</v>
      </c>
      <c r="AM64" s="200" t="s">
        <v>46</v>
      </c>
      <c r="AN64" s="241" t="s">
        <v>544</v>
      </c>
      <c r="AO64" s="198" t="s">
        <v>518</v>
      </c>
      <c r="AP64" s="200" t="s">
        <v>512</v>
      </c>
      <c r="AQ64" s="241" t="s">
        <v>544</v>
      </c>
      <c r="AR64" s="198" t="s">
        <v>518</v>
      </c>
      <c r="AS64" s="199" t="s">
        <v>512</v>
      </c>
      <c r="AT64" s="241" t="s">
        <v>544</v>
      </c>
    </row>
    <row r="65" spans="2:46" ht="22.5" customHeight="1" x14ac:dyDescent="0.3">
      <c r="B65" s="206" t="s">
        <v>20</v>
      </c>
      <c r="C65" s="207">
        <v>292885.01599075663</v>
      </c>
      <c r="D65" s="208">
        <f>C65/$C$65*100</f>
        <v>100</v>
      </c>
      <c r="E65" s="207">
        <v>216075.04989827413</v>
      </c>
      <c r="F65" s="208">
        <f>E65/$C$65*100</f>
        <v>73.774702733544203</v>
      </c>
      <c r="G65" s="207">
        <v>67886.023430453031</v>
      </c>
      <c r="H65" s="208">
        <f>G65/$C$65*100</f>
        <v>23.178387327467615</v>
      </c>
      <c r="I65" s="207">
        <v>8923.942662029418</v>
      </c>
      <c r="J65" s="208">
        <f>I65/$C$65*100</f>
        <v>3.0469099389881573</v>
      </c>
      <c r="K65" s="207">
        <v>56698.29934028213</v>
      </c>
      <c r="L65" s="208">
        <f>K65/$K$65*100</f>
        <v>100</v>
      </c>
      <c r="M65" s="244">
        <f>(K65-C65)/C65*100</f>
        <v>-80.641447583623901</v>
      </c>
      <c r="N65" s="207">
        <v>38300.030262135806</v>
      </c>
      <c r="O65" s="208">
        <f>N65/$K$65*100</f>
        <v>67.550580366217432</v>
      </c>
      <c r="P65" s="244">
        <f>(N65-E65)/E65*100</f>
        <v>-82.274663233831461</v>
      </c>
      <c r="Q65" s="207">
        <v>15848.982641164406</v>
      </c>
      <c r="R65" s="208">
        <f>Q65/$K$65*100</f>
        <v>27.953188765053955</v>
      </c>
      <c r="S65" s="244">
        <f>(Q65-G65)/G65*100</f>
        <v>-76.653540979018814</v>
      </c>
      <c r="T65" s="207">
        <v>2549.2864369819217</v>
      </c>
      <c r="U65" s="208">
        <f>T65/$K$65*100</f>
        <v>4.4962308687286221</v>
      </c>
      <c r="V65" s="244">
        <f>(T65-I65)/I65*100</f>
        <v>-71.433182243215114</v>
      </c>
      <c r="W65" s="207">
        <v>282658.42529749632</v>
      </c>
      <c r="X65" s="208">
        <f>W65/$W$65*100</f>
        <v>100</v>
      </c>
      <c r="Y65" s="244">
        <f>(W65-K65)/K65*100</f>
        <v>398.53069419434513</v>
      </c>
      <c r="Z65" s="207">
        <v>207360.9485245235</v>
      </c>
      <c r="AA65" s="208">
        <f>Z65/$W$65*100</f>
        <v>73.360965025640866</v>
      </c>
      <c r="AB65" s="244">
        <f>(Z65-N65)/N65*100</f>
        <v>441.41197044829693</v>
      </c>
      <c r="AC65" s="207">
        <v>69086.390742098927</v>
      </c>
      <c r="AD65" s="208">
        <f>AC65/$W$65*100</f>
        <v>24.441652736650575</v>
      </c>
      <c r="AE65" s="244">
        <f>(AC65-Q65)/Q65*100</f>
        <v>335.90426153071513</v>
      </c>
      <c r="AF65" s="207">
        <v>6211.0860308738884</v>
      </c>
      <c r="AG65" s="208">
        <f>AF65/$W$65*100</f>
        <v>2.1973822377085548</v>
      </c>
      <c r="AH65" s="244">
        <f>(AF65-T65)/T65*100</f>
        <v>143.64017870926813</v>
      </c>
      <c r="AI65" s="207">
        <v>196585.8610224431</v>
      </c>
      <c r="AJ65" s="208">
        <f>AI65/$AI$65*100</f>
        <v>100</v>
      </c>
      <c r="AK65" s="244">
        <f>(AI65-W65)/W65*100</f>
        <v>-30.451087451032937</v>
      </c>
      <c r="AL65" s="207">
        <v>140852.04552155247</v>
      </c>
      <c r="AM65" s="208">
        <f>AL65/$AI$65*100</f>
        <v>71.649123079849659</v>
      </c>
      <c r="AN65" s="244">
        <f>(AL65-Z65)/Z65*100</f>
        <v>-32.073977031941176</v>
      </c>
      <c r="AO65" s="207">
        <v>48679.226573803098</v>
      </c>
      <c r="AP65" s="208">
        <f>AO65/$AI$65*100</f>
        <v>24.762323353583231</v>
      </c>
      <c r="AQ65" s="244">
        <f>(AO65-AC65)/AC65*100</f>
        <v>-29.538616721889898</v>
      </c>
      <c r="AR65" s="207">
        <v>7054.5889270875532</v>
      </c>
      <c r="AS65" s="208">
        <f>AR65/$AI$65*100</f>
        <v>3.5885535665671147</v>
      </c>
      <c r="AT65" s="244">
        <f>(AR65-AF65)/AF65*100</f>
        <v>13.580602361983152</v>
      </c>
    </row>
    <row r="66" spans="2:46" ht="20.25" customHeight="1" x14ac:dyDescent="0.3">
      <c r="B66" s="43" t="s">
        <v>277</v>
      </c>
      <c r="C66" s="175">
        <v>26921.505183274519</v>
      </c>
      <c r="D66" s="195">
        <f>C66/C$65*100</f>
        <v>9.191834239865706</v>
      </c>
      <c r="E66" s="175">
        <v>19061.896919934072</v>
      </c>
      <c r="F66" s="195">
        <f>E66/E$65*100</f>
        <v>8.821887084560764</v>
      </c>
      <c r="G66" s="175">
        <v>6984.216235379231</v>
      </c>
      <c r="H66" s="195">
        <f>G66/G$65*100</f>
        <v>10.288150465219587</v>
      </c>
      <c r="I66" s="175">
        <v>875.3920279612139</v>
      </c>
      <c r="J66" s="195">
        <f>I66/I$65*100</f>
        <v>9.8094761599705151</v>
      </c>
      <c r="K66" s="175">
        <v>3733.7872490524455</v>
      </c>
      <c r="L66" s="195">
        <f>K66/K$65*100</f>
        <v>6.5853602180263673</v>
      </c>
      <c r="M66" s="257">
        <f t="shared" ref="M66:M76" si="16">(K66-C66)/C66*100</f>
        <v>-86.130837694126654</v>
      </c>
      <c r="N66" s="175">
        <v>2707.6539682811522</v>
      </c>
      <c r="O66" s="195">
        <f t="shared" ref="O66:O76" si="17">N66/N$65*100</f>
        <v>7.069587020556467</v>
      </c>
      <c r="P66" s="257">
        <f t="shared" ref="P66:P76" si="18">(N66-E66)/E66*100</f>
        <v>-85.795464220302179</v>
      </c>
      <c r="Q66" s="175">
        <v>924.24700314756205</v>
      </c>
      <c r="R66" s="195">
        <f t="shared" ref="R66:R76" si="19">Q66/Q$65*100</f>
        <v>5.8315856864340585</v>
      </c>
      <c r="S66" s="257">
        <f t="shared" ref="S66:S76" si="20">(Q66-G66)/G66*100</f>
        <v>-86.766632475299104</v>
      </c>
      <c r="T66" s="175">
        <v>101.88627762373146</v>
      </c>
      <c r="U66" s="195">
        <f t="shared" ref="U66:U76" si="21">T66/T$65*100</f>
        <v>3.9966586785105931</v>
      </c>
      <c r="V66" s="257">
        <f t="shared" ref="V66:V76" si="22">(T66-I66)/I66*100</f>
        <v>-88.361068599056779</v>
      </c>
      <c r="W66" s="175">
        <v>26075.870419951134</v>
      </c>
      <c r="X66" s="195">
        <f t="shared" ref="X66:X76" si="23">W66/W$65*100</f>
        <v>9.2252231266435576</v>
      </c>
      <c r="Y66" s="257">
        <f>(W66-K66)/K66*100</f>
        <v>598.37590308790686</v>
      </c>
      <c r="Z66" s="175">
        <v>19297.624022426779</v>
      </c>
      <c r="AA66" s="195">
        <f t="shared" ref="AA66:AA76" si="24">Z66/Z$65*100</f>
        <v>9.3062961756970104</v>
      </c>
      <c r="AB66" s="257">
        <f>(Z66-N66)/N66*100</f>
        <v>612.70643326248648</v>
      </c>
      <c r="AC66" s="175">
        <v>6390.6078489090178</v>
      </c>
      <c r="AD66" s="195">
        <f t="shared" ref="AD66:AD76" si="25">AC66/AC$65*100</f>
        <v>9.2501689265622549</v>
      </c>
      <c r="AE66" s="257">
        <f>(AC66-Q66)/Q66*100</f>
        <v>591.43939089286027</v>
      </c>
      <c r="AF66" s="175">
        <v>387.63854861534071</v>
      </c>
      <c r="AG66" s="195">
        <f t="shared" ref="AG66:AG76" si="26">AF66/AF$65*100</f>
        <v>6.2410751789377592</v>
      </c>
      <c r="AH66" s="257">
        <f>(AF66-T66)/T66*100</f>
        <v>280.4619794305367</v>
      </c>
      <c r="AI66" s="175">
        <v>15876.753726838213</v>
      </c>
      <c r="AJ66" s="195">
        <f t="shared" ref="AJ66:AJ76" si="27">AI66/AI$65*100</f>
        <v>8.0762439598978339</v>
      </c>
      <c r="AK66" s="257">
        <f>(AI66-W66)/W66*100</f>
        <v>-39.113235833958541</v>
      </c>
      <c r="AL66" s="175">
        <v>12408.706366821309</v>
      </c>
      <c r="AM66" s="195">
        <f t="shared" ref="AM66:AM76" si="28">AL66/AL$65*100</f>
        <v>8.8097452336413475</v>
      </c>
      <c r="AN66" s="257">
        <f>(AL66-Z66)/Z66*100</f>
        <v>-35.698268593063567</v>
      </c>
      <c r="AO66" s="175">
        <v>3154.0098664149973</v>
      </c>
      <c r="AP66" s="195">
        <f t="shared" ref="AP66:AP76" si="29">AO66/AO$65*100</f>
        <v>6.4791700452207657</v>
      </c>
      <c r="AQ66" s="257">
        <f>(AO66-AC66)/AC66*100</f>
        <v>-50.646167923549889</v>
      </c>
      <c r="AR66" s="175">
        <v>314.03749360190824</v>
      </c>
      <c r="AS66" s="195">
        <f t="shared" ref="AS66:AS76" si="30">AR66/AR$65*100</f>
        <v>4.4515349774116011</v>
      </c>
      <c r="AT66" s="257">
        <f>(AR66-AF66)/AF66*100</f>
        <v>-18.987031933830671</v>
      </c>
    </row>
    <row r="67" spans="2:46" ht="20.25" customHeight="1" x14ac:dyDescent="0.3">
      <c r="B67" s="43" t="s">
        <v>278</v>
      </c>
      <c r="C67" s="175">
        <v>28566.400459854816</v>
      </c>
      <c r="D67" s="195">
        <f t="shared" ref="D67:F76" si="31">C67/C$65*100</f>
        <v>9.7534523448466075</v>
      </c>
      <c r="E67" s="175">
        <v>21151.995420593859</v>
      </c>
      <c r="F67" s="195">
        <f t="shared" si="31"/>
        <v>9.7891891870681036</v>
      </c>
      <c r="G67" s="175">
        <v>6502.7043895094994</v>
      </c>
      <c r="H67" s="195">
        <f t="shared" ref="H67" si="32">G67/G$65*100</f>
        <v>9.5788559425215158</v>
      </c>
      <c r="I67" s="175">
        <v>911.70064975145624</v>
      </c>
      <c r="J67" s="195">
        <f t="shared" ref="J67" si="33">I67/I$65*100</f>
        <v>10.216343653020783</v>
      </c>
      <c r="K67" s="175">
        <v>2850.9225565928264</v>
      </c>
      <c r="L67" s="195">
        <f t="shared" ref="L67" si="34">K67/K$65*100</f>
        <v>5.0282329272041268</v>
      </c>
      <c r="M67" s="258">
        <f t="shared" si="16"/>
        <v>-90.020014735145551</v>
      </c>
      <c r="N67" s="175">
        <v>1758.1385530004934</v>
      </c>
      <c r="O67" s="195">
        <f t="shared" si="17"/>
        <v>4.5904364591028148</v>
      </c>
      <c r="P67" s="258">
        <f t="shared" si="18"/>
        <v>-91.688072363665768</v>
      </c>
      <c r="Q67" s="175">
        <v>1014.6319573471859</v>
      </c>
      <c r="R67" s="195">
        <f t="shared" si="19"/>
        <v>6.4018743683389019</v>
      </c>
      <c r="S67" s="258">
        <f t="shared" si="20"/>
        <v>-84.396769458195848</v>
      </c>
      <c r="T67" s="175">
        <v>78.152046245147247</v>
      </c>
      <c r="U67" s="195">
        <f t="shared" si="21"/>
        <v>3.0656439822302111</v>
      </c>
      <c r="V67" s="258">
        <f>(T67-I67)/I67*100</f>
        <v>-91.427883015499361</v>
      </c>
      <c r="W67" s="175">
        <v>18446.479891428055</v>
      </c>
      <c r="X67" s="195">
        <f t="shared" si="23"/>
        <v>6.5260675927184</v>
      </c>
      <c r="Y67" s="258">
        <f t="shared" ref="Y67:Y76" si="35">(W67-K67)/K67*100</f>
        <v>547.03546046068948</v>
      </c>
      <c r="Z67" s="175">
        <v>14370.916150495013</v>
      </c>
      <c r="AA67" s="195">
        <f t="shared" si="24"/>
        <v>6.9303869666642859</v>
      </c>
      <c r="AB67" s="258">
        <f t="shared" ref="AB67:AB76" si="36">(Z67-N67)/N67*100</f>
        <v>717.3938354272002</v>
      </c>
      <c r="AC67" s="175">
        <v>3698.1203424817527</v>
      </c>
      <c r="AD67" s="195">
        <f t="shared" si="25"/>
        <v>5.3528926649054807</v>
      </c>
      <c r="AE67" s="258">
        <f t="shared" ref="AE67:AE76" si="37">(AC67-Q67)/Q67*100</f>
        <v>264.47899316622181</v>
      </c>
      <c r="AF67" s="175">
        <v>377.44339845128843</v>
      </c>
      <c r="AG67" s="195">
        <f t="shared" si="26"/>
        <v>6.0769307746681278</v>
      </c>
      <c r="AH67" s="258">
        <f t="shared" ref="AH67:AH76" si="38">(AF67-T67)/T67*100</f>
        <v>382.96035303710977</v>
      </c>
      <c r="AI67" s="175">
        <v>14046.261390611362</v>
      </c>
      <c r="AJ67" s="195">
        <f t="shared" si="27"/>
        <v>7.1451025610675929</v>
      </c>
      <c r="AK67" s="258">
        <f t="shared" ref="AK67:AK76" si="39">(AI67-W67)/W67*100</f>
        <v>-23.85397391109532</v>
      </c>
      <c r="AL67" s="175">
        <v>10772.783008438031</v>
      </c>
      <c r="AM67" s="195">
        <f t="shared" si="28"/>
        <v>7.6482971678175833</v>
      </c>
      <c r="AN67" s="258">
        <f t="shared" ref="AN67:AN76" si="40">(AL67-Z67)/Z67*100</f>
        <v>-25.03760445316524</v>
      </c>
      <c r="AO67" s="175">
        <v>2834.8389582074678</v>
      </c>
      <c r="AP67" s="195">
        <f t="shared" si="29"/>
        <v>5.8235086252028632</v>
      </c>
      <c r="AQ67" s="258">
        <f t="shared" ref="AQ67:AQ76" si="41">(AO67-AC67)/AC67*100</f>
        <v>-23.343788312063143</v>
      </c>
      <c r="AR67" s="175">
        <v>438.63942396586162</v>
      </c>
      <c r="AS67" s="195">
        <f t="shared" si="30"/>
        <v>6.2177885699564266</v>
      </c>
      <c r="AT67" s="258">
        <f t="shared" ref="AT67:AT76" si="42">(AR67-AF67)/AF67*100</f>
        <v>16.213298673568126</v>
      </c>
    </row>
    <row r="68" spans="2:46" ht="20.25" customHeight="1" x14ac:dyDescent="0.3">
      <c r="B68" s="43" t="s">
        <v>22</v>
      </c>
      <c r="C68" s="175">
        <v>69306.643579002804</v>
      </c>
      <c r="D68" s="195">
        <f t="shared" si="31"/>
        <v>23.663430969507196</v>
      </c>
      <c r="E68" s="175">
        <v>53657.196435028112</v>
      </c>
      <c r="F68" s="195">
        <f t="shared" si="31"/>
        <v>24.832666455608528</v>
      </c>
      <c r="G68" s="175">
        <v>14129.507347097671</v>
      </c>
      <c r="H68" s="195">
        <f t="shared" ref="H68" si="43">G68/G$65*100</f>
        <v>20.813573447224936</v>
      </c>
      <c r="I68" s="175">
        <v>1519.9397968770229</v>
      </c>
      <c r="J68" s="195">
        <f t="shared" ref="J68" si="44">I68/I$65*100</f>
        <v>17.03215556666709</v>
      </c>
      <c r="K68" s="175">
        <v>15354.406980074591</v>
      </c>
      <c r="L68" s="195">
        <f t="shared" ref="L68" si="45">K68/K$65*100</f>
        <v>27.080895121603461</v>
      </c>
      <c r="M68" s="258">
        <f t="shared" si="16"/>
        <v>-77.845692437014264</v>
      </c>
      <c r="N68" s="175">
        <v>10998.643414875078</v>
      </c>
      <c r="O68" s="195">
        <f t="shared" si="17"/>
        <v>28.717061943808858</v>
      </c>
      <c r="P68" s="258">
        <f t="shared" si="18"/>
        <v>-79.502016233380729</v>
      </c>
      <c r="Q68" s="175">
        <v>3838.7445611764856</v>
      </c>
      <c r="R68" s="195">
        <f t="shared" si="19"/>
        <v>24.220763238178787</v>
      </c>
      <c r="S68" s="258">
        <f t="shared" si="20"/>
        <v>-72.831716868281333</v>
      </c>
      <c r="T68" s="175">
        <v>517.01900402302749</v>
      </c>
      <c r="U68" s="195">
        <f t="shared" si="21"/>
        <v>20.280930244744166</v>
      </c>
      <c r="V68" s="258">
        <f t="shared" si="22"/>
        <v>-65.984244567756448</v>
      </c>
      <c r="W68" s="175">
        <v>84698.742335330127</v>
      </c>
      <c r="X68" s="195">
        <f t="shared" si="23"/>
        <v>29.965051367630458</v>
      </c>
      <c r="Y68" s="258">
        <f t="shared" si="35"/>
        <v>451.62496633861309</v>
      </c>
      <c r="Z68" s="175">
        <v>65660.17246476312</v>
      </c>
      <c r="AA68" s="195">
        <f t="shared" si="24"/>
        <v>31.664675982612916</v>
      </c>
      <c r="AB68" s="258">
        <f t="shared" si="36"/>
        <v>496.98428240669432</v>
      </c>
      <c r="AC68" s="175">
        <v>17838.420185050698</v>
      </c>
      <c r="AD68" s="195">
        <f t="shared" si="25"/>
        <v>25.820454641554409</v>
      </c>
      <c r="AE68" s="258">
        <f t="shared" si="37"/>
        <v>364.69411810989681</v>
      </c>
      <c r="AF68" s="175">
        <v>1200.1496855163273</v>
      </c>
      <c r="AG68" s="195">
        <f t="shared" si="26"/>
        <v>19.322702657001653</v>
      </c>
      <c r="AH68" s="258">
        <f t="shared" si="38"/>
        <v>132.12873727613962</v>
      </c>
      <c r="AI68" s="175">
        <v>55335.543626182975</v>
      </c>
      <c r="AJ68" s="195">
        <f t="shared" si="27"/>
        <v>28.148282556223929</v>
      </c>
      <c r="AK68" s="258">
        <f t="shared" si="39"/>
        <v>-34.667809579622258</v>
      </c>
      <c r="AL68" s="175">
        <v>41302.076797364913</v>
      </c>
      <c r="AM68" s="195">
        <f t="shared" si="28"/>
        <v>29.32302235613971</v>
      </c>
      <c r="AN68" s="258">
        <f t="shared" si="40"/>
        <v>-37.097215485491006</v>
      </c>
      <c r="AO68" s="175">
        <v>12835.999958261958</v>
      </c>
      <c r="AP68" s="195">
        <f t="shared" si="29"/>
        <v>26.368537180436014</v>
      </c>
      <c r="AQ68" s="258">
        <f t="shared" si="41"/>
        <v>-28.042955457350228</v>
      </c>
      <c r="AR68" s="175">
        <v>1197.466870556106</v>
      </c>
      <c r="AS68" s="195">
        <f t="shared" si="30"/>
        <v>16.974296914143135</v>
      </c>
      <c r="AT68" s="258">
        <f t="shared" si="42"/>
        <v>-0.22354002943117246</v>
      </c>
    </row>
    <row r="69" spans="2:46" ht="20.25" customHeight="1" x14ac:dyDescent="0.3">
      <c r="B69" s="43" t="s">
        <v>268</v>
      </c>
      <c r="C69" s="175">
        <v>35120.724745459345</v>
      </c>
      <c r="D69" s="195">
        <f t="shared" si="31"/>
        <v>11.991301305276657</v>
      </c>
      <c r="E69" s="175">
        <v>25950.556602583158</v>
      </c>
      <c r="F69" s="195">
        <f t="shared" si="31"/>
        <v>12.009973671092709</v>
      </c>
      <c r="G69" s="175">
        <v>8501.2708678996751</v>
      </c>
      <c r="H69" s="195">
        <f t="shared" ref="H69" si="46">G69/G$65*100</f>
        <v>12.522858812917425</v>
      </c>
      <c r="I69" s="175">
        <v>668.89727497650347</v>
      </c>
      <c r="J69" s="195">
        <f t="shared" ref="J69" si="47">I69/I$65*100</f>
        <v>7.4955353290491411</v>
      </c>
      <c r="K69" s="175">
        <v>7535.8896141072482</v>
      </c>
      <c r="L69" s="195">
        <f t="shared" ref="L69" si="48">K69/K$65*100</f>
        <v>13.291209263402484</v>
      </c>
      <c r="M69" s="258">
        <f t="shared" si="16"/>
        <v>-78.542898335030685</v>
      </c>
      <c r="N69" s="175">
        <v>5213.6303738796514</v>
      </c>
      <c r="O69" s="195">
        <f t="shared" si="17"/>
        <v>13.612601186464213</v>
      </c>
      <c r="P69" s="258">
        <f t="shared" si="18"/>
        <v>-79.909369753708177</v>
      </c>
      <c r="Q69" s="175">
        <v>2123.5283012693394</v>
      </c>
      <c r="R69" s="195">
        <f t="shared" si="19"/>
        <v>13.39851490375111</v>
      </c>
      <c r="S69" s="258">
        <f t="shared" si="20"/>
        <v>-75.021048802389473</v>
      </c>
      <c r="T69" s="175">
        <v>198.73093895825582</v>
      </c>
      <c r="U69" s="195">
        <f t="shared" si="21"/>
        <v>7.7955515737780994</v>
      </c>
      <c r="V69" s="258">
        <f t="shared" si="22"/>
        <v>-70.289766995203166</v>
      </c>
      <c r="W69" s="175">
        <v>35130.801472353713</v>
      </c>
      <c r="X69" s="195">
        <f t="shared" si="23"/>
        <v>12.428711946363796</v>
      </c>
      <c r="Y69" s="258">
        <f t="shared" si="35"/>
        <v>366.17988414517856</v>
      </c>
      <c r="Z69" s="175">
        <v>26299.865439431585</v>
      </c>
      <c r="AA69" s="195">
        <f t="shared" si="24"/>
        <v>12.683133264275764</v>
      </c>
      <c r="AB69" s="258">
        <f t="shared" si="36"/>
        <v>404.44438046843931</v>
      </c>
      <c r="AC69" s="175">
        <v>8270.8349615337902</v>
      </c>
      <c r="AD69" s="195">
        <f t="shared" si="25"/>
        <v>11.971728256016451</v>
      </c>
      <c r="AE69" s="258">
        <f t="shared" si="37"/>
        <v>289.48550657836284</v>
      </c>
      <c r="AF69" s="175">
        <v>560.10107138833553</v>
      </c>
      <c r="AG69" s="195">
        <f t="shared" si="26"/>
        <v>9.0177638597211693</v>
      </c>
      <c r="AH69" s="258">
        <f t="shared" si="38"/>
        <v>181.83888946752617</v>
      </c>
      <c r="AI69" s="175">
        <v>24069.326531432158</v>
      </c>
      <c r="AJ69" s="195">
        <f t="shared" si="27"/>
        <v>12.243671241791034</v>
      </c>
      <c r="AK69" s="258">
        <f t="shared" si="39"/>
        <v>-31.486543082788515</v>
      </c>
      <c r="AL69" s="175">
        <v>18213.109344584562</v>
      </c>
      <c r="AM69" s="195">
        <f t="shared" si="28"/>
        <v>12.930667266594778</v>
      </c>
      <c r="AN69" s="258">
        <f t="shared" si="40"/>
        <v>-30.748279353256653</v>
      </c>
      <c r="AO69" s="175">
        <v>5443.2892755340663</v>
      </c>
      <c r="AP69" s="195">
        <f t="shared" si="29"/>
        <v>11.181955134972075</v>
      </c>
      <c r="AQ69" s="258">
        <f t="shared" si="41"/>
        <v>-34.186943629635287</v>
      </c>
      <c r="AR69" s="175">
        <v>412.927911313528</v>
      </c>
      <c r="AS69" s="195">
        <f t="shared" si="30"/>
        <v>5.853323497390555</v>
      </c>
      <c r="AT69" s="258">
        <f t="shared" si="42"/>
        <v>-26.276178995695542</v>
      </c>
    </row>
    <row r="70" spans="2:46" ht="20.25" customHeight="1" x14ac:dyDescent="0.3">
      <c r="B70" s="43" t="s">
        <v>272</v>
      </c>
      <c r="C70" s="175">
        <v>19208.23221270302</v>
      </c>
      <c r="D70" s="195">
        <f t="shared" si="31"/>
        <v>6.5582843655304064</v>
      </c>
      <c r="E70" s="175">
        <v>15210.328681510073</v>
      </c>
      <c r="F70" s="195">
        <f t="shared" si="31"/>
        <v>7.0393729811336101</v>
      </c>
      <c r="G70" s="175">
        <v>3217.748973445156</v>
      </c>
      <c r="H70" s="195">
        <f t="shared" ref="H70" si="49">G70/G$65*100</f>
        <v>4.7399285019863218</v>
      </c>
      <c r="I70" s="175">
        <v>780.15455774779184</v>
      </c>
      <c r="J70" s="195">
        <f t="shared" ref="J70" si="50">I70/I$65*100</f>
        <v>8.7422632270742842</v>
      </c>
      <c r="K70" s="175">
        <v>4063.4060105457334</v>
      </c>
      <c r="L70" s="195">
        <f t="shared" ref="L70" si="51">K70/K$65*100</f>
        <v>7.1667158588984829</v>
      </c>
      <c r="M70" s="258">
        <f t="shared" si="16"/>
        <v>-78.845497255814763</v>
      </c>
      <c r="N70" s="175">
        <v>2555.4823520043337</v>
      </c>
      <c r="O70" s="195">
        <f t="shared" si="17"/>
        <v>6.6722724094835399</v>
      </c>
      <c r="P70" s="258">
        <f t="shared" si="18"/>
        <v>-83.199032673693495</v>
      </c>
      <c r="Q70" s="175">
        <v>1166.7345348850106</v>
      </c>
      <c r="R70" s="195">
        <f t="shared" si="19"/>
        <v>7.3615736814214339</v>
      </c>
      <c r="S70" s="258">
        <f t="shared" si="20"/>
        <v>-63.740660178478123</v>
      </c>
      <c r="T70" s="175">
        <v>341.1891236563896</v>
      </c>
      <c r="U70" s="195">
        <f t="shared" si="21"/>
        <v>13.383710779096306</v>
      </c>
      <c r="V70" s="258">
        <f t="shared" si="22"/>
        <v>-56.266470500235279</v>
      </c>
      <c r="W70" s="175">
        <v>13901.833970800202</v>
      </c>
      <c r="X70" s="195">
        <f t="shared" si="23"/>
        <v>4.9182450359187433</v>
      </c>
      <c r="Y70" s="258">
        <f t="shared" si="35"/>
        <v>242.12269053894332</v>
      </c>
      <c r="Z70" s="175">
        <v>10381.804736595765</v>
      </c>
      <c r="AA70" s="195">
        <f t="shared" si="24"/>
        <v>5.0066344750385641</v>
      </c>
      <c r="AB70" s="258">
        <f t="shared" si="36"/>
        <v>306.2561703254587</v>
      </c>
      <c r="AC70" s="175">
        <v>3119.5858859686136</v>
      </c>
      <c r="AD70" s="195">
        <f t="shared" si="25"/>
        <v>4.5154853980056631</v>
      </c>
      <c r="AE70" s="258">
        <f t="shared" si="37"/>
        <v>167.37752185213833</v>
      </c>
      <c r="AF70" s="175">
        <v>400.44334823582767</v>
      </c>
      <c r="AG70" s="195">
        <f t="shared" si="26"/>
        <v>6.4472355759574951</v>
      </c>
      <c r="AH70" s="258">
        <f t="shared" si="38"/>
        <v>17.366973467510881</v>
      </c>
      <c r="AI70" s="175">
        <v>8462.3127441957313</v>
      </c>
      <c r="AJ70" s="195">
        <f t="shared" si="27"/>
        <v>4.3046395606394281</v>
      </c>
      <c r="AK70" s="258">
        <f t="shared" si="39"/>
        <v>-39.128083661693793</v>
      </c>
      <c r="AL70" s="175">
        <v>6045.479924051313</v>
      </c>
      <c r="AM70" s="195">
        <f t="shared" si="28"/>
        <v>4.2920781886169088</v>
      </c>
      <c r="AN70" s="258">
        <f t="shared" si="40"/>
        <v>-41.768506753541097</v>
      </c>
      <c r="AO70" s="175">
        <v>2099.2451450758863</v>
      </c>
      <c r="AP70" s="195">
        <f t="shared" si="29"/>
        <v>4.3124044748188393</v>
      </c>
      <c r="AQ70" s="258">
        <f t="shared" si="41"/>
        <v>-32.70757011313755</v>
      </c>
      <c r="AR70" s="175">
        <v>317.58767506853059</v>
      </c>
      <c r="AS70" s="195">
        <f t="shared" si="30"/>
        <v>4.5018594045797204</v>
      </c>
      <c r="AT70" s="258">
        <f t="shared" si="42"/>
        <v>-20.690985012567126</v>
      </c>
    </row>
    <row r="71" spans="2:46" ht="20.25" customHeight="1" x14ac:dyDescent="0.3">
      <c r="B71" s="43" t="s">
        <v>270</v>
      </c>
      <c r="C71" s="175">
        <v>23518.046961960434</v>
      </c>
      <c r="D71" s="195">
        <f t="shared" si="31"/>
        <v>8.0297883735720568</v>
      </c>
      <c r="E71" s="175">
        <v>17186.506354968438</v>
      </c>
      <c r="F71" s="195">
        <f t="shared" si="31"/>
        <v>7.9539522786456205</v>
      </c>
      <c r="G71" s="175">
        <v>5655.0865153342329</v>
      </c>
      <c r="H71" s="195">
        <f t="shared" ref="H71" si="52">G71/G$65*100</f>
        <v>8.3302662751010601</v>
      </c>
      <c r="I71" s="175">
        <v>676.45409165776584</v>
      </c>
      <c r="J71" s="195">
        <f t="shared" ref="J71" si="53">I71/I$65*100</f>
        <v>7.5802155759697758</v>
      </c>
      <c r="K71" s="175">
        <v>4095.8003036424107</v>
      </c>
      <c r="L71" s="195">
        <f t="shared" ref="L71" si="54">K71/K$65*100</f>
        <v>7.2238503646483974</v>
      </c>
      <c r="M71" s="258">
        <f t="shared" si="16"/>
        <v>-82.584436920858195</v>
      </c>
      <c r="N71" s="175">
        <v>2775.5545412166443</v>
      </c>
      <c r="O71" s="195">
        <f t="shared" si="17"/>
        <v>7.2468729716921771</v>
      </c>
      <c r="P71" s="258">
        <f t="shared" si="18"/>
        <v>-83.850385390197346</v>
      </c>
      <c r="Q71" s="175">
        <v>1054.2543703398603</v>
      </c>
      <c r="R71" s="195">
        <f t="shared" si="19"/>
        <v>6.6518740931777911</v>
      </c>
      <c r="S71" s="258">
        <f t="shared" si="20"/>
        <v>-81.357413940862571</v>
      </c>
      <c r="T71" s="175">
        <v>265.99139208590628</v>
      </c>
      <c r="U71" s="195">
        <f t="shared" si="21"/>
        <v>10.433954703058445</v>
      </c>
      <c r="V71" s="258">
        <f t="shared" si="22"/>
        <v>-60.6785744419035</v>
      </c>
      <c r="W71" s="175">
        <v>30812.462163707096</v>
      </c>
      <c r="X71" s="195">
        <f t="shared" si="23"/>
        <v>10.900953025290919</v>
      </c>
      <c r="Y71" s="258">
        <f t="shared" si="35"/>
        <v>652.29405438310687</v>
      </c>
      <c r="Z71" s="175">
        <v>21015.925565286441</v>
      </c>
      <c r="AA71" s="195">
        <f t="shared" si="24"/>
        <v>10.134948607645377</v>
      </c>
      <c r="AB71" s="258">
        <f t="shared" si="36"/>
        <v>657.17934031569291</v>
      </c>
      <c r="AC71" s="175">
        <v>8846.3247150323423</v>
      </c>
      <c r="AD71" s="195">
        <f t="shared" si="25"/>
        <v>12.804728427709989</v>
      </c>
      <c r="AE71" s="258">
        <f t="shared" si="37"/>
        <v>739.10723672699112</v>
      </c>
      <c r="AF71" s="175">
        <v>950.21188338831439</v>
      </c>
      <c r="AG71" s="195">
        <f t="shared" si="26"/>
        <v>15.298643082144226</v>
      </c>
      <c r="AH71" s="258">
        <f t="shared" si="38"/>
        <v>257.23407285354102</v>
      </c>
      <c r="AI71" s="175">
        <v>20618.226562503231</v>
      </c>
      <c r="AJ71" s="195">
        <f t="shared" si="27"/>
        <v>10.488153346974107</v>
      </c>
      <c r="AK71" s="258">
        <f t="shared" si="39"/>
        <v>-33.084780914429139</v>
      </c>
      <c r="AL71" s="175">
        <v>14236.927369011173</v>
      </c>
      <c r="AM71" s="195">
        <f t="shared" si="28"/>
        <v>10.107717865433989</v>
      </c>
      <c r="AN71" s="258">
        <f t="shared" si="40"/>
        <v>-32.256481758160774</v>
      </c>
      <c r="AO71" s="175">
        <v>5627.4350844215851</v>
      </c>
      <c r="AP71" s="195">
        <f t="shared" si="29"/>
        <v>11.560239306369773</v>
      </c>
      <c r="AQ71" s="258">
        <f t="shared" si="41"/>
        <v>-36.386745165944198</v>
      </c>
      <c r="AR71" s="175">
        <v>753.86410907047139</v>
      </c>
      <c r="AS71" s="195">
        <f t="shared" si="30"/>
        <v>10.68615218919212</v>
      </c>
      <c r="AT71" s="258">
        <f t="shared" si="42"/>
        <v>-20.663578066156784</v>
      </c>
    </row>
    <row r="72" spans="2:46" ht="20.25" customHeight="1" x14ac:dyDescent="0.3">
      <c r="B72" s="43" t="s">
        <v>273</v>
      </c>
      <c r="C72" s="175">
        <v>6761.5716437504989</v>
      </c>
      <c r="D72" s="195">
        <f t="shared" si="31"/>
        <v>2.3086096162611107</v>
      </c>
      <c r="E72" s="175">
        <v>5220.7834022481675</v>
      </c>
      <c r="F72" s="195">
        <f t="shared" si="31"/>
        <v>2.4161898399218504</v>
      </c>
      <c r="G72" s="175">
        <v>1356.4232838860883</v>
      </c>
      <c r="H72" s="195">
        <f t="shared" ref="H72" si="55">G72/G$65*100</f>
        <v>1.998089172619897</v>
      </c>
      <c r="I72" s="175">
        <v>184.36495761624431</v>
      </c>
      <c r="J72" s="195">
        <f t="shared" ref="J72" si="56">I72/I$65*100</f>
        <v>2.0659585633679698</v>
      </c>
      <c r="K72" s="175">
        <v>1708.4661249412782</v>
      </c>
      <c r="L72" s="195">
        <f t="shared" ref="L72" si="57">K72/K$65*100</f>
        <v>3.0132581485164116</v>
      </c>
      <c r="M72" s="258">
        <f t="shared" si="16"/>
        <v>-74.732706906679638</v>
      </c>
      <c r="N72" s="175">
        <v>897.00563022059737</v>
      </c>
      <c r="O72" s="195">
        <f t="shared" si="17"/>
        <v>2.3420494033065959</v>
      </c>
      <c r="P72" s="258">
        <f t="shared" si="18"/>
        <v>-82.818562634980594</v>
      </c>
      <c r="Q72" s="175">
        <v>728.12731255152391</v>
      </c>
      <c r="R72" s="195">
        <f t="shared" si="19"/>
        <v>4.5941580544126923</v>
      </c>
      <c r="S72" s="258">
        <f t="shared" si="20"/>
        <v>-46.320052066234538</v>
      </c>
      <c r="T72" s="175">
        <v>83.333182169156714</v>
      </c>
      <c r="U72" s="195">
        <f t="shared" si="21"/>
        <v>3.2688826551720935</v>
      </c>
      <c r="V72" s="258">
        <f t="shared" si="22"/>
        <v>-54.799879951907812</v>
      </c>
      <c r="W72" s="175">
        <v>6743.9379477814136</v>
      </c>
      <c r="X72" s="195">
        <f t="shared" si="23"/>
        <v>2.3858966668633559</v>
      </c>
      <c r="Y72" s="258">
        <f t="shared" si="35"/>
        <v>294.73641586035018</v>
      </c>
      <c r="Z72" s="175">
        <v>4627.9353030111042</v>
      </c>
      <c r="AA72" s="195">
        <f t="shared" si="24"/>
        <v>2.2318258746119608</v>
      </c>
      <c r="AB72" s="258">
        <f t="shared" si="36"/>
        <v>415.93157802955733</v>
      </c>
      <c r="AC72" s="175">
        <v>1885.9049963958457</v>
      </c>
      <c r="AD72" s="195">
        <f t="shared" si="25"/>
        <v>2.729777856591137</v>
      </c>
      <c r="AE72" s="258">
        <f t="shared" si="37"/>
        <v>159.00758890463885</v>
      </c>
      <c r="AF72" s="175">
        <v>230.09764837446298</v>
      </c>
      <c r="AG72" s="195">
        <f t="shared" si="26"/>
        <v>3.7046282603509306</v>
      </c>
      <c r="AH72" s="258">
        <f t="shared" si="38"/>
        <v>176.11767891857457</v>
      </c>
      <c r="AI72" s="175">
        <v>5226.4348051197785</v>
      </c>
      <c r="AJ72" s="195">
        <f t="shared" si="27"/>
        <v>2.6586015789421937</v>
      </c>
      <c r="AK72" s="258">
        <f t="shared" si="39"/>
        <v>-22.501736439625095</v>
      </c>
      <c r="AL72" s="175">
        <v>3486.9548320195286</v>
      </c>
      <c r="AM72" s="195">
        <f t="shared" si="28"/>
        <v>2.4756153303332553</v>
      </c>
      <c r="AN72" s="258">
        <f t="shared" si="40"/>
        <v>-24.654200983518763</v>
      </c>
      <c r="AO72" s="175">
        <v>1513.3107716041241</v>
      </c>
      <c r="AP72" s="195">
        <f t="shared" si="29"/>
        <v>3.10874037678018</v>
      </c>
      <c r="AQ72" s="258">
        <f t="shared" si="41"/>
        <v>-19.756786556257431</v>
      </c>
      <c r="AR72" s="175">
        <v>226.16920149612534</v>
      </c>
      <c r="AS72" s="195">
        <f t="shared" si="30"/>
        <v>3.2059869658415092</v>
      </c>
      <c r="AT72" s="258">
        <f t="shared" si="42"/>
        <v>-1.7072955356520849</v>
      </c>
    </row>
    <row r="73" spans="2:46" ht="20.25" customHeight="1" x14ac:dyDescent="0.3">
      <c r="B73" s="43" t="s">
        <v>274</v>
      </c>
      <c r="C73" s="175">
        <v>5403.3160923604701</v>
      </c>
      <c r="D73" s="195">
        <f t="shared" si="31"/>
        <v>1.8448591759064239</v>
      </c>
      <c r="E73" s="175">
        <v>0</v>
      </c>
      <c r="F73" s="195">
        <f t="shared" si="31"/>
        <v>0</v>
      </c>
      <c r="G73" s="175">
        <v>4650.3817117821618</v>
      </c>
      <c r="H73" s="195">
        <f t="shared" ref="H73" si="58">G73/G$65*100</f>
        <v>6.8502785651398819</v>
      </c>
      <c r="I73" s="175">
        <v>752.93438057830906</v>
      </c>
      <c r="J73" s="195">
        <f t="shared" ref="J73" si="59">I73/I$65*100</f>
        <v>8.4372391116090188</v>
      </c>
      <c r="K73" s="175">
        <v>1826.9378715498108</v>
      </c>
      <c r="L73" s="195">
        <f t="shared" ref="L73" si="60">K73/K$65*100</f>
        <v>3.2222092951769303</v>
      </c>
      <c r="M73" s="258">
        <f t="shared" si="16"/>
        <v>-66.188580487955463</v>
      </c>
      <c r="N73" s="175">
        <v>0</v>
      </c>
      <c r="O73" s="195">
        <f t="shared" si="17"/>
        <v>0</v>
      </c>
      <c r="P73" s="258" t="s">
        <v>558</v>
      </c>
      <c r="Q73" s="175">
        <v>1604.0156730205426</v>
      </c>
      <c r="R73" s="195">
        <f t="shared" si="19"/>
        <v>10.120622309563572</v>
      </c>
      <c r="S73" s="258">
        <f t="shared" si="20"/>
        <v>-65.507870698944473</v>
      </c>
      <c r="T73" s="175">
        <v>222.92219852926797</v>
      </c>
      <c r="U73" s="195">
        <f t="shared" si="21"/>
        <v>8.7444939609526031</v>
      </c>
      <c r="V73" s="258">
        <f t="shared" si="22"/>
        <v>-70.392878280037181</v>
      </c>
      <c r="W73" s="175">
        <v>6547.9230531731255</v>
      </c>
      <c r="X73" s="195">
        <f t="shared" si="23"/>
        <v>2.3165497530390171</v>
      </c>
      <c r="Y73" s="258">
        <f t="shared" si="35"/>
        <v>258.40972783702011</v>
      </c>
      <c r="Z73" s="175">
        <v>0</v>
      </c>
      <c r="AA73" s="195">
        <f t="shared" si="24"/>
        <v>0</v>
      </c>
      <c r="AB73" s="258" t="s">
        <v>558</v>
      </c>
      <c r="AC73" s="175">
        <v>6090.661086739683</v>
      </c>
      <c r="AD73" s="195">
        <f t="shared" si="25"/>
        <v>8.8160070620511366</v>
      </c>
      <c r="AE73" s="258">
        <f t="shared" si="37"/>
        <v>279.71331509936437</v>
      </c>
      <c r="AF73" s="175">
        <v>457.26196643344161</v>
      </c>
      <c r="AG73" s="195">
        <f t="shared" si="26"/>
        <v>7.3620291871743033</v>
      </c>
      <c r="AH73" s="258">
        <f t="shared" si="38"/>
        <v>105.12177317926759</v>
      </c>
      <c r="AI73" s="175">
        <v>4849.0563768030588</v>
      </c>
      <c r="AJ73" s="195">
        <f t="shared" si="27"/>
        <v>2.4666353681709943</v>
      </c>
      <c r="AK73" s="258">
        <f t="shared" si="39"/>
        <v>-25.94512279045178</v>
      </c>
      <c r="AL73" s="175">
        <v>0</v>
      </c>
      <c r="AM73" s="195">
        <f t="shared" si="28"/>
        <v>0</v>
      </c>
      <c r="AN73" s="258" t="s">
        <v>558</v>
      </c>
      <c r="AO73" s="175">
        <v>3975.4239493716686</v>
      </c>
      <c r="AP73" s="195">
        <f t="shared" si="29"/>
        <v>8.166571716879039</v>
      </c>
      <c r="AQ73" s="258">
        <f t="shared" si="41"/>
        <v>-34.729187968990999</v>
      </c>
      <c r="AR73" s="175">
        <v>873.63242743139006</v>
      </c>
      <c r="AS73" s="195">
        <f t="shared" si="30"/>
        <v>12.383888508044709</v>
      </c>
      <c r="AT73" s="258">
        <f t="shared" si="42"/>
        <v>91.05731321709537</v>
      </c>
    </row>
    <row r="74" spans="2:46" ht="19.5" customHeight="1" x14ac:dyDescent="0.3">
      <c r="B74" s="43" t="s">
        <v>23</v>
      </c>
      <c r="C74" s="175">
        <v>42262.521499445698</v>
      </c>
      <c r="D74" s="195">
        <f t="shared" si="31"/>
        <v>14.429731530130407</v>
      </c>
      <c r="E74" s="175">
        <v>31792.572679864239</v>
      </c>
      <c r="F74" s="195">
        <f t="shared" si="31"/>
        <v>14.713671335414178</v>
      </c>
      <c r="G74" s="175">
        <v>9426.2143949265264</v>
      </c>
      <c r="H74" s="195">
        <f t="shared" ref="H74" si="61">G74/G$65*100</f>
        <v>13.885353595034728</v>
      </c>
      <c r="I74" s="175">
        <v>1043.7344246549219</v>
      </c>
      <c r="J74" s="195">
        <f t="shared" ref="J74" si="62">I74/I$65*100</f>
        <v>11.695888960559092</v>
      </c>
      <c r="K74" s="175">
        <v>8768.6951983250328</v>
      </c>
      <c r="L74" s="195">
        <f t="shared" ref="L74" si="63">K74/K$65*100</f>
        <v>15.465534769744293</v>
      </c>
      <c r="M74" s="258">
        <f t="shared" si="16"/>
        <v>-79.251840904854575</v>
      </c>
      <c r="N74" s="175">
        <v>5968.7112900366592</v>
      </c>
      <c r="O74" s="195">
        <f t="shared" si="17"/>
        <v>15.584090271431064</v>
      </c>
      <c r="P74" s="258">
        <f t="shared" si="18"/>
        <v>-81.22608273907656</v>
      </c>
      <c r="Q74" s="175">
        <v>2423.8342190859912</v>
      </c>
      <c r="R74" s="195">
        <f t="shared" si="19"/>
        <v>15.293311084779603</v>
      </c>
      <c r="S74" s="258">
        <f t="shared" si="20"/>
        <v>-74.286239230983625</v>
      </c>
      <c r="T74" s="175">
        <v>376.14968920238198</v>
      </c>
      <c r="U74" s="195">
        <f t="shared" si="21"/>
        <v>14.755097102689737</v>
      </c>
      <c r="V74" s="258">
        <f t="shared" si="22"/>
        <v>-63.961168634756483</v>
      </c>
      <c r="W74" s="175">
        <v>42011.901284170985</v>
      </c>
      <c r="X74" s="195">
        <f t="shared" si="23"/>
        <v>14.863134272383252</v>
      </c>
      <c r="Y74" s="258">
        <f t="shared" si="35"/>
        <v>379.11234606713163</v>
      </c>
      <c r="Z74" s="175">
        <v>31431.750878064078</v>
      </c>
      <c r="AA74" s="195">
        <f t="shared" si="24"/>
        <v>15.157989535501573</v>
      </c>
      <c r="AB74" s="258">
        <f t="shared" si="36"/>
        <v>426.60866560143216</v>
      </c>
      <c r="AC74" s="175">
        <v>9927.7727050809881</v>
      </c>
      <c r="AD74" s="195">
        <f t="shared" si="25"/>
        <v>14.370084467346963</v>
      </c>
      <c r="AE74" s="258">
        <f t="shared" si="37"/>
        <v>309.58959267538819</v>
      </c>
      <c r="AF74" s="175">
        <v>652.37770102591628</v>
      </c>
      <c r="AG74" s="195">
        <f t="shared" si="26"/>
        <v>10.503440103439171</v>
      </c>
      <c r="AH74" s="258">
        <f t="shared" si="38"/>
        <v>73.435661321233667</v>
      </c>
      <c r="AI74" s="175">
        <v>30074.393303319936</v>
      </c>
      <c r="AJ74" s="195">
        <f t="shared" si="27"/>
        <v>15.29835011882493</v>
      </c>
      <c r="AK74" s="258">
        <f t="shared" si="39"/>
        <v>-28.414586381380452</v>
      </c>
      <c r="AL74" s="175">
        <v>21982.801935679083</v>
      </c>
      <c r="AM74" s="195">
        <f t="shared" si="28"/>
        <v>15.607016464887183</v>
      </c>
      <c r="AN74" s="258">
        <f t="shared" si="40"/>
        <v>-30.061796363305131</v>
      </c>
      <c r="AO74" s="175">
        <v>7359.9250973968174</v>
      </c>
      <c r="AP74" s="195">
        <f t="shared" si="29"/>
        <v>15.119231786146717</v>
      </c>
      <c r="AQ74" s="258">
        <f t="shared" si="41"/>
        <v>-25.865294099349779</v>
      </c>
      <c r="AR74" s="175">
        <v>731.66627024403726</v>
      </c>
      <c r="AS74" s="195">
        <f t="shared" si="30"/>
        <v>10.37149404176696</v>
      </c>
      <c r="AT74" s="258">
        <f t="shared" si="42"/>
        <v>12.153782861283172</v>
      </c>
    </row>
    <row r="75" spans="2:46" ht="19.5" customHeight="1" x14ac:dyDescent="0.3">
      <c r="B75" s="43" t="s">
        <v>275</v>
      </c>
      <c r="C75" s="175">
        <v>31644.827689893555</v>
      </c>
      <c r="D75" s="195">
        <f t="shared" si="31"/>
        <v>10.804522581275465</v>
      </c>
      <c r="E75" s="175">
        <v>23420.960855948048</v>
      </c>
      <c r="F75" s="195">
        <f t="shared" si="31"/>
        <v>10.839271293457708</v>
      </c>
      <c r="G75" s="175">
        <v>6846.399570509182</v>
      </c>
      <c r="H75" s="195">
        <f t="shared" ref="H75" si="64">G75/G$65*100</f>
        <v>10.085138625807256</v>
      </c>
      <c r="I75" s="175">
        <v>1377.4672634363255</v>
      </c>
      <c r="J75" s="195">
        <f t="shared" ref="J75" si="65">I75/I$65*100</f>
        <v>15.435635521251456</v>
      </c>
      <c r="K75" s="175">
        <v>5592.8283821620425</v>
      </c>
      <c r="L75" s="195">
        <f t="shared" ref="L75" si="66">K75/K$65*100</f>
        <v>9.8641907204234887</v>
      </c>
      <c r="M75" s="258">
        <f t="shared" si="16"/>
        <v>-82.326247951262417</v>
      </c>
      <c r="N75" s="175">
        <v>4499.5247063144116</v>
      </c>
      <c r="O75" s="195">
        <f t="shared" si="17"/>
        <v>11.748097000233271</v>
      </c>
      <c r="P75" s="258">
        <f t="shared" si="18"/>
        <v>-80.788470917188263</v>
      </c>
      <c r="Q75" s="175">
        <v>769.36115217883832</v>
      </c>
      <c r="R75" s="195">
        <f t="shared" si="19"/>
        <v>4.8543251614181475</v>
      </c>
      <c r="S75" s="258">
        <f t="shared" si="20"/>
        <v>-88.762543812183324</v>
      </c>
      <c r="T75" s="175">
        <v>323.94252366879294</v>
      </c>
      <c r="U75" s="195">
        <f t="shared" si="21"/>
        <v>12.707184213175578</v>
      </c>
      <c r="V75" s="258">
        <f t="shared" si="22"/>
        <v>-76.482742474716716</v>
      </c>
      <c r="W75" s="175">
        <v>15450.040429991419</v>
      </c>
      <c r="X75" s="195">
        <f t="shared" si="23"/>
        <v>5.4659755546753441</v>
      </c>
      <c r="Y75" s="258">
        <f t="shared" si="35"/>
        <v>176.24735418787932</v>
      </c>
      <c r="Z75" s="175">
        <v>12214.18960576003</v>
      </c>
      <c r="AA75" s="195">
        <f t="shared" si="24"/>
        <v>5.8903036915436955</v>
      </c>
      <c r="AB75" s="258">
        <f t="shared" si="36"/>
        <v>171.45510699428402</v>
      </c>
      <c r="AC75" s="175">
        <v>2482.3650730402387</v>
      </c>
      <c r="AD75" s="195">
        <f t="shared" si="25"/>
        <v>3.5931317968353049</v>
      </c>
      <c r="AE75" s="258">
        <f t="shared" si="37"/>
        <v>222.65277054997594</v>
      </c>
      <c r="AF75" s="175">
        <v>753.48575119115378</v>
      </c>
      <c r="AG75" s="195">
        <f t="shared" si="26"/>
        <v>12.131304371662997</v>
      </c>
      <c r="AH75" s="258">
        <f t="shared" si="38"/>
        <v>132.59859269403503</v>
      </c>
      <c r="AI75" s="175">
        <v>15638.707582173345</v>
      </c>
      <c r="AJ75" s="195">
        <f t="shared" si="27"/>
        <v>7.9551537942944739</v>
      </c>
      <c r="AK75" s="258">
        <f t="shared" si="39"/>
        <v>1.2211434205420459</v>
      </c>
      <c r="AL75" s="175">
        <v>10694.517770324259</v>
      </c>
      <c r="AM75" s="195">
        <f t="shared" si="28"/>
        <v>7.5927316005416747</v>
      </c>
      <c r="AN75" s="258">
        <f t="shared" si="40"/>
        <v>-12.441855616185263</v>
      </c>
      <c r="AO75" s="175">
        <v>3361.3114665054204</v>
      </c>
      <c r="AP75" s="195">
        <f t="shared" si="29"/>
        <v>6.9050223331081488</v>
      </c>
      <c r="AQ75" s="258">
        <f t="shared" si="41"/>
        <v>35.407620056009954</v>
      </c>
      <c r="AR75" s="175">
        <v>1582.8783453436672</v>
      </c>
      <c r="AS75" s="195">
        <f t="shared" si="30"/>
        <v>22.437570235536736</v>
      </c>
      <c r="AT75" s="258">
        <f t="shared" si="42"/>
        <v>110.07409136023631</v>
      </c>
    </row>
    <row r="76" spans="2:46" ht="19.5" customHeight="1" x14ac:dyDescent="0.3">
      <c r="B76" s="43" t="s">
        <v>276</v>
      </c>
      <c r="C76" s="175">
        <v>4171.2259230516347</v>
      </c>
      <c r="D76" s="195">
        <f t="shared" si="31"/>
        <v>1.4241854978280206</v>
      </c>
      <c r="E76" s="175">
        <v>3422.2525455961572</v>
      </c>
      <c r="F76" s="195">
        <f t="shared" si="31"/>
        <v>1.5838258730970178</v>
      </c>
      <c r="G76" s="175">
        <v>616.07014068361684</v>
      </c>
      <c r="H76" s="195">
        <f t="shared" ref="H76" si="67">G76/G$65*100</f>
        <v>0.90750659642740772</v>
      </c>
      <c r="I76" s="175">
        <v>132.90323677186103</v>
      </c>
      <c r="J76" s="195">
        <f t="shared" ref="J76" si="68">I76/I$65*100</f>
        <v>1.4892883314608518</v>
      </c>
      <c r="K76" s="175">
        <v>1167.159049288706</v>
      </c>
      <c r="L76" s="195">
        <f t="shared" ref="L76" si="69">K76/K$65*100</f>
        <v>2.0585433123555452</v>
      </c>
      <c r="M76" s="258">
        <f t="shared" si="16"/>
        <v>-72.018800448122875</v>
      </c>
      <c r="N76" s="175">
        <v>925.68543230677392</v>
      </c>
      <c r="O76" s="195">
        <f t="shared" si="17"/>
        <v>2.4169313339209695</v>
      </c>
      <c r="P76" s="258">
        <f t="shared" si="18"/>
        <v>-72.950990028542165</v>
      </c>
      <c r="Q76" s="175">
        <v>201.50355616206758</v>
      </c>
      <c r="R76" s="195">
        <f t="shared" si="19"/>
        <v>1.2713974185239145</v>
      </c>
      <c r="S76" s="258">
        <f t="shared" si="20"/>
        <v>-67.292108015741377</v>
      </c>
      <c r="T76" s="175">
        <v>39.970060819864287</v>
      </c>
      <c r="U76" s="195">
        <f t="shared" si="21"/>
        <v>1.5678921065921687</v>
      </c>
      <c r="V76" s="258">
        <f t="shared" si="22"/>
        <v>-69.925442155727126</v>
      </c>
      <c r="W76" s="175">
        <v>2838.4323288089031</v>
      </c>
      <c r="X76" s="195">
        <f t="shared" si="23"/>
        <v>1.0041916584731092</v>
      </c>
      <c r="Y76" s="258">
        <f t="shared" si="35"/>
        <v>143.19156249859094</v>
      </c>
      <c r="Z76" s="175">
        <v>2060.7643586895219</v>
      </c>
      <c r="AA76" s="195">
        <f t="shared" si="24"/>
        <v>0.99380542640882352</v>
      </c>
      <c r="AB76" s="258">
        <f t="shared" si="36"/>
        <v>122.62037261990537</v>
      </c>
      <c r="AC76" s="175">
        <v>535.79294186590198</v>
      </c>
      <c r="AD76" s="195">
        <f t="shared" si="25"/>
        <v>0.77554050242113426</v>
      </c>
      <c r="AE76" s="258">
        <f t="shared" si="37"/>
        <v>165.89751172181215</v>
      </c>
      <c r="AF76" s="175">
        <v>241.87502825347906</v>
      </c>
      <c r="AG76" s="195">
        <f t="shared" si="26"/>
        <v>3.8942469489421594</v>
      </c>
      <c r="AH76" s="258">
        <f t="shared" si="38"/>
        <v>505.14050589903593</v>
      </c>
      <c r="AI76" s="175">
        <v>2388.8443732636015</v>
      </c>
      <c r="AJ76" s="195">
        <f t="shared" si="27"/>
        <v>1.2151659131736237</v>
      </c>
      <c r="AK76" s="258">
        <f t="shared" si="39"/>
        <v>-15.839305062240575</v>
      </c>
      <c r="AL76" s="175">
        <v>1708.6881732585832</v>
      </c>
      <c r="AM76" s="195">
        <f t="shared" si="28"/>
        <v>1.2131085259937728</v>
      </c>
      <c r="AN76" s="258">
        <f t="shared" si="40"/>
        <v>-17.084737706490152</v>
      </c>
      <c r="AO76" s="175">
        <v>474.4370010090924</v>
      </c>
      <c r="AP76" s="195">
        <f t="shared" si="29"/>
        <v>0.9746190200655579</v>
      </c>
      <c r="AQ76" s="258">
        <f t="shared" si="41"/>
        <v>-11.451427606182561</v>
      </c>
      <c r="AR76" s="175">
        <v>205.71919899592575</v>
      </c>
      <c r="AS76" s="195">
        <f t="shared" si="30"/>
        <v>2.9161046961365011</v>
      </c>
      <c r="AT76" s="258">
        <f t="shared" si="42"/>
        <v>-14.948144716974623</v>
      </c>
    </row>
    <row r="77" spans="2:46" ht="19.5" customHeight="1" x14ac:dyDescent="0.3">
      <c r="B77" s="245"/>
      <c r="C77" s="246"/>
      <c r="D77" s="195"/>
      <c r="E77" s="246"/>
      <c r="F77" s="195"/>
      <c r="G77" s="246"/>
      <c r="H77" s="195"/>
      <c r="I77" s="246"/>
      <c r="J77" s="195"/>
      <c r="K77" s="246"/>
      <c r="L77" s="195"/>
      <c r="M77" s="246"/>
      <c r="N77" s="195"/>
      <c r="O77" s="246"/>
      <c r="P77" s="195"/>
      <c r="Q77" s="246"/>
      <c r="R77" s="195"/>
      <c r="S77" s="246"/>
      <c r="T77" s="195"/>
      <c r="U77" s="246"/>
      <c r="V77" s="195"/>
      <c r="W77" s="246"/>
      <c r="X77" s="195"/>
      <c r="Y77" s="246"/>
      <c r="Z77" s="195"/>
    </row>
    <row r="78" spans="2:46" ht="17.25" customHeight="1" x14ac:dyDescent="0.3">
      <c r="B78" s="259" t="s">
        <v>538</v>
      </c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</row>
    <row r="80" spans="2:46" x14ac:dyDescent="0.3">
      <c r="B80" s="259" t="s">
        <v>519</v>
      </c>
      <c r="C80" s="260"/>
      <c r="D80" s="260"/>
      <c r="E80" s="260"/>
      <c r="F80" s="260"/>
      <c r="G80" s="260"/>
      <c r="H80" s="260"/>
      <c r="I80" s="260"/>
      <c r="J80" s="260"/>
      <c r="K80" s="260"/>
      <c r="L80" s="260"/>
      <c r="M80" s="260"/>
      <c r="N80" s="260"/>
      <c r="O80" s="260"/>
      <c r="P80" s="260"/>
    </row>
    <row r="81" spans="2:16" x14ac:dyDescent="0.3">
      <c r="J81" s="61"/>
      <c r="M81" s="61"/>
      <c r="P81" s="30" t="s">
        <v>516</v>
      </c>
    </row>
    <row r="82" spans="2:16" x14ac:dyDescent="0.3">
      <c r="B82" s="277"/>
      <c r="C82" s="277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2" t="s">
        <v>526</v>
      </c>
      <c r="P82" s="202" t="s">
        <v>46</v>
      </c>
    </row>
    <row r="83" spans="2:16" x14ac:dyDescent="0.3">
      <c r="B83" s="277"/>
      <c r="C83" s="277"/>
      <c r="D83" s="203" t="s">
        <v>265</v>
      </c>
      <c r="E83" s="203" t="s">
        <v>267</v>
      </c>
      <c r="F83" s="203" t="s">
        <v>30</v>
      </c>
      <c r="G83" s="203" t="s">
        <v>269</v>
      </c>
      <c r="H83" s="204" t="s">
        <v>107</v>
      </c>
      <c r="I83" s="204" t="s">
        <v>271</v>
      </c>
      <c r="J83" s="204" t="s">
        <v>108</v>
      </c>
      <c r="K83" s="204" t="s">
        <v>109</v>
      </c>
      <c r="L83" s="204" t="s">
        <v>27</v>
      </c>
      <c r="M83" s="204" t="s">
        <v>111</v>
      </c>
      <c r="N83" s="205" t="s">
        <v>110</v>
      </c>
      <c r="O83" s="202"/>
      <c r="P83" s="202"/>
    </row>
    <row r="84" spans="2:16" ht="21" customHeight="1" x14ac:dyDescent="0.3">
      <c r="B84" s="14" t="s">
        <v>29</v>
      </c>
      <c r="C84" s="9"/>
      <c r="D84" s="176">
        <v>72607.916579116296</v>
      </c>
      <c r="E84" s="176">
        <v>63910.064298486963</v>
      </c>
      <c r="F84" s="176">
        <v>224695.33652059088</v>
      </c>
      <c r="G84" s="176">
        <v>101856.74236335261</v>
      </c>
      <c r="H84" s="176">
        <v>45635.784938244651</v>
      </c>
      <c r="I84" s="176">
        <v>79044.535991813129</v>
      </c>
      <c r="J84" s="176">
        <v>20440.410521593007</v>
      </c>
      <c r="K84" s="176">
        <v>18627.233393886476</v>
      </c>
      <c r="L84" s="177">
        <v>123117.51128526159</v>
      </c>
      <c r="M84" s="177">
        <v>68326.404084220354</v>
      </c>
      <c r="N84" s="178">
        <v>10565.661674412839</v>
      </c>
      <c r="O84" s="179">
        <v>828827.60165097821</v>
      </c>
      <c r="P84" s="196">
        <f>O84/$O$84*100</f>
        <v>100</v>
      </c>
    </row>
    <row r="85" spans="2:16" x14ac:dyDescent="0.3">
      <c r="B85" s="22"/>
      <c r="C85" s="13" t="s">
        <v>47</v>
      </c>
      <c r="D85" s="180">
        <v>61873.778869596703</v>
      </c>
      <c r="E85" s="180">
        <v>8295.5457349927219</v>
      </c>
      <c r="F85" s="180">
        <v>103358.74419245202</v>
      </c>
      <c r="G85" s="181">
        <v>58922.844405170719</v>
      </c>
      <c r="H85" s="181">
        <v>23883.334199850884</v>
      </c>
      <c r="I85" s="181">
        <v>46558.767399267774</v>
      </c>
      <c r="J85" s="181">
        <v>7525.6136059950031</v>
      </c>
      <c r="K85" s="181">
        <v>8438.6826509358816</v>
      </c>
      <c r="L85" s="182">
        <v>62623.476680148</v>
      </c>
      <c r="M85" s="182">
        <v>25664.553076663939</v>
      </c>
      <c r="N85" s="183">
        <v>3555.6016398885749</v>
      </c>
      <c r="O85" s="176">
        <v>410700.94245496328</v>
      </c>
      <c r="P85" s="196">
        <f>O85/$O$84*100</f>
        <v>49.552034902900196</v>
      </c>
    </row>
    <row r="86" spans="2:16" x14ac:dyDescent="0.3">
      <c r="B86" s="31"/>
      <c r="C86" s="25" t="s">
        <v>48</v>
      </c>
      <c r="D86" s="184">
        <v>10734.1377095197</v>
      </c>
      <c r="E86" s="184">
        <v>55614.518563494261</v>
      </c>
      <c r="F86" s="184">
        <v>121336.59232813866</v>
      </c>
      <c r="G86" s="184">
        <v>42933.897958181609</v>
      </c>
      <c r="H86" s="184">
        <v>21752.450738393818</v>
      </c>
      <c r="I86" s="184">
        <v>32485.768592545362</v>
      </c>
      <c r="J86" s="184">
        <v>12914.796915597966</v>
      </c>
      <c r="K86" s="184">
        <v>10188.550742950571</v>
      </c>
      <c r="L86" s="185">
        <v>60494.034605113447</v>
      </c>
      <c r="M86" s="185">
        <v>42661.851007556361</v>
      </c>
      <c r="N86" s="186">
        <v>7010.0600345242719</v>
      </c>
      <c r="O86" s="184">
        <v>418126.65919601591</v>
      </c>
      <c r="P86" s="196">
        <f>O86/$O$84*100</f>
        <v>50.447965097099924</v>
      </c>
    </row>
    <row r="87" spans="2:16" x14ac:dyDescent="0.3">
      <c r="B87" s="22"/>
      <c r="C87" s="9"/>
      <c r="D87" s="56"/>
      <c r="E87" s="56"/>
      <c r="F87" s="56"/>
      <c r="G87" s="56"/>
      <c r="H87" s="56"/>
      <c r="I87" s="56"/>
      <c r="J87" s="56"/>
      <c r="K87" s="56"/>
      <c r="L87" s="67"/>
      <c r="M87" s="67"/>
      <c r="N87" s="56"/>
      <c r="O87" s="56"/>
      <c r="P87" s="45"/>
    </row>
    <row r="88" spans="2:16" x14ac:dyDescent="0.3">
      <c r="B88" s="259" t="s">
        <v>520</v>
      </c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</row>
    <row r="90" spans="2:16" x14ac:dyDescent="0.3">
      <c r="B90" s="17" t="s">
        <v>28</v>
      </c>
      <c r="J90" s="61"/>
      <c r="M90" s="61"/>
      <c r="P90" s="30" t="s">
        <v>516</v>
      </c>
    </row>
    <row r="91" spans="2:16" x14ac:dyDescent="0.3">
      <c r="B91" s="276"/>
      <c r="C91" s="276"/>
      <c r="D91" s="201"/>
      <c r="E91" s="201"/>
      <c r="F91" s="201"/>
      <c r="G91" s="201"/>
      <c r="H91" s="201"/>
      <c r="I91" s="201"/>
      <c r="J91" s="201"/>
      <c r="K91" s="201"/>
      <c r="L91" s="201"/>
      <c r="M91" s="201"/>
      <c r="N91" s="201"/>
      <c r="O91" s="202" t="s">
        <v>526</v>
      </c>
      <c r="P91" s="202" t="s">
        <v>46</v>
      </c>
    </row>
    <row r="92" spans="2:16" x14ac:dyDescent="0.3">
      <c r="B92" s="276"/>
      <c r="C92" s="276"/>
      <c r="D92" s="203" t="s">
        <v>265</v>
      </c>
      <c r="E92" s="203" t="s">
        <v>267</v>
      </c>
      <c r="F92" s="203" t="s">
        <v>30</v>
      </c>
      <c r="G92" s="203" t="s">
        <v>269</v>
      </c>
      <c r="H92" s="204" t="s">
        <v>107</v>
      </c>
      <c r="I92" s="204" t="s">
        <v>271</v>
      </c>
      <c r="J92" s="204" t="s">
        <v>108</v>
      </c>
      <c r="K92" s="204" t="s">
        <v>109</v>
      </c>
      <c r="L92" s="204" t="s">
        <v>27</v>
      </c>
      <c r="M92" s="204" t="s">
        <v>111</v>
      </c>
      <c r="N92" s="205" t="s">
        <v>110</v>
      </c>
      <c r="O92" s="202"/>
      <c r="P92" s="202"/>
    </row>
    <row r="93" spans="2:16" ht="21" customHeight="1" x14ac:dyDescent="0.3">
      <c r="B93" s="29" t="s">
        <v>29</v>
      </c>
      <c r="C93" s="12"/>
      <c r="D93" s="179">
        <f t="shared" ref="D93:N93" si="70">SUM(D94:D99)</f>
        <v>72607.916579116325</v>
      </c>
      <c r="E93" s="179">
        <f t="shared" si="70"/>
        <v>63910.064298487065</v>
      </c>
      <c r="F93" s="179">
        <f t="shared" si="70"/>
        <v>224695.33652059044</v>
      </c>
      <c r="G93" s="179">
        <f t="shared" si="70"/>
        <v>101856.74236335249</v>
      </c>
      <c r="H93" s="179">
        <f t="shared" si="70"/>
        <v>45635.784938244673</v>
      </c>
      <c r="I93" s="179">
        <f t="shared" si="70"/>
        <v>79044.535991813114</v>
      </c>
      <c r="J93" s="179">
        <f t="shared" si="70"/>
        <v>20440.410521592978</v>
      </c>
      <c r="K93" s="179">
        <f t="shared" si="70"/>
        <v>18627.233393886458</v>
      </c>
      <c r="L93" s="179">
        <f t="shared" si="70"/>
        <v>123117.51128526164</v>
      </c>
      <c r="M93" s="179">
        <f t="shared" si="70"/>
        <v>68326.404084220398</v>
      </c>
      <c r="N93" s="187">
        <f t="shared" si="70"/>
        <v>10565.661674412848</v>
      </c>
      <c r="O93" s="179">
        <f t="shared" ref="O93:O99" si="71">SUM(D93:N93)</f>
        <v>828827.60165097855</v>
      </c>
      <c r="P93" s="197">
        <f>O93/$O$93*100</f>
        <v>100</v>
      </c>
    </row>
    <row r="94" spans="2:16" x14ac:dyDescent="0.3">
      <c r="B94" s="24"/>
      <c r="C94" s="27" t="s">
        <v>175</v>
      </c>
      <c r="D94" s="176">
        <v>2212.7168333483683</v>
      </c>
      <c r="E94" s="176">
        <v>1229.0000282060792</v>
      </c>
      <c r="F94" s="176">
        <v>6593.8931911136515</v>
      </c>
      <c r="G94" s="176">
        <v>3007.4061482030897</v>
      </c>
      <c r="H94" s="176">
        <v>416.51933204696974</v>
      </c>
      <c r="I94" s="188">
        <v>1167.2640418520089</v>
      </c>
      <c r="J94" s="176">
        <v>373.02429821815736</v>
      </c>
      <c r="K94" s="176">
        <v>154.39105000000001</v>
      </c>
      <c r="L94" s="188">
        <v>3364.6116912471184</v>
      </c>
      <c r="M94" s="176">
        <v>1695.2494119866938</v>
      </c>
      <c r="N94" s="183">
        <v>311.70255384886815</v>
      </c>
      <c r="O94" s="176">
        <f t="shared" si="71"/>
        <v>20525.778580071004</v>
      </c>
      <c r="P94" s="83">
        <f>O94/$O$93*100</f>
        <v>2.476483473666272</v>
      </c>
    </row>
    <row r="95" spans="2:16" x14ac:dyDescent="0.3">
      <c r="B95" s="24"/>
      <c r="C95" s="9" t="s">
        <v>176</v>
      </c>
      <c r="D95" s="176">
        <v>12180.177992137078</v>
      </c>
      <c r="E95" s="176">
        <v>12570.18955893716</v>
      </c>
      <c r="F95" s="176">
        <v>35387.833889908303</v>
      </c>
      <c r="G95" s="176">
        <v>15645.640445484552</v>
      </c>
      <c r="H95" s="176">
        <v>6010.2664333127832</v>
      </c>
      <c r="I95" s="188">
        <v>9721.0919193814716</v>
      </c>
      <c r="J95" s="176">
        <v>3386.1468765823292</v>
      </c>
      <c r="K95" s="176">
        <v>1078.2286505004181</v>
      </c>
      <c r="L95" s="188">
        <v>17294.57972913613</v>
      </c>
      <c r="M95" s="176">
        <v>15422.740286472446</v>
      </c>
      <c r="N95" s="178">
        <v>2303.1508445754148</v>
      </c>
      <c r="O95" s="176">
        <f t="shared" si="71"/>
        <v>131000.04662642808</v>
      </c>
      <c r="P95" s="83">
        <f t="shared" ref="P95:P99" si="72">O95/$O$93*100</f>
        <v>15.805463810023129</v>
      </c>
    </row>
    <row r="96" spans="2:16" x14ac:dyDescent="0.3">
      <c r="B96" s="24"/>
      <c r="C96" s="9" t="s">
        <v>177</v>
      </c>
      <c r="D96" s="176">
        <v>17967.550877929527</v>
      </c>
      <c r="E96" s="176">
        <v>8779.9544593624723</v>
      </c>
      <c r="F96" s="176">
        <v>41512.565685536465</v>
      </c>
      <c r="G96" s="176">
        <v>17829.79839346134</v>
      </c>
      <c r="H96" s="176">
        <v>7377.2105113130765</v>
      </c>
      <c r="I96" s="188">
        <v>11273.082151741035</v>
      </c>
      <c r="J96" s="176">
        <v>4342.73166770036</v>
      </c>
      <c r="K96" s="176">
        <v>5749.1065334794712</v>
      </c>
      <c r="L96" s="188">
        <v>20167.005451410962</v>
      </c>
      <c r="M96" s="176">
        <v>11992.462841281495</v>
      </c>
      <c r="N96" s="178">
        <v>2101.2589653327709</v>
      </c>
      <c r="O96" s="176">
        <f t="shared" si="71"/>
        <v>149092.72753854896</v>
      </c>
      <c r="P96" s="83">
        <f t="shared" si="72"/>
        <v>17.98838832606015</v>
      </c>
    </row>
    <row r="97" spans="2:18" x14ac:dyDescent="0.3">
      <c r="B97" s="24"/>
      <c r="C97" s="9" t="s">
        <v>178</v>
      </c>
      <c r="D97" s="176">
        <v>13326.686026614021</v>
      </c>
      <c r="E97" s="176">
        <v>14129.464580209426</v>
      </c>
      <c r="F97" s="176">
        <v>50279.366668189512</v>
      </c>
      <c r="G97" s="176">
        <v>26902.618507644773</v>
      </c>
      <c r="H97" s="176">
        <v>11066.659547558904</v>
      </c>
      <c r="I97" s="188">
        <v>17040.244685185637</v>
      </c>
      <c r="J97" s="176">
        <v>4647.4853866879421</v>
      </c>
      <c r="K97" s="176">
        <v>8271.1604070458488</v>
      </c>
      <c r="L97" s="188">
        <v>25879.741829011262</v>
      </c>
      <c r="M97" s="176">
        <v>15290.444348855784</v>
      </c>
      <c r="N97" s="178">
        <v>2340.3913234765214</v>
      </c>
      <c r="O97" s="176">
        <f t="shared" si="71"/>
        <v>189174.26331047964</v>
      </c>
      <c r="P97" s="83">
        <f t="shared" si="72"/>
        <v>22.824319910878334</v>
      </c>
    </row>
    <row r="98" spans="2:18" x14ac:dyDescent="0.3">
      <c r="B98" s="24"/>
      <c r="C98" s="9" t="s">
        <v>179</v>
      </c>
      <c r="D98" s="176">
        <v>13872.141282851562</v>
      </c>
      <c r="E98" s="176">
        <v>16162.886113094419</v>
      </c>
      <c r="F98" s="176">
        <v>52209.287663933748</v>
      </c>
      <c r="G98" s="176">
        <v>23001.975160251222</v>
      </c>
      <c r="H98" s="176">
        <v>12011.46369914975</v>
      </c>
      <c r="I98" s="188">
        <v>21235.881293379793</v>
      </c>
      <c r="J98" s="176">
        <v>4596.9644481074774</v>
      </c>
      <c r="K98" s="176">
        <v>1956.6666105499789</v>
      </c>
      <c r="L98" s="188">
        <v>32383.444982671735</v>
      </c>
      <c r="M98" s="176">
        <v>16099.378838814631</v>
      </c>
      <c r="N98" s="178">
        <v>2369.1266190123365</v>
      </c>
      <c r="O98" s="176">
        <f t="shared" si="71"/>
        <v>195899.21671181664</v>
      </c>
      <c r="P98" s="83">
        <f t="shared" si="72"/>
        <v>23.635701359558521</v>
      </c>
    </row>
    <row r="99" spans="2:18" x14ac:dyDescent="0.3">
      <c r="B99" s="28"/>
      <c r="C99" s="25" t="s">
        <v>180</v>
      </c>
      <c r="D99" s="184">
        <v>13048.643566235771</v>
      </c>
      <c r="E99" s="184">
        <v>11038.569558677509</v>
      </c>
      <c r="F99" s="184">
        <v>38712.389421908738</v>
      </c>
      <c r="G99" s="184">
        <v>15469.303708307503</v>
      </c>
      <c r="H99" s="184">
        <v>8753.6654148631933</v>
      </c>
      <c r="I99" s="189">
        <v>18606.97190027318</v>
      </c>
      <c r="J99" s="184">
        <v>3094.0578442967126</v>
      </c>
      <c r="K99" s="184">
        <v>1417.6801423107429</v>
      </c>
      <c r="L99" s="189">
        <v>24028.127601784436</v>
      </c>
      <c r="M99" s="184">
        <v>7826.128356809345</v>
      </c>
      <c r="N99" s="186">
        <v>1140.0313681669363</v>
      </c>
      <c r="O99" s="184">
        <f t="shared" si="71"/>
        <v>143135.56888363406</v>
      </c>
      <c r="P99" s="85">
        <f t="shared" si="72"/>
        <v>17.269643119813573</v>
      </c>
    </row>
    <row r="100" spans="2:18" x14ac:dyDescent="0.3">
      <c r="B100" s="38"/>
      <c r="C100" s="9"/>
      <c r="D100" s="56"/>
      <c r="E100" s="56"/>
      <c r="F100" s="56"/>
      <c r="G100" s="56"/>
      <c r="H100" s="56"/>
      <c r="I100" s="56"/>
      <c r="J100" s="56"/>
      <c r="K100" s="56"/>
      <c r="L100" s="56"/>
      <c r="M100" s="57"/>
    </row>
    <row r="101" spans="2:18" x14ac:dyDescent="0.3">
      <c r="B101" s="17" t="s">
        <v>49</v>
      </c>
      <c r="K101" s="30"/>
      <c r="P101" s="30" t="s">
        <v>516</v>
      </c>
    </row>
    <row r="102" spans="2:18" x14ac:dyDescent="0.3">
      <c r="B102" s="276"/>
      <c r="C102" s="276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01"/>
      <c r="O102" s="202" t="s">
        <v>526</v>
      </c>
      <c r="P102" s="202" t="s">
        <v>46</v>
      </c>
    </row>
    <row r="103" spans="2:18" x14ac:dyDescent="0.3">
      <c r="B103" s="276"/>
      <c r="C103" s="276"/>
      <c r="D103" s="203" t="s">
        <v>265</v>
      </c>
      <c r="E103" s="203" t="s">
        <v>267</v>
      </c>
      <c r="F103" s="203" t="s">
        <v>30</v>
      </c>
      <c r="G103" s="203" t="s">
        <v>269</v>
      </c>
      <c r="H103" s="204" t="s">
        <v>107</v>
      </c>
      <c r="I103" s="204" t="s">
        <v>271</v>
      </c>
      <c r="J103" s="204" t="s">
        <v>108</v>
      </c>
      <c r="K103" s="204" t="s">
        <v>109</v>
      </c>
      <c r="L103" s="204" t="s">
        <v>27</v>
      </c>
      <c r="M103" s="204" t="s">
        <v>111</v>
      </c>
      <c r="N103" s="205" t="s">
        <v>110</v>
      </c>
      <c r="O103" s="202"/>
      <c r="P103" s="202"/>
    </row>
    <row r="104" spans="2:18" ht="21" customHeight="1" x14ac:dyDescent="0.3">
      <c r="B104" s="29" t="s">
        <v>20</v>
      </c>
      <c r="C104" s="12"/>
      <c r="D104" s="179">
        <f t="shared" ref="D104:N104" si="73">SUM(D105:D110)</f>
        <v>61873.77886959663</v>
      </c>
      <c r="E104" s="179">
        <f t="shared" si="73"/>
        <v>8295.5457349927219</v>
      </c>
      <c r="F104" s="179">
        <f t="shared" si="73"/>
        <v>103358.74419245218</v>
      </c>
      <c r="G104" s="179">
        <f t="shared" si="73"/>
        <v>58922.84440517077</v>
      </c>
      <c r="H104" s="179">
        <f t="shared" si="73"/>
        <v>23883.334199850884</v>
      </c>
      <c r="I104" s="179">
        <f t="shared" si="73"/>
        <v>46558.767399267803</v>
      </c>
      <c r="J104" s="179">
        <f t="shared" si="73"/>
        <v>7525.6136059950004</v>
      </c>
      <c r="K104" s="179">
        <f t="shared" si="73"/>
        <v>8438.6826509358852</v>
      </c>
      <c r="L104" s="179">
        <f t="shared" si="73"/>
        <v>62623.476680148109</v>
      </c>
      <c r="M104" s="179">
        <f t="shared" si="73"/>
        <v>25664.553076663913</v>
      </c>
      <c r="N104" s="187">
        <f t="shared" si="73"/>
        <v>3555.6016398885736</v>
      </c>
      <c r="O104" s="179">
        <f t="shared" ref="O104:O110" si="74">SUM(D104:N104)</f>
        <v>410700.94245496253</v>
      </c>
      <c r="P104" s="197">
        <f>O104/$O$104*100</f>
        <v>100</v>
      </c>
    </row>
    <row r="105" spans="2:18" x14ac:dyDescent="0.3">
      <c r="B105" s="24"/>
      <c r="C105" s="27" t="s">
        <v>175</v>
      </c>
      <c r="D105" s="176">
        <v>2188.160913348368</v>
      </c>
      <c r="E105" s="176">
        <v>68.045179769230771</v>
      </c>
      <c r="F105" s="176">
        <v>2910.9699928444643</v>
      </c>
      <c r="G105" s="176">
        <v>1990.1645893106058</v>
      </c>
      <c r="H105" s="176">
        <v>275.5856129609557</v>
      </c>
      <c r="I105" s="188">
        <v>900.50829983729614</v>
      </c>
      <c r="J105" s="176">
        <v>153.93542698717948</v>
      </c>
      <c r="K105" s="176">
        <v>0</v>
      </c>
      <c r="L105" s="188">
        <v>1777.4931631001018</v>
      </c>
      <c r="M105" s="176">
        <v>567.06466257647435</v>
      </c>
      <c r="N105" s="183">
        <v>153.98979148846152</v>
      </c>
      <c r="O105" s="176">
        <f t="shared" si="74"/>
        <v>10985.91763222314</v>
      </c>
      <c r="P105" s="83">
        <f>O105/$O$104*100</f>
        <v>2.6749190217472791</v>
      </c>
      <c r="R105" s="176"/>
    </row>
    <row r="106" spans="2:18" x14ac:dyDescent="0.3">
      <c r="B106" s="24"/>
      <c r="C106" s="9" t="s">
        <v>176</v>
      </c>
      <c r="D106" s="176">
        <v>11305.384332049191</v>
      </c>
      <c r="E106" s="176">
        <v>629.3077562029041</v>
      </c>
      <c r="F106" s="176">
        <v>15930.011950159842</v>
      </c>
      <c r="G106" s="176">
        <v>9655.1116639553329</v>
      </c>
      <c r="H106" s="176">
        <v>3274.8476741927961</v>
      </c>
      <c r="I106" s="188">
        <v>4935.1956344713708</v>
      </c>
      <c r="J106" s="176">
        <v>1229.1117854981235</v>
      </c>
      <c r="K106" s="176">
        <v>276.74775878176501</v>
      </c>
      <c r="L106" s="188">
        <v>9066.3889862389769</v>
      </c>
      <c r="M106" s="176">
        <v>4712.4196246122519</v>
      </c>
      <c r="N106" s="178">
        <v>681.22812600421878</v>
      </c>
      <c r="O106" s="176">
        <f t="shared" si="74"/>
        <v>61695.755292166767</v>
      </c>
      <c r="P106" s="83">
        <f t="shared" ref="P106:P110" si="75">O106/$O$104*100</f>
        <v>15.02206323739623</v>
      </c>
    </row>
    <row r="107" spans="2:18" x14ac:dyDescent="0.3">
      <c r="B107" s="24"/>
      <c r="C107" s="9" t="s">
        <v>177</v>
      </c>
      <c r="D107" s="176">
        <v>16492.265332489704</v>
      </c>
      <c r="E107" s="176">
        <v>865.30094691192676</v>
      </c>
      <c r="F107" s="176">
        <v>20405.759159264413</v>
      </c>
      <c r="G107" s="176">
        <v>11043.454088842893</v>
      </c>
      <c r="H107" s="176">
        <v>4849.5384577130271</v>
      </c>
      <c r="I107" s="188">
        <v>6798.418453688153</v>
      </c>
      <c r="J107" s="176">
        <v>1829.027136361673</v>
      </c>
      <c r="K107" s="176">
        <v>2649.1340452101435</v>
      </c>
      <c r="L107" s="188">
        <v>10298.172782603564</v>
      </c>
      <c r="M107" s="176">
        <v>5794.3413361786597</v>
      </c>
      <c r="N107" s="178">
        <v>768.52864260509364</v>
      </c>
      <c r="O107" s="176">
        <f t="shared" si="74"/>
        <v>81793.940381869237</v>
      </c>
      <c r="P107" s="83">
        <f t="shared" si="75"/>
        <v>19.915693373613031</v>
      </c>
    </row>
    <row r="108" spans="2:18" x14ac:dyDescent="0.3">
      <c r="B108" s="24"/>
      <c r="C108" s="9" t="s">
        <v>178</v>
      </c>
      <c r="D108" s="176">
        <v>11077.778353595779</v>
      </c>
      <c r="E108" s="176">
        <v>1672.9047851497717</v>
      </c>
      <c r="F108" s="176">
        <v>24436.29212817967</v>
      </c>
      <c r="G108" s="176">
        <v>14959.845147900309</v>
      </c>
      <c r="H108" s="176">
        <v>5198.8159155473058</v>
      </c>
      <c r="I108" s="188">
        <v>10122.691124033994</v>
      </c>
      <c r="J108" s="176">
        <v>1693.4110357931663</v>
      </c>
      <c r="K108" s="176">
        <v>4001.1122691436299</v>
      </c>
      <c r="L108" s="188">
        <v>14227.872929569685</v>
      </c>
      <c r="M108" s="176">
        <v>5654.8336297808428</v>
      </c>
      <c r="N108" s="178">
        <v>673.68988819609399</v>
      </c>
      <c r="O108" s="176">
        <f t="shared" si="74"/>
        <v>93719.247206890243</v>
      </c>
      <c r="P108" s="83">
        <f t="shared" si="75"/>
        <v>22.819340673211993</v>
      </c>
    </row>
    <row r="109" spans="2:18" x14ac:dyDescent="0.3">
      <c r="B109" s="24"/>
      <c r="C109" s="9" t="s">
        <v>179</v>
      </c>
      <c r="D109" s="176">
        <v>10739.295304100626</v>
      </c>
      <c r="E109" s="176">
        <v>3199.1786466670605</v>
      </c>
      <c r="F109" s="176">
        <v>24699.798742450439</v>
      </c>
      <c r="G109" s="176">
        <v>12709.534612812149</v>
      </c>
      <c r="H109" s="176">
        <v>6212.1964966297128</v>
      </c>
      <c r="I109" s="188">
        <v>12423.688206628032</v>
      </c>
      <c r="J109" s="176">
        <v>1586.9355530822063</v>
      </c>
      <c r="K109" s="176">
        <v>1281.2303804333665</v>
      </c>
      <c r="L109" s="188">
        <v>16227.547397222654</v>
      </c>
      <c r="M109" s="176">
        <v>6107.7810184132395</v>
      </c>
      <c r="N109" s="178">
        <v>833.45075282564324</v>
      </c>
      <c r="O109" s="176">
        <f t="shared" si="74"/>
        <v>96020.637111265125</v>
      </c>
      <c r="P109" s="83">
        <f t="shared" si="75"/>
        <v>23.37969728954171</v>
      </c>
    </row>
    <row r="110" spans="2:18" x14ac:dyDescent="0.3">
      <c r="B110" s="28"/>
      <c r="C110" s="25" t="s">
        <v>180</v>
      </c>
      <c r="D110" s="184">
        <v>10070.894634012966</v>
      </c>
      <c r="E110" s="184">
        <v>1860.8084202918285</v>
      </c>
      <c r="F110" s="184">
        <v>14975.912219553355</v>
      </c>
      <c r="G110" s="184">
        <v>8564.7343023494832</v>
      </c>
      <c r="H110" s="184">
        <v>4072.3500428070838</v>
      </c>
      <c r="I110" s="189">
        <v>11378.265680608958</v>
      </c>
      <c r="J110" s="184">
        <v>1033.1926682726519</v>
      </c>
      <c r="K110" s="184">
        <v>230.45819736698093</v>
      </c>
      <c r="L110" s="189">
        <v>11026.001421413132</v>
      </c>
      <c r="M110" s="184">
        <v>2828.1128051024452</v>
      </c>
      <c r="N110" s="186">
        <v>444.71443876906233</v>
      </c>
      <c r="O110" s="184">
        <f t="shared" si="74"/>
        <v>66485.444830547945</v>
      </c>
      <c r="P110" s="85">
        <f t="shared" si="75"/>
        <v>16.188286404489745</v>
      </c>
    </row>
    <row r="112" spans="2:18" x14ac:dyDescent="0.3">
      <c r="B112" s="17" t="s">
        <v>50</v>
      </c>
      <c r="K112" s="30"/>
      <c r="P112" s="30" t="s">
        <v>516</v>
      </c>
    </row>
    <row r="113" spans="2:16" x14ac:dyDescent="0.3">
      <c r="B113" s="276"/>
      <c r="C113" s="276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2" t="s">
        <v>526</v>
      </c>
      <c r="P113" s="202" t="s">
        <v>46</v>
      </c>
    </row>
    <row r="114" spans="2:16" x14ac:dyDescent="0.3">
      <c r="B114" s="276"/>
      <c r="C114" s="276"/>
      <c r="D114" s="203" t="s">
        <v>265</v>
      </c>
      <c r="E114" s="203" t="s">
        <v>267</v>
      </c>
      <c r="F114" s="203" t="s">
        <v>30</v>
      </c>
      <c r="G114" s="203" t="s">
        <v>269</v>
      </c>
      <c r="H114" s="204" t="s">
        <v>107</v>
      </c>
      <c r="I114" s="204" t="s">
        <v>271</v>
      </c>
      <c r="J114" s="204" t="s">
        <v>108</v>
      </c>
      <c r="K114" s="204" t="s">
        <v>109</v>
      </c>
      <c r="L114" s="204" t="s">
        <v>27</v>
      </c>
      <c r="M114" s="204" t="s">
        <v>111</v>
      </c>
      <c r="N114" s="205" t="s">
        <v>110</v>
      </c>
      <c r="O114" s="202"/>
      <c r="P114" s="202"/>
    </row>
    <row r="115" spans="2:16" ht="21" customHeight="1" x14ac:dyDescent="0.3">
      <c r="B115" s="29" t="s">
        <v>29</v>
      </c>
      <c r="C115" s="12"/>
      <c r="D115" s="179">
        <f t="shared" ref="D115:N115" si="76">SUM(D116:D121)</f>
        <v>10734.137709519691</v>
      </c>
      <c r="E115" s="179">
        <f t="shared" si="76"/>
        <v>55614.518563494334</v>
      </c>
      <c r="F115" s="179">
        <f t="shared" si="76"/>
        <v>121336.5923281383</v>
      </c>
      <c r="G115" s="179">
        <f t="shared" si="76"/>
        <v>42933.897958181675</v>
      </c>
      <c r="H115" s="179">
        <f t="shared" si="76"/>
        <v>21752.450738393803</v>
      </c>
      <c r="I115" s="179">
        <f t="shared" si="76"/>
        <v>32485.768592545362</v>
      </c>
      <c r="J115" s="179">
        <f t="shared" si="76"/>
        <v>12914.796915597975</v>
      </c>
      <c r="K115" s="179">
        <f t="shared" si="76"/>
        <v>10188.550742950572</v>
      </c>
      <c r="L115" s="179">
        <f t="shared" si="76"/>
        <v>60494.034605113506</v>
      </c>
      <c r="M115" s="179">
        <f t="shared" si="76"/>
        <v>42661.851007556455</v>
      </c>
      <c r="N115" s="187">
        <f t="shared" si="76"/>
        <v>7010.0600345242701</v>
      </c>
      <c r="O115" s="179">
        <f t="shared" ref="O115:O121" si="77">SUM(D115:N115)</f>
        <v>418126.65919601597</v>
      </c>
      <c r="P115" s="197">
        <f>O115/$O$115*100</f>
        <v>100</v>
      </c>
    </row>
    <row r="116" spans="2:16" x14ac:dyDescent="0.3">
      <c r="B116" s="24"/>
      <c r="C116" s="27" t="s">
        <v>175</v>
      </c>
      <c r="D116" s="176">
        <v>24.555919999999997</v>
      </c>
      <c r="E116" s="176">
        <v>1160.9548484368484</v>
      </c>
      <c r="F116" s="176">
        <v>3682.9231982691917</v>
      </c>
      <c r="G116" s="176">
        <v>1017.2415588924845</v>
      </c>
      <c r="H116" s="176">
        <v>140.93371908601395</v>
      </c>
      <c r="I116" s="188">
        <v>266.75574201471295</v>
      </c>
      <c r="J116" s="176">
        <v>219.08887123097776</v>
      </c>
      <c r="K116" s="176">
        <v>154.39105000000001</v>
      </c>
      <c r="L116" s="188">
        <v>1587.1185281470157</v>
      </c>
      <c r="M116" s="176">
        <v>1128.1847494102194</v>
      </c>
      <c r="N116" s="183">
        <v>157.71276236040669</v>
      </c>
      <c r="O116" s="176">
        <f t="shared" si="77"/>
        <v>9539.860947847872</v>
      </c>
      <c r="P116" s="83">
        <f>O116/$O$115*100</f>
        <v>2.2815720399630455</v>
      </c>
    </row>
    <row r="117" spans="2:16" x14ac:dyDescent="0.3">
      <c r="B117" s="24"/>
      <c r="C117" s="9" t="s">
        <v>176</v>
      </c>
      <c r="D117" s="176">
        <v>874.79366008788941</v>
      </c>
      <c r="E117" s="176">
        <v>11940.881802734255</v>
      </c>
      <c r="F117" s="176">
        <v>19457.821939748454</v>
      </c>
      <c r="G117" s="176">
        <v>5990.5287815292186</v>
      </c>
      <c r="H117" s="176">
        <v>2735.4187591199866</v>
      </c>
      <c r="I117" s="188">
        <v>4785.8962849101117</v>
      </c>
      <c r="J117" s="176">
        <v>2157.0350910842026</v>
      </c>
      <c r="K117" s="176">
        <v>801.48089171865331</v>
      </c>
      <c r="L117" s="188">
        <v>8228.190742897139</v>
      </c>
      <c r="M117" s="176">
        <v>10710.320661860189</v>
      </c>
      <c r="N117" s="178">
        <v>1621.922718571197</v>
      </c>
      <c r="O117" s="176">
        <f t="shared" si="77"/>
        <v>69304.291334261288</v>
      </c>
      <c r="P117" s="83">
        <f t="shared" ref="P117:P121" si="78">O117/$O$115*100</f>
        <v>16.574951587043326</v>
      </c>
    </row>
    <row r="118" spans="2:16" x14ac:dyDescent="0.3">
      <c r="B118" s="24"/>
      <c r="C118" s="9" t="s">
        <v>177</v>
      </c>
      <c r="D118" s="176">
        <v>1475.2855454398198</v>
      </c>
      <c r="E118" s="176">
        <v>7914.6535124505444</v>
      </c>
      <c r="F118" s="176">
        <v>21106.806526272034</v>
      </c>
      <c r="G118" s="176">
        <v>6786.3443046184511</v>
      </c>
      <c r="H118" s="176">
        <v>2527.6720536000507</v>
      </c>
      <c r="I118" s="188">
        <v>4474.6636980528829</v>
      </c>
      <c r="J118" s="176">
        <v>2513.7045313386893</v>
      </c>
      <c r="K118" s="176">
        <v>3099.9724882693199</v>
      </c>
      <c r="L118" s="188">
        <v>9868.8326688073994</v>
      </c>
      <c r="M118" s="176">
        <v>6198.1215051028303</v>
      </c>
      <c r="N118" s="178">
        <v>1332.7303227276761</v>
      </c>
      <c r="O118" s="176">
        <f t="shared" si="77"/>
        <v>67298.787156679697</v>
      </c>
      <c r="P118" s="83">
        <f t="shared" si="78"/>
        <v>16.095311235615405</v>
      </c>
    </row>
    <row r="119" spans="2:16" x14ac:dyDescent="0.3">
      <c r="B119" s="24"/>
      <c r="C119" s="9" t="s">
        <v>178</v>
      </c>
      <c r="D119" s="176">
        <v>2248.9076730182387</v>
      </c>
      <c r="E119" s="176">
        <v>12456.559795059649</v>
      </c>
      <c r="F119" s="176">
        <v>25843.074540009857</v>
      </c>
      <c r="G119" s="176">
        <v>11942.773359744433</v>
      </c>
      <c r="H119" s="176">
        <v>5867.8436320115961</v>
      </c>
      <c r="I119" s="188">
        <v>6917.5535611516425</v>
      </c>
      <c r="J119" s="176">
        <v>2954.0743508947708</v>
      </c>
      <c r="K119" s="176">
        <v>4270.0481379022249</v>
      </c>
      <c r="L119" s="188">
        <v>11651.86889944159</v>
      </c>
      <c r="M119" s="176">
        <v>9635.6107190749335</v>
      </c>
      <c r="N119" s="178">
        <v>1666.7014352804256</v>
      </c>
      <c r="O119" s="176">
        <f t="shared" si="77"/>
        <v>95455.01610358934</v>
      </c>
      <c r="P119" s="83">
        <f t="shared" si="78"/>
        <v>22.829210719816945</v>
      </c>
    </row>
    <row r="120" spans="2:16" x14ac:dyDescent="0.3">
      <c r="B120" s="24"/>
      <c r="C120" s="9" t="s">
        <v>179</v>
      </c>
      <c r="D120" s="176">
        <v>3132.8459787509341</v>
      </c>
      <c r="E120" s="176">
        <v>12963.70746642735</v>
      </c>
      <c r="F120" s="176">
        <v>27509.488921483444</v>
      </c>
      <c r="G120" s="176">
        <v>10292.440547439075</v>
      </c>
      <c r="H120" s="176">
        <v>5799.2672025200445</v>
      </c>
      <c r="I120" s="188">
        <v>8812.1930867517985</v>
      </c>
      <c r="J120" s="176">
        <v>3010.0288950252716</v>
      </c>
      <c r="K120" s="176">
        <v>675.43623011661271</v>
      </c>
      <c r="L120" s="188">
        <v>16155.897585449067</v>
      </c>
      <c r="M120" s="176">
        <v>9991.5978204013809</v>
      </c>
      <c r="N120" s="178">
        <v>1535.6758661866902</v>
      </c>
      <c r="O120" s="176">
        <f t="shared" si="77"/>
        <v>99878.579600551675</v>
      </c>
      <c r="P120" s="83">
        <f t="shared" si="78"/>
        <v>23.887158927536603</v>
      </c>
    </row>
    <row r="121" spans="2:16" x14ac:dyDescent="0.3">
      <c r="B121" s="28"/>
      <c r="C121" s="25" t="s">
        <v>180</v>
      </c>
      <c r="D121" s="184">
        <v>2977.7489322228075</v>
      </c>
      <c r="E121" s="184">
        <v>9177.7611383856838</v>
      </c>
      <c r="F121" s="184">
        <v>23736.477202355316</v>
      </c>
      <c r="G121" s="184">
        <v>6904.5694059580146</v>
      </c>
      <c r="H121" s="184">
        <v>4681.3153720561095</v>
      </c>
      <c r="I121" s="189">
        <v>7228.7062196642164</v>
      </c>
      <c r="J121" s="184">
        <v>2060.8651760240632</v>
      </c>
      <c r="K121" s="184">
        <v>1187.2219449437623</v>
      </c>
      <c r="L121" s="189">
        <v>13002.12618037129</v>
      </c>
      <c r="M121" s="184">
        <v>4998.0155517069015</v>
      </c>
      <c r="N121" s="186">
        <v>695.31692939787445</v>
      </c>
      <c r="O121" s="184">
        <f t="shared" si="77"/>
        <v>76650.124053086038</v>
      </c>
      <c r="P121" s="85">
        <f t="shared" si="78"/>
        <v>18.33179549002466</v>
      </c>
    </row>
    <row r="124" spans="2:16" x14ac:dyDescent="0.3">
      <c r="B124" s="259" t="s">
        <v>521</v>
      </c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/>
      <c r="N124" s="260"/>
      <c r="O124" s="260"/>
      <c r="P124" s="260"/>
    </row>
    <row r="126" spans="2:16" x14ac:dyDescent="0.3">
      <c r="B126" s="17" t="s">
        <v>51</v>
      </c>
      <c r="J126" s="61"/>
      <c r="M126" s="61"/>
      <c r="P126" s="30" t="s">
        <v>516</v>
      </c>
    </row>
    <row r="127" spans="2:16" x14ac:dyDescent="0.3">
      <c r="B127" s="276"/>
      <c r="C127" s="276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1"/>
      <c r="O127" s="202" t="s">
        <v>526</v>
      </c>
      <c r="P127" s="202" t="s">
        <v>46</v>
      </c>
    </row>
    <row r="128" spans="2:16" x14ac:dyDescent="0.3">
      <c r="B128" s="276"/>
      <c r="C128" s="276"/>
      <c r="D128" s="203" t="s">
        <v>265</v>
      </c>
      <c r="E128" s="203" t="s">
        <v>267</v>
      </c>
      <c r="F128" s="203" t="s">
        <v>30</v>
      </c>
      <c r="G128" s="203" t="s">
        <v>269</v>
      </c>
      <c r="H128" s="204" t="s">
        <v>107</v>
      </c>
      <c r="I128" s="204" t="s">
        <v>271</v>
      </c>
      <c r="J128" s="204" t="s">
        <v>108</v>
      </c>
      <c r="K128" s="204" t="s">
        <v>109</v>
      </c>
      <c r="L128" s="204" t="s">
        <v>27</v>
      </c>
      <c r="M128" s="204" t="s">
        <v>111</v>
      </c>
      <c r="N128" s="205" t="s">
        <v>110</v>
      </c>
      <c r="O128" s="202"/>
      <c r="P128" s="202"/>
    </row>
    <row r="129" spans="2:16" x14ac:dyDescent="0.3">
      <c r="B129" s="29" t="s">
        <v>29</v>
      </c>
      <c r="C129" s="12"/>
      <c r="D129" s="179">
        <f>SUM(D130:D146)</f>
        <v>72607.91657911634</v>
      </c>
      <c r="E129" s="179">
        <f t="shared" ref="E129:N129" si="79">SUM(E130:E146)</f>
        <v>63910.064298487036</v>
      </c>
      <c r="F129" s="179">
        <f t="shared" si="79"/>
        <v>224695.33652059032</v>
      </c>
      <c r="G129" s="179">
        <f t="shared" si="79"/>
        <v>101856.7423633524</v>
      </c>
      <c r="H129" s="179">
        <f t="shared" si="79"/>
        <v>45635.784938244702</v>
      </c>
      <c r="I129" s="179">
        <f t="shared" si="79"/>
        <v>79044.535991813143</v>
      </c>
      <c r="J129" s="179">
        <f t="shared" si="79"/>
        <v>20440.410521592978</v>
      </c>
      <c r="K129" s="179">
        <f t="shared" si="79"/>
        <v>18627.233393886465</v>
      </c>
      <c r="L129" s="179">
        <f t="shared" si="79"/>
        <v>123117.5112852616</v>
      </c>
      <c r="M129" s="179">
        <f t="shared" si="79"/>
        <v>68326.404084220369</v>
      </c>
      <c r="N129" s="187">
        <f t="shared" si="79"/>
        <v>10565.661674412848</v>
      </c>
      <c r="O129" s="179">
        <f>SUM(D129:N129)</f>
        <v>828827.60165097832</v>
      </c>
      <c r="P129" s="197">
        <f>O129/$O$129*100</f>
        <v>100</v>
      </c>
    </row>
    <row r="130" spans="2:16" x14ac:dyDescent="0.3">
      <c r="B130" s="24"/>
      <c r="C130" s="27" t="s">
        <v>2</v>
      </c>
      <c r="D130" s="176">
        <v>20046.654740007147</v>
      </c>
      <c r="E130" s="176">
        <v>20119.101172790761</v>
      </c>
      <c r="F130" s="176">
        <v>50483.944418482512</v>
      </c>
      <c r="G130" s="176">
        <v>26115.829999976668</v>
      </c>
      <c r="H130" s="176">
        <v>12831.548665888902</v>
      </c>
      <c r="I130" s="188">
        <v>18534.13416270147</v>
      </c>
      <c r="J130" s="176">
        <v>5469.011779620143</v>
      </c>
      <c r="K130" s="176">
        <v>4681.1895156012069</v>
      </c>
      <c r="L130" s="188">
        <v>28942.383438606892</v>
      </c>
      <c r="M130" s="176">
        <v>18141.582594136202</v>
      </c>
      <c r="N130" s="183">
        <v>3049.9330837816196</v>
      </c>
      <c r="O130" s="176">
        <f>SUM(D130:N130)</f>
        <v>208415.31357159352</v>
      </c>
      <c r="P130" s="83">
        <f>O130/$O$129*100</f>
        <v>25.145797890471052</v>
      </c>
    </row>
    <row r="131" spans="2:16" x14ac:dyDescent="0.3">
      <c r="B131" s="24"/>
      <c r="C131" s="9" t="s">
        <v>6</v>
      </c>
      <c r="D131" s="176">
        <v>4156.6385791846315</v>
      </c>
      <c r="E131" s="176">
        <v>2545.0135398531511</v>
      </c>
      <c r="F131" s="176">
        <v>13685.263800217119</v>
      </c>
      <c r="G131" s="176">
        <v>5891.626823386131</v>
      </c>
      <c r="H131" s="176">
        <v>2114.7638594801747</v>
      </c>
      <c r="I131" s="188">
        <v>5284.299597698674</v>
      </c>
      <c r="J131" s="176">
        <v>883.56791889336694</v>
      </c>
      <c r="K131" s="176">
        <v>1241.7834276235508</v>
      </c>
      <c r="L131" s="188">
        <v>7997.2014440354033</v>
      </c>
      <c r="M131" s="176">
        <v>3497.6088212976651</v>
      </c>
      <c r="N131" s="178">
        <v>483.8204308109564</v>
      </c>
      <c r="O131" s="176">
        <f>SUM(D131:N131)</f>
        <v>47781.588242480822</v>
      </c>
      <c r="P131" s="83">
        <f t="shared" ref="P131:P146" si="80">O131/$O$129*100</f>
        <v>5.7649610301711194</v>
      </c>
    </row>
    <row r="132" spans="2:16" x14ac:dyDescent="0.3">
      <c r="B132" s="24"/>
      <c r="C132" s="9" t="s">
        <v>7</v>
      </c>
      <c r="D132" s="176">
        <v>2034.5152828165583</v>
      </c>
      <c r="E132" s="176">
        <v>3587.0573529783628</v>
      </c>
      <c r="F132" s="176">
        <v>11780.927525058145</v>
      </c>
      <c r="G132" s="176">
        <v>5167.9296546239202</v>
      </c>
      <c r="H132" s="176">
        <v>1923.6265497682032</v>
      </c>
      <c r="I132" s="188">
        <v>3253.0576077160858</v>
      </c>
      <c r="J132" s="176">
        <v>836.06688932279724</v>
      </c>
      <c r="K132" s="176">
        <v>490.25566316115987</v>
      </c>
      <c r="L132" s="188">
        <v>5434.3143342160647</v>
      </c>
      <c r="M132" s="176">
        <v>2842.1333907304652</v>
      </c>
      <c r="N132" s="178">
        <v>582.56629867485094</v>
      </c>
      <c r="O132" s="176">
        <f t="shared" ref="O132:O145" si="81">SUM(D132:N132)</f>
        <v>37932.450549066612</v>
      </c>
      <c r="P132" s="83">
        <f t="shared" si="80"/>
        <v>4.576639396842876</v>
      </c>
    </row>
    <row r="133" spans="2:16" x14ac:dyDescent="0.3">
      <c r="B133" s="24"/>
      <c r="C133" s="9" t="s">
        <v>8</v>
      </c>
      <c r="D133" s="176">
        <v>3645.4162198906893</v>
      </c>
      <c r="E133" s="176">
        <v>2352.5051590219141</v>
      </c>
      <c r="F133" s="176">
        <v>12578.824279435299</v>
      </c>
      <c r="G133" s="176">
        <v>5984.0598876472741</v>
      </c>
      <c r="H133" s="176">
        <v>1315.4453708506173</v>
      </c>
      <c r="I133" s="188">
        <v>3998.6564976952404</v>
      </c>
      <c r="J133" s="176">
        <v>848.23563814515387</v>
      </c>
      <c r="K133" s="176">
        <v>573.24298935631964</v>
      </c>
      <c r="L133" s="188">
        <v>7078.5662340426998</v>
      </c>
      <c r="M133" s="176">
        <v>2808.8621175357498</v>
      </c>
      <c r="N133" s="178">
        <v>558.80612289952683</v>
      </c>
      <c r="O133" s="176">
        <f t="shared" si="81"/>
        <v>41742.620516520488</v>
      </c>
      <c r="P133" s="83">
        <f t="shared" si="80"/>
        <v>5.0363453670427383</v>
      </c>
    </row>
    <row r="134" spans="2:16" x14ac:dyDescent="0.3">
      <c r="B134" s="24"/>
      <c r="C134" s="9" t="s">
        <v>10</v>
      </c>
      <c r="D134" s="176">
        <v>1826.9873462747253</v>
      </c>
      <c r="E134" s="176">
        <v>1941.6873311070776</v>
      </c>
      <c r="F134" s="176">
        <v>7112.6240100322366</v>
      </c>
      <c r="G134" s="176">
        <v>2552.0170804237091</v>
      </c>
      <c r="H134" s="176">
        <v>1454.3589179302367</v>
      </c>
      <c r="I134" s="188">
        <v>2487.9821723040295</v>
      </c>
      <c r="J134" s="176">
        <v>583.58432734956705</v>
      </c>
      <c r="K134" s="176">
        <v>659.44736593433265</v>
      </c>
      <c r="L134" s="188">
        <v>3148.3659353812845</v>
      </c>
      <c r="M134" s="176">
        <v>2401.1398078695179</v>
      </c>
      <c r="N134" s="178">
        <v>335.81034843623036</v>
      </c>
      <c r="O134" s="176">
        <f t="shared" si="81"/>
        <v>24504.004643042943</v>
      </c>
      <c r="P134" s="83">
        <f t="shared" si="80"/>
        <v>2.95646580715125</v>
      </c>
    </row>
    <row r="135" spans="2:16" x14ac:dyDescent="0.3">
      <c r="B135" s="24"/>
      <c r="C135" s="9" t="s">
        <v>9</v>
      </c>
      <c r="D135" s="176">
        <v>1416.3553307921238</v>
      </c>
      <c r="E135" s="176">
        <v>1907.7437550879677</v>
      </c>
      <c r="F135" s="176">
        <v>6089.7620236170997</v>
      </c>
      <c r="G135" s="176">
        <v>2654.6225250584357</v>
      </c>
      <c r="H135" s="176">
        <v>1337.4480429731384</v>
      </c>
      <c r="I135" s="188">
        <v>2640.6826967699185</v>
      </c>
      <c r="J135" s="176">
        <v>636.00720877616823</v>
      </c>
      <c r="K135" s="176">
        <v>324.07664938016148</v>
      </c>
      <c r="L135" s="188">
        <v>3253.6601668334652</v>
      </c>
      <c r="M135" s="176">
        <v>1949.3721877345151</v>
      </c>
      <c r="N135" s="178">
        <v>299.8268525978466</v>
      </c>
      <c r="O135" s="176">
        <f t="shared" si="81"/>
        <v>22509.557439620839</v>
      </c>
      <c r="P135" s="83">
        <f t="shared" si="80"/>
        <v>2.7158310600157449</v>
      </c>
    </row>
    <row r="136" spans="2:16" x14ac:dyDescent="0.3">
      <c r="B136" s="24"/>
      <c r="C136" s="9" t="s">
        <v>11</v>
      </c>
      <c r="D136" s="176">
        <v>1243.8930280726499</v>
      </c>
      <c r="E136" s="176">
        <v>2282.7707445276947</v>
      </c>
      <c r="F136" s="176">
        <v>5644.1335641678452</v>
      </c>
      <c r="G136" s="176">
        <v>3086.2590049739351</v>
      </c>
      <c r="H136" s="176">
        <v>1112.2987256116105</v>
      </c>
      <c r="I136" s="188">
        <v>2326.9657705423861</v>
      </c>
      <c r="J136" s="176">
        <v>471.46986939174832</v>
      </c>
      <c r="K136" s="176">
        <v>571.67951482672868</v>
      </c>
      <c r="L136" s="188">
        <v>2586.6622240085089</v>
      </c>
      <c r="M136" s="176">
        <v>902.20909616161623</v>
      </c>
      <c r="N136" s="178">
        <v>192.69314739543796</v>
      </c>
      <c r="O136" s="176">
        <f t="shared" si="81"/>
        <v>20421.034689680164</v>
      </c>
      <c r="P136" s="83">
        <f t="shared" si="80"/>
        <v>2.4638458768750708</v>
      </c>
    </row>
    <row r="137" spans="2:16" x14ac:dyDescent="0.3">
      <c r="B137" s="24"/>
      <c r="C137" s="9" t="s">
        <v>181</v>
      </c>
      <c r="D137" s="176">
        <v>1397.1938429112556</v>
      </c>
      <c r="E137" s="176">
        <v>1105.6062062601727</v>
      </c>
      <c r="F137" s="176">
        <v>2266.728434804329</v>
      </c>
      <c r="G137" s="176">
        <v>899.0915314668398</v>
      </c>
      <c r="H137" s="176">
        <v>231.89029068181816</v>
      </c>
      <c r="I137" s="188">
        <v>526.01706810389612</v>
      </c>
      <c r="J137" s="176">
        <v>178.18381494264071</v>
      </c>
      <c r="K137" s="176">
        <v>191.82587702380957</v>
      </c>
      <c r="L137" s="188">
        <v>1015.1041134458877</v>
      </c>
      <c r="M137" s="176">
        <v>912.66935110995632</v>
      </c>
      <c r="N137" s="178">
        <v>142.57900144047622</v>
      </c>
      <c r="O137" s="176">
        <f t="shared" si="81"/>
        <v>8866.8895321910804</v>
      </c>
      <c r="P137" s="83">
        <f t="shared" si="80"/>
        <v>1.0698110818858748</v>
      </c>
    </row>
    <row r="138" spans="2:16" x14ac:dyDescent="0.3">
      <c r="B138" s="24"/>
      <c r="C138" s="9" t="s">
        <v>182</v>
      </c>
      <c r="D138" s="176">
        <v>18497.082155663888</v>
      </c>
      <c r="E138" s="176">
        <v>13922.744428516517</v>
      </c>
      <c r="F138" s="176">
        <v>59837.016099422843</v>
      </c>
      <c r="G138" s="176">
        <v>25101.621370918347</v>
      </c>
      <c r="H138" s="176">
        <v>11440.229344768002</v>
      </c>
      <c r="I138" s="188">
        <v>19416.294820707648</v>
      </c>
      <c r="J138" s="176">
        <v>5813.7132686780888</v>
      </c>
      <c r="K138" s="176">
        <v>5494.2585122374012</v>
      </c>
      <c r="L138" s="188">
        <v>33070.683430980367</v>
      </c>
      <c r="M138" s="176">
        <v>17379.709194707717</v>
      </c>
      <c r="N138" s="178">
        <v>2355.3440046785163</v>
      </c>
      <c r="O138" s="176">
        <f t="shared" si="81"/>
        <v>212328.69663127931</v>
      </c>
      <c r="P138" s="83">
        <f t="shared" si="80"/>
        <v>25.617956763062956</v>
      </c>
    </row>
    <row r="139" spans="2:16" x14ac:dyDescent="0.3">
      <c r="B139" s="24"/>
      <c r="C139" s="9" t="s">
        <v>183</v>
      </c>
      <c r="D139" s="176">
        <v>1499.6370840762079</v>
      </c>
      <c r="E139" s="176">
        <v>906.62556107260662</v>
      </c>
      <c r="F139" s="176">
        <v>4367.1153295107697</v>
      </c>
      <c r="G139" s="176">
        <v>2792.7583489132853</v>
      </c>
      <c r="H139" s="176">
        <v>1417.6823651449922</v>
      </c>
      <c r="I139" s="188">
        <v>2290.4907804968379</v>
      </c>
      <c r="J139" s="176">
        <v>429.86192275000178</v>
      </c>
      <c r="K139" s="176">
        <v>542.93055450127872</v>
      </c>
      <c r="L139" s="188">
        <v>2939.7464596240761</v>
      </c>
      <c r="M139" s="176">
        <v>1432.0420373377474</v>
      </c>
      <c r="N139" s="178">
        <v>175.94672346148499</v>
      </c>
      <c r="O139" s="176">
        <f t="shared" si="81"/>
        <v>18794.837166889287</v>
      </c>
      <c r="P139" s="83">
        <f t="shared" si="80"/>
        <v>2.2676413200345911</v>
      </c>
    </row>
    <row r="140" spans="2:16" x14ac:dyDescent="0.3">
      <c r="B140" s="24"/>
      <c r="C140" s="9" t="s">
        <v>184</v>
      </c>
      <c r="D140" s="176">
        <v>1503.9156503628628</v>
      </c>
      <c r="E140" s="176">
        <v>1478.762247058613</v>
      </c>
      <c r="F140" s="176">
        <v>7787.8757353335286</v>
      </c>
      <c r="G140" s="176">
        <v>2667.7018414958993</v>
      </c>
      <c r="H140" s="176">
        <v>1113.8182038246753</v>
      </c>
      <c r="I140" s="188">
        <v>1837.6699873003745</v>
      </c>
      <c r="J140" s="176">
        <v>384.9205595345021</v>
      </c>
      <c r="K140" s="176">
        <v>400.94693551463735</v>
      </c>
      <c r="L140" s="188">
        <v>3315.2715459094002</v>
      </c>
      <c r="M140" s="176">
        <v>2094.999136857321</v>
      </c>
      <c r="N140" s="178">
        <v>352.91319756562808</v>
      </c>
      <c r="O140" s="176">
        <f t="shared" si="81"/>
        <v>22938.795040757435</v>
      </c>
      <c r="P140" s="83">
        <f t="shared" si="80"/>
        <v>2.7676195863970547</v>
      </c>
    </row>
    <row r="141" spans="2:16" x14ac:dyDescent="0.3">
      <c r="B141" s="24"/>
      <c r="C141" s="9" t="s">
        <v>185</v>
      </c>
      <c r="D141" s="176">
        <v>4240.6083208610225</v>
      </c>
      <c r="E141" s="176">
        <v>1821.8629536341259</v>
      </c>
      <c r="F141" s="176">
        <v>8039.763491230734</v>
      </c>
      <c r="G141" s="176">
        <v>3570.0377828953747</v>
      </c>
      <c r="H141" s="176">
        <v>1927.1949551244893</v>
      </c>
      <c r="I141" s="188">
        <v>3654.1800271167122</v>
      </c>
      <c r="J141" s="176">
        <v>730.72910636175561</v>
      </c>
      <c r="K141" s="176">
        <v>735.77359830147998</v>
      </c>
      <c r="L141" s="188">
        <v>4977.0635696133486</v>
      </c>
      <c r="M141" s="176">
        <v>2249.1546420455775</v>
      </c>
      <c r="N141" s="178">
        <v>601.18379025022546</v>
      </c>
      <c r="O141" s="176">
        <f t="shared" si="81"/>
        <v>32547.552237434847</v>
      </c>
      <c r="P141" s="83">
        <f t="shared" si="80"/>
        <v>3.9269387472861594</v>
      </c>
    </row>
    <row r="142" spans="2:16" x14ac:dyDescent="0.3">
      <c r="B142" s="24"/>
      <c r="C142" s="9" t="s">
        <v>186</v>
      </c>
      <c r="D142" s="176">
        <v>2126.6339043412145</v>
      </c>
      <c r="E142" s="176">
        <v>1863.6497637033701</v>
      </c>
      <c r="F142" s="176">
        <v>6242.7713119569871</v>
      </c>
      <c r="G142" s="176">
        <v>2380.2808042256829</v>
      </c>
      <c r="H142" s="176">
        <v>923.99842485889292</v>
      </c>
      <c r="I142" s="188">
        <v>2495.3769456623068</v>
      </c>
      <c r="J142" s="176">
        <v>568.57902931678609</v>
      </c>
      <c r="K142" s="176">
        <v>732.20997468268365</v>
      </c>
      <c r="L142" s="188">
        <v>3520.4435949673652</v>
      </c>
      <c r="M142" s="176">
        <v>2293.5860271282477</v>
      </c>
      <c r="N142" s="178">
        <v>278.52027890223553</v>
      </c>
      <c r="O142" s="176">
        <f t="shared" si="81"/>
        <v>23426.050059745772</v>
      </c>
      <c r="P142" s="83">
        <f t="shared" si="80"/>
        <v>2.8264080507312239</v>
      </c>
    </row>
    <row r="143" spans="2:16" x14ac:dyDescent="0.3">
      <c r="B143" s="24"/>
      <c r="C143" s="9" t="s">
        <v>187</v>
      </c>
      <c r="D143" s="176">
        <v>2019.1503544857912</v>
      </c>
      <c r="E143" s="176">
        <v>2298.9495032776267</v>
      </c>
      <c r="F143" s="176">
        <v>5611.3401476260005</v>
      </c>
      <c r="G143" s="176">
        <v>2625.2096399413813</v>
      </c>
      <c r="H143" s="176">
        <v>1211.2642063456583</v>
      </c>
      <c r="I143" s="188">
        <v>2320.055786475079</v>
      </c>
      <c r="J143" s="176">
        <v>666.85180634261837</v>
      </c>
      <c r="K143" s="176">
        <v>785.20838519695815</v>
      </c>
      <c r="L143" s="188">
        <v>3161.3288140064769</v>
      </c>
      <c r="M143" s="176">
        <v>2361.7492910833271</v>
      </c>
      <c r="N143" s="178">
        <v>319.68561443537868</v>
      </c>
      <c r="O143" s="176">
        <f t="shared" si="81"/>
        <v>23380.793549216294</v>
      </c>
      <c r="P143" s="83">
        <f t="shared" si="80"/>
        <v>2.8209477462675059</v>
      </c>
    </row>
    <row r="144" spans="2:16" x14ac:dyDescent="0.3">
      <c r="B144" s="24"/>
      <c r="C144" s="9" t="s">
        <v>188</v>
      </c>
      <c r="D144" s="176">
        <v>2512.9321959076965</v>
      </c>
      <c r="E144" s="176">
        <v>1462.786882136269</v>
      </c>
      <c r="F144" s="176">
        <v>8106.2046470286568</v>
      </c>
      <c r="G144" s="176">
        <v>3066.762618381556</v>
      </c>
      <c r="H144" s="176">
        <v>758.80587692976064</v>
      </c>
      <c r="I144" s="188">
        <v>2870.6593389547852</v>
      </c>
      <c r="J144" s="176">
        <v>461.469632637666</v>
      </c>
      <c r="K144" s="176">
        <v>454.11929409187672</v>
      </c>
      <c r="L144" s="188">
        <v>4417.9758681496032</v>
      </c>
      <c r="M144" s="176">
        <v>1818.1763057549927</v>
      </c>
      <c r="N144" s="178">
        <v>322.76464435929768</v>
      </c>
      <c r="O144" s="176">
        <f t="shared" si="81"/>
        <v>26252.657304332159</v>
      </c>
      <c r="P144" s="83">
        <f t="shared" si="80"/>
        <v>3.1674448645337501</v>
      </c>
    </row>
    <row r="145" spans="2:18" x14ac:dyDescent="0.3">
      <c r="B145" s="24"/>
      <c r="C145" s="9" t="s">
        <v>189</v>
      </c>
      <c r="D145" s="176">
        <v>3580.7979834986845</v>
      </c>
      <c r="E145" s="176">
        <v>3642.8272329492615</v>
      </c>
      <c r="F145" s="176">
        <v>11513.100589388356</v>
      </c>
      <c r="G145" s="176">
        <v>6141.4149485871067</v>
      </c>
      <c r="H145" s="176">
        <v>3699.3393963467365</v>
      </c>
      <c r="I145" s="188">
        <v>4314.0768804557802</v>
      </c>
      <c r="J145" s="176">
        <v>1049.1036400941703</v>
      </c>
      <c r="K145" s="176">
        <v>638.54178482783891</v>
      </c>
      <c r="L145" s="188">
        <v>6653.9369456898794</v>
      </c>
      <c r="M145" s="176">
        <v>3756.7401208709994</v>
      </c>
      <c r="N145" s="178">
        <v>395.46500544160767</v>
      </c>
      <c r="O145" s="176">
        <f t="shared" si="81"/>
        <v>45385.34452815041</v>
      </c>
      <c r="P145" s="83">
        <f t="shared" si="80"/>
        <v>5.475848588746965</v>
      </c>
    </row>
    <row r="146" spans="2:18" x14ac:dyDescent="0.3">
      <c r="B146" s="28"/>
      <c r="C146" s="25" t="s">
        <v>190</v>
      </c>
      <c r="D146" s="184">
        <v>859.50455996919754</v>
      </c>
      <c r="E146" s="184">
        <v>670.37046451154413</v>
      </c>
      <c r="F146" s="184">
        <v>3547.9411132778891</v>
      </c>
      <c r="G146" s="184">
        <v>1159.5185004368577</v>
      </c>
      <c r="H146" s="184">
        <v>822.07174171678332</v>
      </c>
      <c r="I146" s="189">
        <v>793.93585111191578</v>
      </c>
      <c r="J146" s="184">
        <v>429.05410943580029</v>
      </c>
      <c r="K146" s="184">
        <v>109.74335162504161</v>
      </c>
      <c r="L146" s="189">
        <v>1604.8031657508491</v>
      </c>
      <c r="M146" s="184">
        <v>1484.6699618587661</v>
      </c>
      <c r="N146" s="186">
        <v>117.80312928152958</v>
      </c>
      <c r="O146" s="184">
        <f>SUM(D146:N146)</f>
        <v>11599.415948976175</v>
      </c>
      <c r="P146" s="85">
        <f t="shared" si="80"/>
        <v>1.3994968224840469</v>
      </c>
    </row>
    <row r="147" spans="2:18" x14ac:dyDescent="0.3">
      <c r="D147" s="56"/>
      <c r="E147" s="56"/>
      <c r="F147" s="56"/>
      <c r="G147" s="56"/>
      <c r="H147" s="56"/>
      <c r="I147" s="58"/>
      <c r="J147" s="56"/>
      <c r="K147" s="56"/>
      <c r="L147" s="58"/>
      <c r="M147" s="56"/>
      <c r="N147" s="56"/>
      <c r="O147" s="56"/>
      <c r="P147" s="56"/>
    </row>
    <row r="148" spans="2:18" x14ac:dyDescent="0.3">
      <c r="B148" s="17" t="s">
        <v>191</v>
      </c>
      <c r="J148" s="61"/>
      <c r="M148" s="61"/>
      <c r="P148" s="30" t="s">
        <v>516</v>
      </c>
    </row>
    <row r="149" spans="2:18" x14ac:dyDescent="0.3">
      <c r="B149" s="276"/>
      <c r="C149" s="276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01"/>
      <c r="O149" s="202" t="s">
        <v>526</v>
      </c>
      <c r="P149" s="202" t="s">
        <v>46</v>
      </c>
    </row>
    <row r="150" spans="2:18" x14ac:dyDescent="0.3">
      <c r="B150" s="276"/>
      <c r="C150" s="276"/>
      <c r="D150" s="203" t="s">
        <v>265</v>
      </c>
      <c r="E150" s="203" t="s">
        <v>267</v>
      </c>
      <c r="F150" s="203" t="s">
        <v>30</v>
      </c>
      <c r="G150" s="203" t="s">
        <v>269</v>
      </c>
      <c r="H150" s="204" t="s">
        <v>107</v>
      </c>
      <c r="I150" s="204" t="s">
        <v>271</v>
      </c>
      <c r="J150" s="204" t="s">
        <v>108</v>
      </c>
      <c r="K150" s="204" t="s">
        <v>109</v>
      </c>
      <c r="L150" s="204" t="s">
        <v>27</v>
      </c>
      <c r="M150" s="204" t="s">
        <v>111</v>
      </c>
      <c r="N150" s="205" t="s">
        <v>110</v>
      </c>
      <c r="O150" s="202"/>
      <c r="P150" s="202"/>
    </row>
    <row r="151" spans="2:18" x14ac:dyDescent="0.3">
      <c r="B151" s="29" t="s">
        <v>20</v>
      </c>
      <c r="C151" s="12"/>
      <c r="D151" s="179">
        <f t="shared" ref="D151:N151" si="82">SUM(D152:D156)</f>
        <v>72607.91657911634</v>
      </c>
      <c r="E151" s="179">
        <f t="shared" si="82"/>
        <v>63910.064298487065</v>
      </c>
      <c r="F151" s="179">
        <f t="shared" si="82"/>
        <v>224695.33652059047</v>
      </c>
      <c r="G151" s="179">
        <f t="shared" si="82"/>
        <v>101856.74236335237</v>
      </c>
      <c r="H151" s="179">
        <f t="shared" si="82"/>
        <v>45635.784938244673</v>
      </c>
      <c r="I151" s="179">
        <f t="shared" si="82"/>
        <v>79044.535991813143</v>
      </c>
      <c r="J151" s="179">
        <f t="shared" si="82"/>
        <v>20440.41052159297</v>
      </c>
      <c r="K151" s="179">
        <f t="shared" si="82"/>
        <v>18627.233393886461</v>
      </c>
      <c r="L151" s="179">
        <f t="shared" si="82"/>
        <v>123117.51128526145</v>
      </c>
      <c r="M151" s="179">
        <f t="shared" si="82"/>
        <v>68326.404084220325</v>
      </c>
      <c r="N151" s="187">
        <f t="shared" si="82"/>
        <v>10565.661674412848</v>
      </c>
      <c r="O151" s="179">
        <f>SUM(D151:N151)</f>
        <v>828827.60165097821</v>
      </c>
      <c r="P151" s="197">
        <f>O151/$O$151*100</f>
        <v>100</v>
      </c>
    </row>
    <row r="152" spans="2:18" x14ac:dyDescent="0.3">
      <c r="B152" s="24"/>
      <c r="C152" s="27" t="s">
        <v>192</v>
      </c>
      <c r="D152" s="176">
        <v>42189.153115561719</v>
      </c>
      <c r="E152" s="176">
        <v>36394.350760329224</v>
      </c>
      <c r="F152" s="176">
        <v>122899.78479734075</v>
      </c>
      <c r="G152" s="176">
        <v>57201.511258542218</v>
      </c>
      <c r="H152" s="176">
        <v>25587.22338150752</v>
      </c>
      <c r="I152" s="188">
        <v>41949.085481104368</v>
      </c>
      <c r="J152" s="176">
        <v>12130.960686443384</v>
      </c>
      <c r="K152" s="176">
        <v>10748.691017194922</v>
      </c>
      <c r="L152" s="188">
        <v>69091.633103629836</v>
      </c>
      <c r="M152" s="176">
        <v>38330.153906379608</v>
      </c>
      <c r="N152" s="183">
        <v>5964.0832113596625</v>
      </c>
      <c r="O152" s="176">
        <f>SUM(D152:N152)</f>
        <v>462486.63071939326</v>
      </c>
      <c r="P152" s="83">
        <f>O152/$O$151*100</f>
        <v>55.80010002057675</v>
      </c>
      <c r="R152" s="83"/>
    </row>
    <row r="153" spans="2:18" x14ac:dyDescent="0.3">
      <c r="B153" s="24"/>
      <c r="C153" s="9" t="s">
        <v>200</v>
      </c>
      <c r="D153" s="176">
        <v>2359.1416440454045</v>
      </c>
      <c r="E153" s="176">
        <v>1576.9960255841509</v>
      </c>
      <c r="F153" s="176">
        <v>7915.0564427886511</v>
      </c>
      <c r="G153" s="176">
        <v>3952.2768493501417</v>
      </c>
      <c r="H153" s="176">
        <v>2239.7541068617757</v>
      </c>
      <c r="I153" s="188">
        <v>3084.4266316087528</v>
      </c>
      <c r="J153" s="176">
        <v>858.9160321858019</v>
      </c>
      <c r="K153" s="176">
        <v>652.67390612632028</v>
      </c>
      <c r="L153" s="188">
        <v>4544.5496253749225</v>
      </c>
      <c r="M153" s="176">
        <v>2916.7119991965128</v>
      </c>
      <c r="N153" s="178">
        <v>293.74985274301434</v>
      </c>
      <c r="O153" s="176">
        <f t="shared" ref="O153:O155" si="83">SUM(D153:N153)</f>
        <v>30394.253115865449</v>
      </c>
      <c r="P153" s="83">
        <f t="shared" ref="P153:P156" si="84">O153/$O$151*100</f>
        <v>3.6671381425186369</v>
      </c>
    </row>
    <row r="154" spans="2:18" x14ac:dyDescent="0.3">
      <c r="B154" s="24"/>
      <c r="C154" s="9" t="s">
        <v>201</v>
      </c>
      <c r="D154" s="176">
        <v>8558.0731449272607</v>
      </c>
      <c r="E154" s="176">
        <v>6313.9751620408806</v>
      </c>
      <c r="F154" s="176">
        <v>24184.129684985695</v>
      </c>
      <c r="G154" s="176">
        <v>9791.4536809165511</v>
      </c>
      <c r="H154" s="176">
        <v>4610.3514926041189</v>
      </c>
      <c r="I154" s="188">
        <v>8658.5497792908955</v>
      </c>
      <c r="J154" s="176">
        <v>1929.8406896150655</v>
      </c>
      <c r="K154" s="176">
        <v>1652.6230602200885</v>
      </c>
      <c r="L154" s="188">
        <v>12561.099395802099</v>
      </c>
      <c r="M154" s="176">
        <v>7206.1953177473679</v>
      </c>
      <c r="N154" s="178">
        <v>1396.502841854176</v>
      </c>
      <c r="O154" s="176">
        <f t="shared" si="83"/>
        <v>86862.794250004197</v>
      </c>
      <c r="P154" s="83">
        <f t="shared" si="84"/>
        <v>10.480200475584835</v>
      </c>
    </row>
    <row r="155" spans="2:18" x14ac:dyDescent="0.3">
      <c r="B155" s="24"/>
      <c r="C155" s="9" t="s">
        <v>202</v>
      </c>
      <c r="D155" s="176">
        <v>5972.7716051017305</v>
      </c>
      <c r="E155" s="176">
        <v>6104.2865980880706</v>
      </c>
      <c r="F155" s="176">
        <v>18966.735469615232</v>
      </c>
      <c r="G155" s="176">
        <v>7557.5075245907665</v>
      </c>
      <c r="H155" s="176">
        <v>3589.6215491347862</v>
      </c>
      <c r="I155" s="188">
        <v>7303.4149044414189</v>
      </c>
      <c r="J155" s="176">
        <v>1819.0151630089722</v>
      </c>
      <c r="K155" s="176">
        <v>2176.8657258139747</v>
      </c>
      <c r="L155" s="188">
        <v>9830.138344355124</v>
      </c>
      <c r="M155" s="176">
        <v>7056.4751260810935</v>
      </c>
      <c r="N155" s="178">
        <v>934.01624177384463</v>
      </c>
      <c r="O155" s="176">
        <f t="shared" si="83"/>
        <v>71310.848252005002</v>
      </c>
      <c r="P155" s="83">
        <f t="shared" si="84"/>
        <v>8.6038216041499798</v>
      </c>
    </row>
    <row r="156" spans="2:18" x14ac:dyDescent="0.3">
      <c r="B156" s="28"/>
      <c r="C156" s="25" t="s">
        <v>203</v>
      </c>
      <c r="D156" s="184">
        <v>13528.777069480222</v>
      </c>
      <c r="E156" s="184">
        <v>13520.455752444743</v>
      </c>
      <c r="F156" s="184">
        <v>50729.630125860131</v>
      </c>
      <c r="G156" s="184">
        <v>23353.993049952696</v>
      </c>
      <c r="H156" s="184">
        <v>9608.8344081364794</v>
      </c>
      <c r="I156" s="189">
        <v>18049.059195367714</v>
      </c>
      <c r="J156" s="184">
        <v>3701.6779503397493</v>
      </c>
      <c r="K156" s="184">
        <v>3396.3796845311545</v>
      </c>
      <c r="L156" s="189">
        <v>27090.090816099459</v>
      </c>
      <c r="M156" s="184">
        <v>12816.867734815743</v>
      </c>
      <c r="N156" s="186">
        <v>1977.3095266821501</v>
      </c>
      <c r="O156" s="184">
        <f>SUM(D156:N156)</f>
        <v>177773.07531371026</v>
      </c>
      <c r="P156" s="85">
        <f t="shared" si="84"/>
        <v>21.448739757169797</v>
      </c>
    </row>
    <row r="158" spans="2:18" x14ac:dyDescent="0.3">
      <c r="B158" s="17" t="s">
        <v>194</v>
      </c>
      <c r="J158" s="61"/>
      <c r="M158" s="61"/>
      <c r="P158" s="30" t="s">
        <v>516</v>
      </c>
    </row>
    <row r="159" spans="2:18" x14ac:dyDescent="0.3">
      <c r="B159" s="276"/>
      <c r="C159" s="276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2" t="s">
        <v>526</v>
      </c>
      <c r="P159" s="202" t="s">
        <v>46</v>
      </c>
    </row>
    <row r="160" spans="2:18" x14ac:dyDescent="0.3">
      <c r="B160" s="276"/>
      <c r="C160" s="276"/>
      <c r="D160" s="203" t="s">
        <v>265</v>
      </c>
      <c r="E160" s="203" t="s">
        <v>267</v>
      </c>
      <c r="F160" s="203" t="s">
        <v>30</v>
      </c>
      <c r="G160" s="203" t="s">
        <v>269</v>
      </c>
      <c r="H160" s="204" t="s">
        <v>107</v>
      </c>
      <c r="I160" s="204" t="s">
        <v>271</v>
      </c>
      <c r="J160" s="204" t="s">
        <v>108</v>
      </c>
      <c r="K160" s="204" t="s">
        <v>109</v>
      </c>
      <c r="L160" s="204" t="s">
        <v>27</v>
      </c>
      <c r="M160" s="204" t="s">
        <v>111</v>
      </c>
      <c r="N160" s="205" t="s">
        <v>110</v>
      </c>
      <c r="O160" s="202"/>
      <c r="P160" s="202"/>
    </row>
    <row r="161" spans="2:16" x14ac:dyDescent="0.3">
      <c r="B161" s="29" t="s">
        <v>20</v>
      </c>
      <c r="C161" s="12"/>
      <c r="D161" s="179">
        <f t="shared" ref="D161:N161" si="85">SUM(D162:D163)</f>
        <v>72607.916579116369</v>
      </c>
      <c r="E161" s="179">
        <f t="shared" si="85"/>
        <v>63910.064298487094</v>
      </c>
      <c r="F161" s="179">
        <f t="shared" si="85"/>
        <v>224695.33652059041</v>
      </c>
      <c r="G161" s="179">
        <f t="shared" si="85"/>
        <v>101856.74236335231</v>
      </c>
      <c r="H161" s="179">
        <f t="shared" si="85"/>
        <v>45635.784938244702</v>
      </c>
      <c r="I161" s="179">
        <f t="shared" si="85"/>
        <v>79044.535991813173</v>
      </c>
      <c r="J161" s="179">
        <f t="shared" si="85"/>
        <v>20440.410521592967</v>
      </c>
      <c r="K161" s="179">
        <f t="shared" si="85"/>
        <v>18627.233393886458</v>
      </c>
      <c r="L161" s="179">
        <f t="shared" si="85"/>
        <v>123117.51128526145</v>
      </c>
      <c r="M161" s="179">
        <f t="shared" si="85"/>
        <v>68326.404084220325</v>
      </c>
      <c r="N161" s="187">
        <f t="shared" si="85"/>
        <v>10565.661674412844</v>
      </c>
      <c r="O161" s="179">
        <f>SUM(D161:N161)</f>
        <v>828827.60165097821</v>
      </c>
      <c r="P161" s="197">
        <f>O161/$O$161*100</f>
        <v>100</v>
      </c>
    </row>
    <row r="162" spans="2:16" x14ac:dyDescent="0.3">
      <c r="B162" s="24"/>
      <c r="C162" s="27" t="s">
        <v>192</v>
      </c>
      <c r="D162" s="176">
        <v>42189.153115561719</v>
      </c>
      <c r="E162" s="176">
        <v>36394.350760329224</v>
      </c>
      <c r="F162" s="176">
        <v>122899.78479734075</v>
      </c>
      <c r="G162" s="176">
        <v>57201.511258542218</v>
      </c>
      <c r="H162" s="176">
        <v>25587.22338150752</v>
      </c>
      <c r="I162" s="188">
        <v>41949.085481104368</v>
      </c>
      <c r="J162" s="176">
        <v>12130.960686443384</v>
      </c>
      <c r="K162" s="176">
        <v>10748.691017194922</v>
      </c>
      <c r="L162" s="188">
        <v>69091.633103629836</v>
      </c>
      <c r="M162" s="176">
        <v>38330.153906379608</v>
      </c>
      <c r="N162" s="183">
        <v>5964.0832113596625</v>
      </c>
      <c r="O162" s="176">
        <f t="shared" ref="O162" si="86">SUM(D162:N162)</f>
        <v>462486.63071939326</v>
      </c>
      <c r="P162" s="83">
        <f>O162/$O$161*100</f>
        <v>55.80010002057675</v>
      </c>
    </row>
    <row r="163" spans="2:16" x14ac:dyDescent="0.3">
      <c r="B163" s="28"/>
      <c r="C163" s="25" t="s">
        <v>193</v>
      </c>
      <c r="D163" s="184">
        <v>30418.763463554649</v>
      </c>
      <c r="E163" s="184">
        <v>27515.713538157874</v>
      </c>
      <c r="F163" s="184">
        <v>101795.55172324965</v>
      </c>
      <c r="G163" s="184">
        <v>44655.231104810096</v>
      </c>
      <c r="H163" s="184">
        <v>20048.561556737182</v>
      </c>
      <c r="I163" s="189">
        <v>37095.450510708797</v>
      </c>
      <c r="J163" s="184">
        <v>8309.4498351495822</v>
      </c>
      <c r="K163" s="184">
        <v>7878.5423766915346</v>
      </c>
      <c r="L163" s="189">
        <v>54025.878181631619</v>
      </c>
      <c r="M163" s="184">
        <v>29996.25017784071</v>
      </c>
      <c r="N163" s="186">
        <v>4601.5784630531816</v>
      </c>
      <c r="O163" s="184">
        <f>SUM(D163:N163)</f>
        <v>366340.97093158483</v>
      </c>
      <c r="P163" s="85">
        <f>O163/$O$161*100</f>
        <v>44.199899979423236</v>
      </c>
    </row>
    <row r="165" spans="2:16" x14ac:dyDescent="0.3">
      <c r="B165" s="259" t="s">
        <v>573</v>
      </c>
      <c r="C165" s="260"/>
      <c r="D165" s="260"/>
      <c r="E165" s="260"/>
      <c r="F165" s="260"/>
      <c r="G165" s="260"/>
      <c r="H165" s="260"/>
      <c r="I165" s="260"/>
      <c r="J165" s="260"/>
      <c r="K165" s="260"/>
      <c r="L165" s="260"/>
      <c r="M165" s="260"/>
      <c r="N165" s="260"/>
      <c r="O165" s="260"/>
      <c r="P165" s="260"/>
    </row>
    <row r="166" spans="2:16" x14ac:dyDescent="0.3">
      <c r="I166" s="30" t="s">
        <v>516</v>
      </c>
    </row>
    <row r="167" spans="2:16" ht="16.5" customHeight="1" x14ac:dyDescent="0.3">
      <c r="B167" s="277"/>
      <c r="C167" s="277"/>
      <c r="D167" s="274" t="s">
        <v>531</v>
      </c>
      <c r="E167" s="275"/>
      <c r="F167" s="274" t="s">
        <v>529</v>
      </c>
      <c r="G167" s="275"/>
      <c r="H167" s="274" t="s">
        <v>530</v>
      </c>
      <c r="I167" s="275"/>
    </row>
    <row r="168" spans="2:16" x14ac:dyDescent="0.3">
      <c r="B168" s="277"/>
      <c r="C168" s="277"/>
      <c r="D168" s="198" t="s">
        <v>518</v>
      </c>
      <c r="E168" s="199" t="s">
        <v>512</v>
      </c>
      <c r="F168" s="198" t="s">
        <v>518</v>
      </c>
      <c r="G168" s="199" t="s">
        <v>512</v>
      </c>
      <c r="H168" s="198" t="s">
        <v>518</v>
      </c>
      <c r="I168" s="199" t="s">
        <v>512</v>
      </c>
    </row>
    <row r="169" spans="2:16" x14ac:dyDescent="0.3">
      <c r="B169" s="14" t="s">
        <v>20</v>
      </c>
      <c r="C169" s="9"/>
      <c r="D169" s="251">
        <v>828827.60165097821</v>
      </c>
      <c r="E169" s="247">
        <f>D169/$O$84*100</f>
        <v>100</v>
      </c>
      <c r="F169" s="251">
        <v>349583.31533103931</v>
      </c>
      <c r="G169" s="247">
        <f>F169/F$169*100</f>
        <v>100</v>
      </c>
      <c r="H169" s="251">
        <v>479244.2863199389</v>
      </c>
      <c r="I169" s="247">
        <f t="shared" ref="I169:I177" si="87">H169/H$169*100</f>
        <v>100</v>
      </c>
    </row>
    <row r="170" spans="2:16" x14ac:dyDescent="0.3">
      <c r="B170" s="24" t="s">
        <v>5</v>
      </c>
      <c r="C170" s="13" t="s">
        <v>47</v>
      </c>
      <c r="D170" s="252">
        <v>410700.94245496328</v>
      </c>
      <c r="E170" s="248">
        <f>D170/$O$84*100</f>
        <v>49.552034902900196</v>
      </c>
      <c r="F170" s="252">
        <v>162021.51308542668</v>
      </c>
      <c r="G170" s="248">
        <f t="shared" ref="G170:G213" si="88">F170/F$169*100</f>
        <v>46.347038311024583</v>
      </c>
      <c r="H170" s="252">
        <v>248679.42936953661</v>
      </c>
      <c r="I170" s="248">
        <f t="shared" si="87"/>
        <v>51.889910108082248</v>
      </c>
    </row>
    <row r="171" spans="2:16" x14ac:dyDescent="0.3">
      <c r="B171" s="31"/>
      <c r="C171" s="25" t="s">
        <v>48</v>
      </c>
      <c r="D171" s="253">
        <v>418126.65919601591</v>
      </c>
      <c r="E171" s="249">
        <f>D171/$O$84*100</f>
        <v>50.447965097099924</v>
      </c>
      <c r="F171" s="253">
        <v>187561.80224561202</v>
      </c>
      <c r="G171" s="249">
        <f t="shared" si="88"/>
        <v>53.652961688975239</v>
      </c>
      <c r="H171" s="253">
        <v>230564.85695040389</v>
      </c>
      <c r="I171" s="249">
        <f t="shared" si="87"/>
        <v>48.110089891918086</v>
      </c>
    </row>
    <row r="172" spans="2:16" x14ac:dyDescent="0.3">
      <c r="B172" s="24" t="s">
        <v>540</v>
      </c>
      <c r="C172" s="27" t="s">
        <v>175</v>
      </c>
      <c r="D172" s="254">
        <v>20525.778580071004</v>
      </c>
      <c r="E172" s="250">
        <v>2.476483473666272</v>
      </c>
      <c r="F172" s="254">
        <v>8659.4551461392803</v>
      </c>
      <c r="G172" s="250">
        <f t="shared" si="88"/>
        <v>2.4770790728210739</v>
      </c>
      <c r="H172" s="254">
        <v>11866.323433931724</v>
      </c>
      <c r="I172" s="250">
        <f t="shared" si="87"/>
        <v>2.4760490156391519</v>
      </c>
    </row>
    <row r="173" spans="2:16" x14ac:dyDescent="0.3">
      <c r="B173" s="24"/>
      <c r="C173" s="9" t="s">
        <v>176</v>
      </c>
      <c r="D173" s="251">
        <v>131000.04662642808</v>
      </c>
      <c r="E173" s="247">
        <v>15.805463810023129</v>
      </c>
      <c r="F173" s="251">
        <v>60775.111400962211</v>
      </c>
      <c r="G173" s="247">
        <f t="shared" si="88"/>
        <v>17.385014883622514</v>
      </c>
      <c r="H173" s="251">
        <v>70224.935225465873</v>
      </c>
      <c r="I173" s="247">
        <f t="shared" si="87"/>
        <v>14.653264990327788</v>
      </c>
    </row>
    <row r="174" spans="2:16" x14ac:dyDescent="0.3">
      <c r="B174" s="24"/>
      <c r="C174" s="9" t="s">
        <v>177</v>
      </c>
      <c r="D174" s="251">
        <v>149092.72753854896</v>
      </c>
      <c r="E174" s="247">
        <v>17.98838832606015</v>
      </c>
      <c r="F174" s="251">
        <v>60643.539406984833</v>
      </c>
      <c r="G174" s="247">
        <f t="shared" si="88"/>
        <v>17.347378077686056</v>
      </c>
      <c r="H174" s="251">
        <v>88449.188131564122</v>
      </c>
      <c r="I174" s="247">
        <f t="shared" si="87"/>
        <v>18.455971339951727</v>
      </c>
    </row>
    <row r="175" spans="2:16" x14ac:dyDescent="0.3">
      <c r="B175" s="24"/>
      <c r="C175" s="9" t="s">
        <v>178</v>
      </c>
      <c r="D175" s="251">
        <v>189174.26331047964</v>
      </c>
      <c r="E175" s="247">
        <v>22.824319910878334</v>
      </c>
      <c r="F175" s="251">
        <v>82168.913923130414</v>
      </c>
      <c r="G175" s="247">
        <f t="shared" si="88"/>
        <v>23.504815681869783</v>
      </c>
      <c r="H175" s="251">
        <v>107005.34938734923</v>
      </c>
      <c r="I175" s="247">
        <f t="shared" si="87"/>
        <v>22.327934300277391</v>
      </c>
    </row>
    <row r="176" spans="2:16" x14ac:dyDescent="0.3">
      <c r="B176" s="24"/>
      <c r="C176" s="9" t="s">
        <v>179</v>
      </c>
      <c r="D176" s="251">
        <v>195899.21671181664</v>
      </c>
      <c r="E176" s="247">
        <v>23.635701359558521</v>
      </c>
      <c r="F176" s="251">
        <v>81103.119010945564</v>
      </c>
      <c r="G176" s="247">
        <f t="shared" si="88"/>
        <v>23.199939886760511</v>
      </c>
      <c r="H176" s="251">
        <v>114796.09770087108</v>
      </c>
      <c r="I176" s="247">
        <f t="shared" si="87"/>
        <v>23.953566266251592</v>
      </c>
    </row>
    <row r="177" spans="2:9" x14ac:dyDescent="0.3">
      <c r="B177" s="28"/>
      <c r="C177" s="25" t="s">
        <v>180</v>
      </c>
      <c r="D177" s="253">
        <v>143135.56888363406</v>
      </c>
      <c r="E177" s="249">
        <v>17.269643119813573</v>
      </c>
      <c r="F177" s="253">
        <v>56233.176442876604</v>
      </c>
      <c r="G177" s="249">
        <f t="shared" si="88"/>
        <v>16.085772397239946</v>
      </c>
      <c r="H177" s="253">
        <v>86902.392440757452</v>
      </c>
      <c r="I177" s="249">
        <f t="shared" si="87"/>
        <v>18.133214087552467</v>
      </c>
    </row>
    <row r="178" spans="2:9" x14ac:dyDescent="0.3">
      <c r="B178" s="24" t="s">
        <v>541</v>
      </c>
      <c r="C178" s="27" t="s">
        <v>175</v>
      </c>
      <c r="D178" s="254">
        <v>10985.91763222314</v>
      </c>
      <c r="E178" s="250">
        <v>2.6749190217472791</v>
      </c>
      <c r="F178" s="254">
        <v>4195.7336950695826</v>
      </c>
      <c r="G178" s="250">
        <f>F178/$F$170*100</f>
        <v>2.5896151783605181</v>
      </c>
      <c r="H178" s="254">
        <v>6790.1839371535571</v>
      </c>
      <c r="I178" s="250">
        <f t="shared" ref="I178:I183" si="89">H178/$H$170*100</f>
        <v>2.7304968305453894</v>
      </c>
    </row>
    <row r="179" spans="2:9" x14ac:dyDescent="0.3">
      <c r="B179" s="24"/>
      <c r="C179" s="9" t="s">
        <v>176</v>
      </c>
      <c r="D179" s="251">
        <v>61695.755292166767</v>
      </c>
      <c r="E179" s="247">
        <v>15.02206323739623</v>
      </c>
      <c r="F179" s="251">
        <v>24859.690852807795</v>
      </c>
      <c r="G179" s="247">
        <f t="shared" ref="G179:G183" si="90">F179/$F$170*100</f>
        <v>15.343450619239924</v>
      </c>
      <c r="H179" s="251">
        <v>36836.064439358976</v>
      </c>
      <c r="I179" s="247">
        <f t="shared" si="89"/>
        <v>14.81267048615458</v>
      </c>
    </row>
    <row r="180" spans="2:9" x14ac:dyDescent="0.3">
      <c r="B180" s="24"/>
      <c r="C180" s="9" t="s">
        <v>177</v>
      </c>
      <c r="D180" s="251">
        <v>81793.940381869237</v>
      </c>
      <c r="E180" s="247">
        <v>19.915693373613031</v>
      </c>
      <c r="F180" s="251">
        <v>33285.757695119544</v>
      </c>
      <c r="G180" s="247">
        <f t="shared" si="90"/>
        <v>20.54403582663091</v>
      </c>
      <c r="H180" s="251">
        <v>48508.182686749693</v>
      </c>
      <c r="I180" s="247">
        <f t="shared" si="89"/>
        <v>19.506310919938109</v>
      </c>
    </row>
    <row r="181" spans="2:9" x14ac:dyDescent="0.3">
      <c r="B181" s="24"/>
      <c r="C181" s="9" t="s">
        <v>178</v>
      </c>
      <c r="D181" s="251">
        <v>93719.247206890243</v>
      </c>
      <c r="E181" s="247">
        <v>22.819340673211993</v>
      </c>
      <c r="F181" s="251">
        <v>37220.884679555187</v>
      </c>
      <c r="G181" s="247">
        <f t="shared" si="90"/>
        <v>22.972804025061958</v>
      </c>
      <c r="H181" s="251">
        <v>56498.362527335055</v>
      </c>
      <c r="I181" s="247">
        <f t="shared" si="89"/>
        <v>22.719355063091577</v>
      </c>
    </row>
    <row r="182" spans="2:9" x14ac:dyDescent="0.3">
      <c r="B182" s="24"/>
      <c r="C182" s="9" t="s">
        <v>179</v>
      </c>
      <c r="D182" s="251">
        <v>96020.637111265125</v>
      </c>
      <c r="E182" s="247">
        <v>23.37969728954171</v>
      </c>
      <c r="F182" s="251">
        <v>38278.741175465089</v>
      </c>
      <c r="G182" s="247">
        <f t="shared" si="90"/>
        <v>23.625715157518883</v>
      </c>
      <c r="H182" s="251">
        <v>57741.895935800036</v>
      </c>
      <c r="I182" s="247">
        <f t="shared" si="89"/>
        <v>23.219409857176331</v>
      </c>
    </row>
    <row r="183" spans="2:9" x14ac:dyDescent="0.3">
      <c r="B183" s="28"/>
      <c r="C183" s="25" t="s">
        <v>180</v>
      </c>
      <c r="D183" s="253">
        <v>66485.444830547945</v>
      </c>
      <c r="E183" s="249">
        <v>16.188286404489745</v>
      </c>
      <c r="F183" s="253">
        <v>24180.704987409608</v>
      </c>
      <c r="G183" s="249">
        <f t="shared" si="90"/>
        <v>14.924379193187887</v>
      </c>
      <c r="H183" s="253">
        <v>42304.739843138334</v>
      </c>
      <c r="I183" s="249">
        <f t="shared" si="89"/>
        <v>17.011756843093632</v>
      </c>
    </row>
    <row r="184" spans="2:9" x14ac:dyDescent="0.3">
      <c r="B184" s="24" t="s">
        <v>542</v>
      </c>
      <c r="C184" s="27" t="s">
        <v>175</v>
      </c>
      <c r="D184" s="254">
        <v>9539.860947847872</v>
      </c>
      <c r="E184" s="250">
        <v>2.2815720399630455</v>
      </c>
      <c r="F184" s="254">
        <v>4463.7214510696967</v>
      </c>
      <c r="G184" s="250">
        <f>F184/$F$171*100</f>
        <v>2.3798670079019915</v>
      </c>
      <c r="H184" s="254">
        <v>5076.1394967781753</v>
      </c>
      <c r="I184" s="250">
        <f t="shared" ref="I184:I189" si="91">H184/$H$171*100</f>
        <v>2.2016102384025023</v>
      </c>
    </row>
    <row r="185" spans="2:9" x14ac:dyDescent="0.3">
      <c r="B185" s="24"/>
      <c r="C185" s="9" t="s">
        <v>176</v>
      </c>
      <c r="D185" s="251">
        <v>69304.291334261288</v>
      </c>
      <c r="E185" s="247">
        <v>16.574951587043326</v>
      </c>
      <c r="F185" s="251">
        <v>35915.420548154405</v>
      </c>
      <c r="G185" s="247">
        <f t="shared" ref="G185:G189" si="92">F185/$F$171*100</f>
        <v>19.148579357924483</v>
      </c>
      <c r="H185" s="251">
        <v>33388.870786106883</v>
      </c>
      <c r="I185" s="247">
        <f t="shared" si="91"/>
        <v>14.481335632727871</v>
      </c>
    </row>
    <row r="186" spans="2:9" x14ac:dyDescent="0.3">
      <c r="B186" s="24"/>
      <c r="C186" s="9" t="s">
        <v>177</v>
      </c>
      <c r="D186" s="251">
        <v>67298.787156679697</v>
      </c>
      <c r="E186" s="247">
        <v>16.095311235615405</v>
      </c>
      <c r="F186" s="251">
        <v>27357.781711865366</v>
      </c>
      <c r="G186" s="247">
        <f t="shared" si="92"/>
        <v>14.586009189675183</v>
      </c>
      <c r="H186" s="251">
        <v>39941.005444814335</v>
      </c>
      <c r="I186" s="247">
        <f t="shared" si="91"/>
        <v>17.32311071734836</v>
      </c>
    </row>
    <row r="187" spans="2:9" x14ac:dyDescent="0.3">
      <c r="B187" s="24"/>
      <c r="C187" s="9" t="s">
        <v>178</v>
      </c>
      <c r="D187" s="251">
        <v>95455.01610358934</v>
      </c>
      <c r="E187" s="247">
        <v>22.829210719816945</v>
      </c>
      <c r="F187" s="251">
        <v>44948.029243575205</v>
      </c>
      <c r="G187" s="247">
        <f t="shared" si="92"/>
        <v>23.964383315487552</v>
      </c>
      <c r="H187" s="251">
        <v>50506.986860014134</v>
      </c>
      <c r="I187" s="247">
        <f t="shared" si="91"/>
        <v>21.905761150268681</v>
      </c>
    </row>
    <row r="188" spans="2:9" x14ac:dyDescent="0.3">
      <c r="B188" s="24"/>
      <c r="C188" s="9" t="s">
        <v>179</v>
      </c>
      <c r="D188" s="251">
        <v>99878.579600551675</v>
      </c>
      <c r="E188" s="247">
        <v>23.887158927536603</v>
      </c>
      <c r="F188" s="251">
        <v>42824.377835480351</v>
      </c>
      <c r="G188" s="247">
        <f t="shared" si="92"/>
        <v>22.832142431326112</v>
      </c>
      <c r="H188" s="251">
        <v>57054.201765071324</v>
      </c>
      <c r="I188" s="247">
        <f t="shared" si="91"/>
        <v>24.745402451920103</v>
      </c>
    </row>
    <row r="189" spans="2:9" x14ac:dyDescent="0.3">
      <c r="B189" s="28"/>
      <c r="C189" s="25" t="s">
        <v>180</v>
      </c>
      <c r="D189" s="253">
        <v>76650.124053086038</v>
      </c>
      <c r="E189" s="249">
        <v>18.33179549002466</v>
      </c>
      <c r="F189" s="253">
        <v>32052.471455466984</v>
      </c>
      <c r="G189" s="249">
        <f t="shared" si="92"/>
        <v>17.089018697684672</v>
      </c>
      <c r="H189" s="253">
        <v>44597.652597619053</v>
      </c>
      <c r="I189" s="249">
        <f t="shared" si="91"/>
        <v>19.342779809332487</v>
      </c>
    </row>
    <row r="190" spans="2:9" x14ac:dyDescent="0.3">
      <c r="B190" s="24" t="s">
        <v>3</v>
      </c>
      <c r="C190" s="27" t="s">
        <v>2</v>
      </c>
      <c r="D190" s="254">
        <v>208415.31357159352</v>
      </c>
      <c r="E190" s="250">
        <v>25.145797890471052</v>
      </c>
      <c r="F190" s="254">
        <v>95449.594444481249</v>
      </c>
      <c r="G190" s="250">
        <f t="shared" si="88"/>
        <v>27.303818648809049</v>
      </c>
      <c r="H190" s="254">
        <v>112965.71912711227</v>
      </c>
      <c r="I190" s="250">
        <f t="shared" ref="I190:I213" si="93">H190/H$169*100</f>
        <v>23.57163608450356</v>
      </c>
    </row>
    <row r="191" spans="2:9" x14ac:dyDescent="0.3">
      <c r="B191" s="24"/>
      <c r="C191" s="9" t="s">
        <v>6</v>
      </c>
      <c r="D191" s="251">
        <v>47781.588242480822</v>
      </c>
      <c r="E191" s="247">
        <v>5.7649610301711194</v>
      </c>
      <c r="F191" s="251">
        <v>17658.749719794887</v>
      </c>
      <c r="G191" s="247">
        <f t="shared" si="88"/>
        <v>5.051370859353761</v>
      </c>
      <c r="H191" s="251">
        <v>30122.838522685935</v>
      </c>
      <c r="I191" s="247">
        <f t="shared" si="93"/>
        <v>6.2854872520224925</v>
      </c>
    </row>
    <row r="192" spans="2:9" x14ac:dyDescent="0.3">
      <c r="B192" s="24"/>
      <c r="C192" s="9" t="s">
        <v>7</v>
      </c>
      <c r="D192" s="251">
        <v>37932.450549066612</v>
      </c>
      <c r="E192" s="247">
        <v>4.576639396842876</v>
      </c>
      <c r="F192" s="251">
        <v>15415.558610177142</v>
      </c>
      <c r="G192" s="247">
        <f t="shared" si="88"/>
        <v>4.409695181127085</v>
      </c>
      <c r="H192" s="251">
        <v>22516.891938889472</v>
      </c>
      <c r="I192" s="247">
        <f t="shared" si="93"/>
        <v>4.6984163570929693</v>
      </c>
    </row>
    <row r="193" spans="2:9" x14ac:dyDescent="0.3">
      <c r="B193" s="24"/>
      <c r="C193" s="9" t="s">
        <v>8</v>
      </c>
      <c r="D193" s="251">
        <v>41742.620516520488</v>
      </c>
      <c r="E193" s="247">
        <v>5.0363453670427383</v>
      </c>
      <c r="F193" s="251">
        <v>12171.434166613253</v>
      </c>
      <c r="G193" s="247">
        <f t="shared" si="88"/>
        <v>3.4816976762999872</v>
      </c>
      <c r="H193" s="251">
        <v>29571.186349907235</v>
      </c>
      <c r="I193" s="247">
        <f t="shared" si="93"/>
        <v>6.1703784883865662</v>
      </c>
    </row>
    <row r="194" spans="2:9" x14ac:dyDescent="0.3">
      <c r="B194" s="24"/>
      <c r="C194" s="9" t="s">
        <v>10</v>
      </c>
      <c r="D194" s="251">
        <v>24504.004643042943</v>
      </c>
      <c r="E194" s="247">
        <v>2.95646580715125</v>
      </c>
      <c r="F194" s="251">
        <v>10321.261811171336</v>
      </c>
      <c r="G194" s="247">
        <f t="shared" si="88"/>
        <v>2.9524469156651758</v>
      </c>
      <c r="H194" s="251">
        <v>14182.742831871607</v>
      </c>
      <c r="I194" s="247">
        <f t="shared" si="93"/>
        <v>2.9593973755595999</v>
      </c>
    </row>
    <row r="195" spans="2:9" x14ac:dyDescent="0.3">
      <c r="B195" s="24"/>
      <c r="C195" s="9" t="s">
        <v>9</v>
      </c>
      <c r="D195" s="251">
        <v>22509.557439620839</v>
      </c>
      <c r="E195" s="247">
        <v>2.7158310600157449</v>
      </c>
      <c r="F195" s="251">
        <v>9362.2205243836452</v>
      </c>
      <c r="G195" s="247">
        <f t="shared" si="88"/>
        <v>2.6781085119917845</v>
      </c>
      <c r="H195" s="251">
        <v>13147.336915237194</v>
      </c>
      <c r="I195" s="247">
        <f t="shared" si="93"/>
        <v>2.7433476601659801</v>
      </c>
    </row>
    <row r="196" spans="2:9" x14ac:dyDescent="0.3">
      <c r="B196" s="24"/>
      <c r="C196" s="9" t="s">
        <v>11</v>
      </c>
      <c r="D196" s="251">
        <v>20421.034689680164</v>
      </c>
      <c r="E196" s="247">
        <v>2.4638458768750708</v>
      </c>
      <c r="F196" s="251">
        <v>7697.4053620233117</v>
      </c>
      <c r="G196" s="247">
        <f t="shared" si="88"/>
        <v>2.2018800739200679</v>
      </c>
      <c r="H196" s="251">
        <v>12723.629327656852</v>
      </c>
      <c r="I196" s="247">
        <f t="shared" si="93"/>
        <v>2.654936050539094</v>
      </c>
    </row>
    <row r="197" spans="2:9" x14ac:dyDescent="0.3">
      <c r="B197" s="24"/>
      <c r="C197" s="9" t="s">
        <v>181</v>
      </c>
      <c r="D197" s="251">
        <v>8866.8895321910804</v>
      </c>
      <c r="E197" s="247">
        <v>1.0698110818858748</v>
      </c>
      <c r="F197" s="251">
        <v>4466.4498437348493</v>
      </c>
      <c r="G197" s="247">
        <f t="shared" si="88"/>
        <v>1.2776496039307044</v>
      </c>
      <c r="H197" s="251">
        <v>4400.4396884562311</v>
      </c>
      <c r="I197" s="247">
        <f t="shared" si="93"/>
        <v>0.91820389184953999</v>
      </c>
    </row>
    <row r="198" spans="2:9" x14ac:dyDescent="0.3">
      <c r="B198" s="24"/>
      <c r="C198" s="9" t="s">
        <v>182</v>
      </c>
      <c r="D198" s="251">
        <v>212328.69663127931</v>
      </c>
      <c r="E198" s="247">
        <v>25.617956763062956</v>
      </c>
      <c r="F198" s="251">
        <v>88958.110626062495</v>
      </c>
      <c r="G198" s="247">
        <f t="shared" si="88"/>
        <v>25.446898271395835</v>
      </c>
      <c r="H198" s="251">
        <v>123370.58600521681</v>
      </c>
      <c r="I198" s="247">
        <f t="shared" si="93"/>
        <v>25.742734869635104</v>
      </c>
    </row>
    <row r="199" spans="2:9" x14ac:dyDescent="0.3">
      <c r="B199" s="24"/>
      <c r="C199" s="9" t="s">
        <v>183</v>
      </c>
      <c r="D199" s="251">
        <v>18794.837166889287</v>
      </c>
      <c r="E199" s="247">
        <v>2.2676413200345911</v>
      </c>
      <c r="F199" s="251">
        <v>7277.2329730103393</v>
      </c>
      <c r="G199" s="247">
        <f t="shared" si="88"/>
        <v>2.0816877276076906</v>
      </c>
      <c r="H199" s="251">
        <v>11517.604193878948</v>
      </c>
      <c r="I199" s="247">
        <f t="shared" si="93"/>
        <v>2.4032846134319703</v>
      </c>
    </row>
    <row r="200" spans="2:9" x14ac:dyDescent="0.3">
      <c r="B200" s="24"/>
      <c r="C200" s="9" t="s">
        <v>184</v>
      </c>
      <c r="D200" s="251">
        <v>22938.795040757435</v>
      </c>
      <c r="E200" s="247">
        <v>2.7676195863970547</v>
      </c>
      <c r="F200" s="251">
        <v>10647.870475145768</v>
      </c>
      <c r="G200" s="247">
        <f t="shared" si="88"/>
        <v>3.0458749054035157</v>
      </c>
      <c r="H200" s="251">
        <v>12290.924565611667</v>
      </c>
      <c r="I200" s="247">
        <f t="shared" si="93"/>
        <v>2.564647073832063</v>
      </c>
    </row>
    <row r="201" spans="2:9" x14ac:dyDescent="0.3">
      <c r="B201" s="24"/>
      <c r="C201" s="9" t="s">
        <v>185</v>
      </c>
      <c r="D201" s="251">
        <v>32547.552237434847</v>
      </c>
      <c r="E201" s="247">
        <v>3.9269387472861594</v>
      </c>
      <c r="F201" s="251">
        <v>13426.173641587711</v>
      </c>
      <c r="G201" s="247">
        <f t="shared" si="88"/>
        <v>3.8406219784470381</v>
      </c>
      <c r="H201" s="251">
        <v>19121.378595847134</v>
      </c>
      <c r="I201" s="247">
        <f t="shared" si="93"/>
        <v>3.9899022568798839</v>
      </c>
    </row>
    <row r="202" spans="2:9" x14ac:dyDescent="0.3">
      <c r="B202" s="24"/>
      <c r="C202" s="9" t="s">
        <v>186</v>
      </c>
      <c r="D202" s="251">
        <v>23426.050059745772</v>
      </c>
      <c r="E202" s="247">
        <v>2.8264080507312239</v>
      </c>
      <c r="F202" s="251">
        <v>10218.671583817066</v>
      </c>
      <c r="G202" s="247">
        <f t="shared" si="88"/>
        <v>2.9231004843982484</v>
      </c>
      <c r="H202" s="251">
        <v>13207.378475928706</v>
      </c>
      <c r="I202" s="247">
        <f t="shared" si="93"/>
        <v>2.7558760433737515</v>
      </c>
    </row>
    <row r="203" spans="2:9" x14ac:dyDescent="0.3">
      <c r="B203" s="24"/>
      <c r="C203" s="9" t="s">
        <v>187</v>
      </c>
      <c r="D203" s="251">
        <v>23380.793549216294</v>
      </c>
      <c r="E203" s="247">
        <v>2.8209477462675059</v>
      </c>
      <c r="F203" s="251">
        <v>9552.6132680333067</v>
      </c>
      <c r="G203" s="247">
        <f t="shared" si="88"/>
        <v>2.7325712781765406</v>
      </c>
      <c r="H203" s="251">
        <v>13828.180281182988</v>
      </c>
      <c r="I203" s="247">
        <f t="shared" si="93"/>
        <v>2.8854136973375257</v>
      </c>
    </row>
    <row r="204" spans="2:9" x14ac:dyDescent="0.3">
      <c r="B204" s="24"/>
      <c r="C204" s="9" t="s">
        <v>188</v>
      </c>
      <c r="D204" s="251">
        <v>26252.657304332159</v>
      </c>
      <c r="E204" s="247">
        <v>3.1674448645337501</v>
      </c>
      <c r="F204" s="251">
        <v>10253.334861713194</v>
      </c>
      <c r="G204" s="247">
        <f t="shared" si="88"/>
        <v>2.9330160828767693</v>
      </c>
      <c r="H204" s="251">
        <v>15999.322442618964</v>
      </c>
      <c r="I204" s="247">
        <f t="shared" si="93"/>
        <v>3.3384482401398881</v>
      </c>
    </row>
    <row r="205" spans="2:9" x14ac:dyDescent="0.3">
      <c r="B205" s="24"/>
      <c r="C205" s="9" t="s">
        <v>189</v>
      </c>
      <c r="D205" s="251">
        <v>45385.34452815041</v>
      </c>
      <c r="E205" s="247">
        <v>5.475848588746965</v>
      </c>
      <c r="F205" s="251">
        <v>21252.745260349464</v>
      </c>
      <c r="G205" s="247">
        <f t="shared" si="88"/>
        <v>6.0794506855180126</v>
      </c>
      <c r="H205" s="251">
        <v>24132.599267800946</v>
      </c>
      <c r="I205" s="247">
        <f t="shared" si="93"/>
        <v>5.0355528394740743</v>
      </c>
    </row>
    <row r="206" spans="2:9" x14ac:dyDescent="0.3">
      <c r="B206" s="28"/>
      <c r="C206" s="25" t="s">
        <v>190</v>
      </c>
      <c r="D206" s="253">
        <v>11599.415948976175</v>
      </c>
      <c r="E206" s="249">
        <v>1.3994968224840469</v>
      </c>
      <c r="F206" s="253">
        <v>5453.8881589399334</v>
      </c>
      <c r="G206" s="249">
        <f t="shared" si="88"/>
        <v>1.5601111150786335</v>
      </c>
      <c r="H206" s="253">
        <v>6145.5277900362416</v>
      </c>
      <c r="I206" s="249">
        <f t="shared" si="93"/>
        <v>1.2823372057760007</v>
      </c>
    </row>
    <row r="207" spans="2:9" x14ac:dyDescent="0.3">
      <c r="B207" s="24" t="s">
        <v>199</v>
      </c>
      <c r="C207" s="27" t="s">
        <v>192</v>
      </c>
      <c r="D207" s="254">
        <v>462486.63071939326</v>
      </c>
      <c r="E207" s="250">
        <v>55.80010002057675</v>
      </c>
      <c r="F207" s="254">
        <v>196579.13923715695</v>
      </c>
      <c r="G207" s="250">
        <f t="shared" si="88"/>
        <v>56.232414596504853</v>
      </c>
      <c r="H207" s="254">
        <v>265907.49148223631</v>
      </c>
      <c r="I207" s="250">
        <f t="shared" si="93"/>
        <v>55.484749442525228</v>
      </c>
    </row>
    <row r="208" spans="2:9" x14ac:dyDescent="0.3">
      <c r="B208" s="24"/>
      <c r="C208" s="9" t="s">
        <v>200</v>
      </c>
      <c r="D208" s="251">
        <v>30394.253115865449</v>
      </c>
      <c r="E208" s="247">
        <v>3.6671381425186369</v>
      </c>
      <c r="F208" s="251">
        <v>12731.121131950265</v>
      </c>
      <c r="G208" s="247">
        <f t="shared" si="88"/>
        <v>3.6417988426863221</v>
      </c>
      <c r="H208" s="251">
        <v>17663.131983915184</v>
      </c>
      <c r="I208" s="247">
        <f t="shared" si="93"/>
        <v>3.6856218192079697</v>
      </c>
    </row>
    <row r="209" spans="2:9" x14ac:dyDescent="0.3">
      <c r="B209" s="24"/>
      <c r="C209" s="9" t="s">
        <v>201</v>
      </c>
      <c r="D209" s="251">
        <v>86862.794250004197</v>
      </c>
      <c r="E209" s="247">
        <v>10.480200475584835</v>
      </c>
      <c r="F209" s="251">
        <v>37902.714484851989</v>
      </c>
      <c r="G209" s="247">
        <f t="shared" si="88"/>
        <v>10.842254999773047</v>
      </c>
      <c r="H209" s="251">
        <v>48960.079765152208</v>
      </c>
      <c r="I209" s="247">
        <f t="shared" si="93"/>
        <v>10.216100882727464</v>
      </c>
    </row>
    <row r="210" spans="2:9" x14ac:dyDescent="0.3">
      <c r="B210" s="24"/>
      <c r="C210" s="9" t="s">
        <v>202</v>
      </c>
      <c r="D210" s="251">
        <v>71310.848252005002</v>
      </c>
      <c r="E210" s="247">
        <v>8.6038216041499798</v>
      </c>
      <c r="F210" s="251">
        <v>30092.546663021712</v>
      </c>
      <c r="G210" s="247">
        <f t="shared" si="88"/>
        <v>8.6081186782399666</v>
      </c>
      <c r="H210" s="251">
        <v>41218.30158898329</v>
      </c>
      <c r="I210" s="247">
        <f t="shared" si="93"/>
        <v>8.6006871162708745</v>
      </c>
    </row>
    <row r="211" spans="2:9" x14ac:dyDescent="0.3">
      <c r="B211" s="28"/>
      <c r="C211" s="25" t="s">
        <v>203</v>
      </c>
      <c r="D211" s="253">
        <v>177773.07531371026</v>
      </c>
      <c r="E211" s="249">
        <v>21.448739757169797</v>
      </c>
      <c r="F211" s="253">
        <v>72277.793814058052</v>
      </c>
      <c r="G211" s="249">
        <f t="shared" si="88"/>
        <v>20.675412882795712</v>
      </c>
      <c r="H211" s="253">
        <v>105495.28149965221</v>
      </c>
      <c r="I211" s="249">
        <f t="shared" si="93"/>
        <v>22.012840739268526</v>
      </c>
    </row>
    <row r="212" spans="2:9" ht="27" x14ac:dyDescent="0.3">
      <c r="B212" s="27" t="s">
        <v>539</v>
      </c>
      <c r="C212" s="27" t="s">
        <v>192</v>
      </c>
      <c r="D212" s="254">
        <v>462486.63071939326</v>
      </c>
      <c r="E212" s="250">
        <v>55.80010002057675</v>
      </c>
      <c r="F212" s="254">
        <v>196579.13923715695</v>
      </c>
      <c r="G212" s="250">
        <f t="shared" si="88"/>
        <v>56.232414596504853</v>
      </c>
      <c r="H212" s="254">
        <v>265907.49148223631</v>
      </c>
      <c r="I212" s="250">
        <f t="shared" si="93"/>
        <v>55.484749442525228</v>
      </c>
    </row>
    <row r="213" spans="2:9" x14ac:dyDescent="0.3">
      <c r="B213" s="28"/>
      <c r="C213" s="25" t="s">
        <v>193</v>
      </c>
      <c r="D213" s="253">
        <v>366340.97093158483</v>
      </c>
      <c r="E213" s="249">
        <v>44.199899979423236</v>
      </c>
      <c r="F213" s="253">
        <v>153004.17609388183</v>
      </c>
      <c r="G213" s="249">
        <f t="shared" si="88"/>
        <v>43.767585403494991</v>
      </c>
      <c r="H213" s="253">
        <v>213336.794837703</v>
      </c>
      <c r="I213" s="249">
        <f t="shared" si="93"/>
        <v>44.515250557474857</v>
      </c>
    </row>
    <row r="217" spans="2:9" ht="16.5" customHeight="1" x14ac:dyDescent="0.3"/>
  </sheetData>
  <mergeCells count="58">
    <mergeCell ref="AB45:AD45"/>
    <mergeCell ref="S44:AD44"/>
    <mergeCell ref="C63:D63"/>
    <mergeCell ref="I63:J63"/>
    <mergeCell ref="K44:R44"/>
    <mergeCell ref="Q45:R45"/>
    <mergeCell ref="S45:U45"/>
    <mergeCell ref="V45:X45"/>
    <mergeCell ref="Y45:AA45"/>
    <mergeCell ref="K63:M63"/>
    <mergeCell ref="N63:P63"/>
    <mergeCell ref="Q63:S63"/>
    <mergeCell ref="T63:V63"/>
    <mergeCell ref="K62:V62"/>
    <mergeCell ref="O45:P45"/>
    <mergeCell ref="W62:AH62"/>
    <mergeCell ref="K26:M26"/>
    <mergeCell ref="B44:B46"/>
    <mergeCell ref="E45:F45"/>
    <mergeCell ref="G45:H45"/>
    <mergeCell ref="I45:J45"/>
    <mergeCell ref="K45:L45"/>
    <mergeCell ref="M45:N45"/>
    <mergeCell ref="B2:C2"/>
    <mergeCell ref="B82:C83"/>
    <mergeCell ref="B62:B64"/>
    <mergeCell ref="E63:F63"/>
    <mergeCell ref="G63:H63"/>
    <mergeCell ref="B8:B9"/>
    <mergeCell ref="E8:F8"/>
    <mergeCell ref="G8:I8"/>
    <mergeCell ref="C8:D8"/>
    <mergeCell ref="B26:B27"/>
    <mergeCell ref="C26:D26"/>
    <mergeCell ref="E26:G26"/>
    <mergeCell ref="H26:J26"/>
    <mergeCell ref="C62:J62"/>
    <mergeCell ref="C44:J44"/>
    <mergeCell ref="C45:D45"/>
    <mergeCell ref="D167:E167"/>
    <mergeCell ref="F167:G167"/>
    <mergeCell ref="H167:I167"/>
    <mergeCell ref="B91:C92"/>
    <mergeCell ref="B167:C168"/>
    <mergeCell ref="B149:C150"/>
    <mergeCell ref="B159:C160"/>
    <mergeCell ref="B127:C128"/>
    <mergeCell ref="B113:C114"/>
    <mergeCell ref="B102:C103"/>
    <mergeCell ref="W63:Y63"/>
    <mergeCell ref="Z63:AB63"/>
    <mergeCell ref="AC63:AE63"/>
    <mergeCell ref="AF63:AH63"/>
    <mergeCell ref="AI62:AT62"/>
    <mergeCell ref="AI63:AK63"/>
    <mergeCell ref="AL63:AN63"/>
    <mergeCell ref="AO63:AQ63"/>
    <mergeCell ref="AR63:AT63"/>
  </mergeCells>
  <phoneticPr fontId="2" type="noConversion"/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S253"/>
  <sheetViews>
    <sheetView showGridLines="0" topLeftCell="A34" zoomScaleNormal="100" workbookViewId="0">
      <selection activeCell="F4" sqref="F4"/>
    </sheetView>
  </sheetViews>
  <sheetFormatPr defaultColWidth="9" defaultRowHeight="16.5" x14ac:dyDescent="0.3"/>
  <cols>
    <col min="1" max="1" width="3.625" style="1" customWidth="1"/>
    <col min="2" max="2" width="9" style="1"/>
    <col min="3" max="3" width="13.125" style="1" customWidth="1"/>
    <col min="4" max="16" width="12.25" style="1" customWidth="1"/>
    <col min="17" max="17" width="10.375" style="1" customWidth="1"/>
    <col min="18" max="19" width="9.25" style="1" customWidth="1"/>
    <col min="20" max="16384" width="9" style="1"/>
  </cols>
  <sheetData>
    <row r="1" spans="2:19" x14ac:dyDescent="0.3">
      <c r="B1" s="2"/>
      <c r="C1" s="3"/>
      <c r="D1" s="4"/>
      <c r="E1" s="55"/>
      <c r="F1" s="5"/>
      <c r="G1" s="6"/>
      <c r="H1" s="3"/>
    </row>
    <row r="2" spans="2:19" ht="18" customHeight="1" x14ac:dyDescent="0.3">
      <c r="B2" s="33" t="s">
        <v>568</v>
      </c>
      <c r="G2"/>
      <c r="H2"/>
      <c r="I2"/>
      <c r="J2"/>
      <c r="K2"/>
      <c r="L2"/>
      <c r="M2"/>
      <c r="N2"/>
      <c r="O2"/>
      <c r="P2"/>
      <c r="Q2"/>
      <c r="R2"/>
      <c r="S2"/>
    </row>
    <row r="3" spans="2:19" ht="26.25" x14ac:dyDescent="0.3">
      <c r="B3" s="8"/>
      <c r="H3" s="11"/>
    </row>
    <row r="4" spans="2:19" x14ac:dyDescent="0.3">
      <c r="B4" s="17" t="s">
        <v>515</v>
      </c>
      <c r="H4" s="11"/>
    </row>
    <row r="5" spans="2:19" ht="14.25" customHeight="1" x14ac:dyDescent="0.3">
      <c r="B5" s="8"/>
      <c r="H5" s="11"/>
      <c r="K5" s="30"/>
      <c r="N5" s="30" t="s">
        <v>52</v>
      </c>
    </row>
    <row r="6" spans="2:19" ht="24.75" customHeight="1" x14ac:dyDescent="0.3">
      <c r="B6" s="209"/>
      <c r="C6" s="209"/>
      <c r="D6" s="302" t="s">
        <v>531</v>
      </c>
      <c r="E6" s="302"/>
      <c r="F6" s="302"/>
      <c r="G6" s="302"/>
      <c r="H6" s="302"/>
      <c r="I6" s="302"/>
      <c r="J6" s="302"/>
      <c r="K6" s="302"/>
      <c r="L6" s="302"/>
      <c r="M6" s="302"/>
      <c r="N6" s="302"/>
    </row>
    <row r="7" spans="2:19" ht="24.75" customHeight="1" x14ac:dyDescent="0.3">
      <c r="B7" s="235"/>
      <c r="C7" s="235"/>
      <c r="D7" s="210" t="s">
        <v>264</v>
      </c>
      <c r="E7" s="210" t="s">
        <v>266</v>
      </c>
      <c r="F7" s="210" t="s">
        <v>22</v>
      </c>
      <c r="G7" s="210" t="s">
        <v>268</v>
      </c>
      <c r="H7" s="210" t="s">
        <v>272</v>
      </c>
      <c r="I7" s="210" t="s">
        <v>270</v>
      </c>
      <c r="J7" s="210" t="s">
        <v>273</v>
      </c>
      <c r="K7" s="210" t="s">
        <v>274</v>
      </c>
      <c r="L7" s="210" t="s">
        <v>23</v>
      </c>
      <c r="M7" s="210" t="s">
        <v>275</v>
      </c>
      <c r="N7" s="210" t="s">
        <v>276</v>
      </c>
    </row>
    <row r="8" spans="2:19" ht="24.75" customHeight="1" x14ac:dyDescent="0.3">
      <c r="B8" s="292" t="s">
        <v>62</v>
      </c>
      <c r="C8" s="292"/>
      <c r="D8" s="79">
        <v>10.894002162739531</v>
      </c>
      <c r="E8" s="79">
        <v>12.091865384814271</v>
      </c>
      <c r="F8" s="79">
        <v>65.408085307243368</v>
      </c>
      <c r="G8" s="79">
        <v>33.014609647155538</v>
      </c>
      <c r="H8" s="79">
        <v>9.7161202375158755</v>
      </c>
      <c r="I8" s="79">
        <v>23.162215628907504</v>
      </c>
      <c r="J8" s="79">
        <v>20.574017936084221</v>
      </c>
      <c r="K8" s="79">
        <v>7.865331614419607</v>
      </c>
      <c r="L8" s="79">
        <v>49.951165031409417</v>
      </c>
      <c r="M8" s="79">
        <v>16.849979492288313</v>
      </c>
      <c r="N8" s="79">
        <v>13.698129559357437</v>
      </c>
    </row>
    <row r="9" spans="2:19" x14ac:dyDescent="0.3">
      <c r="B9" s="296" t="s">
        <v>5</v>
      </c>
      <c r="C9" s="13" t="s">
        <v>0</v>
      </c>
      <c r="D9" s="80">
        <v>17.643839332803516</v>
      </c>
      <c r="E9" s="80">
        <v>3.8166668625157456</v>
      </c>
      <c r="F9" s="80">
        <v>60.381358819088717</v>
      </c>
      <c r="G9" s="80">
        <v>38.801481416850663</v>
      </c>
      <c r="H9" s="80">
        <v>11.467101301035791</v>
      </c>
      <c r="I9" s="80">
        <v>27.618637465966007</v>
      </c>
      <c r="J9" s="80">
        <v>15.768596629226211</v>
      </c>
      <c r="K9" s="80">
        <v>7.4761220995830158</v>
      </c>
      <c r="L9" s="80">
        <v>50.777818563774154</v>
      </c>
      <c r="M9" s="80">
        <v>12.621750863194592</v>
      </c>
      <c r="N9" s="80">
        <v>10.693976644507156</v>
      </c>
    </row>
    <row r="10" spans="2:19" x14ac:dyDescent="0.3">
      <c r="B10" s="295"/>
      <c r="C10" s="12" t="s">
        <v>1</v>
      </c>
      <c r="D10" s="81">
        <v>4.3098013868194274</v>
      </c>
      <c r="E10" s="81">
        <v>20.163996187177062</v>
      </c>
      <c r="F10" s="81">
        <v>70.311459360536702</v>
      </c>
      <c r="G10" s="81">
        <v>27.369743758365349</v>
      </c>
      <c r="H10" s="81">
        <v>8.0081070534080627</v>
      </c>
      <c r="I10" s="81">
        <v>18.815151340079261</v>
      </c>
      <c r="J10" s="81">
        <v>25.261517486081829</v>
      </c>
      <c r="K10" s="81">
        <v>8.2449901935845968</v>
      </c>
      <c r="L10" s="81">
        <v>49.144797012139151</v>
      </c>
      <c r="M10" s="81">
        <v>20.97445027862279</v>
      </c>
      <c r="N10" s="81">
        <v>16.628562613455731</v>
      </c>
    </row>
    <row r="11" spans="2:19" x14ac:dyDescent="0.3">
      <c r="B11" s="296" t="s">
        <v>4</v>
      </c>
      <c r="C11" s="9" t="s">
        <v>175</v>
      </c>
      <c r="D11" s="79">
        <v>11.173569418835424</v>
      </c>
      <c r="E11" s="79">
        <v>8.9845846358312631</v>
      </c>
      <c r="F11" s="79">
        <v>68.539209780031172</v>
      </c>
      <c r="G11" s="79">
        <v>27.731141493498047</v>
      </c>
      <c r="H11" s="79">
        <v>4.6728263134529824</v>
      </c>
      <c r="I11" s="79">
        <v>14.302026797709052</v>
      </c>
      <c r="J11" s="79">
        <v>13.076204567239452</v>
      </c>
      <c r="K11" s="79">
        <v>0.66315233652559991</v>
      </c>
      <c r="L11" s="79">
        <v>42.099900524186509</v>
      </c>
      <c r="M11" s="79">
        <v>23.663774148405491</v>
      </c>
      <c r="N11" s="79">
        <v>17.42388550027318</v>
      </c>
    </row>
    <row r="12" spans="2:19" x14ac:dyDescent="0.3">
      <c r="B12" s="292"/>
      <c r="C12" s="9" t="s">
        <v>176</v>
      </c>
      <c r="D12" s="79">
        <v>13.833393420473856</v>
      </c>
      <c r="E12" s="79">
        <v>14.199747444046263</v>
      </c>
      <c r="F12" s="79">
        <v>70.43078213940359</v>
      </c>
      <c r="G12" s="79">
        <v>32.254104568058409</v>
      </c>
      <c r="H12" s="79">
        <v>8.734341003584527</v>
      </c>
      <c r="I12" s="79">
        <v>17.153220976223345</v>
      </c>
      <c r="J12" s="79">
        <v>19.845532164464995</v>
      </c>
      <c r="K12" s="79">
        <v>2.4865056235015475</v>
      </c>
      <c r="L12" s="79">
        <v>47.504102919747901</v>
      </c>
      <c r="M12" s="79">
        <v>23.52365931260924</v>
      </c>
      <c r="N12" s="79">
        <v>15.800031510440377</v>
      </c>
    </row>
    <row r="13" spans="2:19" x14ac:dyDescent="0.3">
      <c r="B13" s="292"/>
      <c r="C13" s="9" t="s">
        <v>177</v>
      </c>
      <c r="D13" s="79">
        <v>13.092487447578533</v>
      </c>
      <c r="E13" s="79">
        <v>11.754118487038664</v>
      </c>
      <c r="F13" s="79">
        <v>71.326631350040373</v>
      </c>
      <c r="G13" s="79">
        <v>34.3403687216626</v>
      </c>
      <c r="H13" s="79">
        <v>8.7081680738911462</v>
      </c>
      <c r="I13" s="79">
        <v>18.210382618763489</v>
      </c>
      <c r="J13" s="79">
        <v>22.923700498209588</v>
      </c>
      <c r="K13" s="79">
        <v>14.676967899083465</v>
      </c>
      <c r="L13" s="79">
        <v>47.615242529473342</v>
      </c>
      <c r="M13" s="79">
        <v>16.467115524889962</v>
      </c>
      <c r="N13" s="79">
        <v>14.98999012677189</v>
      </c>
    </row>
    <row r="14" spans="2:19" x14ac:dyDescent="0.3">
      <c r="B14" s="292"/>
      <c r="C14" s="9" t="s">
        <v>178</v>
      </c>
      <c r="D14" s="79">
        <v>9.2612588480685503</v>
      </c>
      <c r="E14" s="79">
        <v>12.053489799095972</v>
      </c>
      <c r="F14" s="79">
        <v>67.645377659608954</v>
      </c>
      <c r="G14" s="79">
        <v>37.227939546840936</v>
      </c>
      <c r="H14" s="79">
        <v>9.0670246679342146</v>
      </c>
      <c r="I14" s="79">
        <v>22.502747791652205</v>
      </c>
      <c r="J14" s="79">
        <v>22.002416761537226</v>
      </c>
      <c r="K14" s="79">
        <v>17.727374075723034</v>
      </c>
      <c r="L14" s="79">
        <v>50.20642166872431</v>
      </c>
      <c r="M14" s="79">
        <v>16.604449276235748</v>
      </c>
      <c r="N14" s="79">
        <v>13.590038749482398</v>
      </c>
    </row>
    <row r="15" spans="2:19" x14ac:dyDescent="0.3">
      <c r="B15" s="292"/>
      <c r="C15" s="9" t="s">
        <v>179</v>
      </c>
      <c r="D15" s="79">
        <v>9.7789143251583912</v>
      </c>
      <c r="E15" s="79">
        <v>11.911865059323858</v>
      </c>
      <c r="F15" s="79">
        <v>63.05882129755048</v>
      </c>
      <c r="G15" s="79">
        <v>33.86146791512337</v>
      </c>
      <c r="H15" s="79">
        <v>11.147775085646186</v>
      </c>
      <c r="I15" s="79">
        <v>27.466192336721679</v>
      </c>
      <c r="J15" s="79">
        <v>21.21314726001776</v>
      </c>
      <c r="K15" s="79">
        <v>3.1392218730926769</v>
      </c>
      <c r="L15" s="79">
        <v>53.274588309333893</v>
      </c>
      <c r="M15" s="79">
        <v>15.371854067857807</v>
      </c>
      <c r="N15" s="79">
        <v>12.785620969434412</v>
      </c>
    </row>
    <row r="16" spans="2:19" x14ac:dyDescent="0.3">
      <c r="B16" s="298"/>
      <c r="C16" s="12" t="s">
        <v>180</v>
      </c>
      <c r="D16" s="81">
        <v>9.6481300625780371</v>
      </c>
      <c r="E16" s="81">
        <v>11.704379149854976</v>
      </c>
      <c r="F16" s="81">
        <v>55.972264944685854</v>
      </c>
      <c r="G16" s="81">
        <v>28.227336789636809</v>
      </c>
      <c r="H16" s="81">
        <v>11.548017165268156</v>
      </c>
      <c r="I16" s="81">
        <v>29.904416154010566</v>
      </c>
      <c r="J16" s="81">
        <v>18.581589160501633</v>
      </c>
      <c r="K16" s="81">
        <v>2.8944034441384985</v>
      </c>
      <c r="L16" s="81">
        <v>51.56889047033463</v>
      </c>
      <c r="M16" s="81">
        <v>12.356469808795024</v>
      </c>
      <c r="N16" s="81">
        <v>11.243787297652776</v>
      </c>
    </row>
    <row r="17" spans="2:14" x14ac:dyDescent="0.3">
      <c r="B17" s="292" t="s">
        <v>223</v>
      </c>
      <c r="C17" s="9" t="s">
        <v>210</v>
      </c>
      <c r="D17" s="79">
        <v>21.449336295409704</v>
      </c>
      <c r="E17" s="79">
        <v>1.1695526338255704</v>
      </c>
      <c r="F17" s="79">
        <v>62.34783411511421</v>
      </c>
      <c r="G17" s="79">
        <v>33.693107356237725</v>
      </c>
      <c r="H17" s="79">
        <v>4.9921459265737314</v>
      </c>
      <c r="I17" s="79">
        <v>16.259258204071916</v>
      </c>
      <c r="J17" s="79">
        <v>8.5243024636485334</v>
      </c>
      <c r="K17" s="79">
        <v>0</v>
      </c>
      <c r="L17" s="79">
        <v>42.247704238522502</v>
      </c>
      <c r="M17" s="79">
        <v>15.761277631230971</v>
      </c>
      <c r="N17" s="79">
        <v>12.603357993143497</v>
      </c>
    </row>
    <row r="18" spans="2:14" x14ac:dyDescent="0.3">
      <c r="B18" s="292"/>
      <c r="C18" s="9" t="s">
        <v>211</v>
      </c>
      <c r="D18" s="79">
        <v>24.951915454529928</v>
      </c>
      <c r="E18" s="79">
        <v>3.0165532728346083</v>
      </c>
      <c r="F18" s="79">
        <v>66.455161112191291</v>
      </c>
      <c r="G18" s="79">
        <v>38.181802340831538</v>
      </c>
      <c r="H18" s="79">
        <v>10.429516890767221</v>
      </c>
      <c r="I18" s="79">
        <v>19.216486816420439</v>
      </c>
      <c r="J18" s="79">
        <v>15.648968342827002</v>
      </c>
      <c r="K18" s="79">
        <v>2.4373634751324484</v>
      </c>
      <c r="L18" s="79">
        <v>49.580200142033419</v>
      </c>
      <c r="M18" s="79">
        <v>16.369108017488642</v>
      </c>
      <c r="N18" s="79">
        <v>10.846949526422419</v>
      </c>
    </row>
    <row r="19" spans="2:14" x14ac:dyDescent="0.3">
      <c r="B19" s="292"/>
      <c r="C19" s="9" t="s">
        <v>212</v>
      </c>
      <c r="D19" s="79">
        <v>21.852700411446214</v>
      </c>
      <c r="E19" s="79">
        <v>2.5410187905816941</v>
      </c>
      <c r="F19" s="79">
        <v>68.378599057710034</v>
      </c>
      <c r="G19" s="79">
        <v>39.789171276648283</v>
      </c>
      <c r="H19" s="79">
        <v>10.542486907366802</v>
      </c>
      <c r="I19" s="79">
        <v>22.673733941307162</v>
      </c>
      <c r="J19" s="79">
        <v>18.755619114085114</v>
      </c>
      <c r="K19" s="79">
        <v>13.655654980003481</v>
      </c>
      <c r="L19" s="79">
        <v>48.300144008212698</v>
      </c>
      <c r="M19" s="79">
        <v>12.246119736264756</v>
      </c>
      <c r="N19" s="79">
        <v>10.614488292748035</v>
      </c>
    </row>
    <row r="20" spans="2:14" x14ac:dyDescent="0.3">
      <c r="B20" s="292"/>
      <c r="C20" s="9" t="s">
        <v>213</v>
      </c>
      <c r="D20" s="79">
        <v>15.035827556888831</v>
      </c>
      <c r="E20" s="79">
        <v>3.0928630041969005</v>
      </c>
      <c r="F20" s="79">
        <v>62.533392910583238</v>
      </c>
      <c r="G20" s="79">
        <v>42.144546748916234</v>
      </c>
      <c r="H20" s="79">
        <v>11.054095139185852</v>
      </c>
      <c r="I20" s="79">
        <v>26.867160615713026</v>
      </c>
      <c r="J20" s="79">
        <v>15.146872609352785</v>
      </c>
      <c r="K20" s="79">
        <v>17.088485115457278</v>
      </c>
      <c r="L20" s="79">
        <v>51.631081819712179</v>
      </c>
      <c r="M20" s="79">
        <v>12.209846866795997</v>
      </c>
      <c r="N20" s="79">
        <v>10.637763901352464</v>
      </c>
    </row>
    <row r="21" spans="2:14" ht="24" customHeight="1" x14ac:dyDescent="0.3">
      <c r="B21" s="292"/>
      <c r="C21" s="9" t="s">
        <v>214</v>
      </c>
      <c r="D21" s="79">
        <v>14.827006197133183</v>
      </c>
      <c r="E21" s="79">
        <v>6.0529970127205219</v>
      </c>
      <c r="F21" s="79">
        <v>56.238630040952756</v>
      </c>
      <c r="G21" s="79">
        <v>40.011505944747398</v>
      </c>
      <c r="H21" s="79">
        <v>13.073826631842241</v>
      </c>
      <c r="I21" s="79">
        <v>32.484563569615126</v>
      </c>
      <c r="J21" s="79">
        <v>16.697814079248516</v>
      </c>
      <c r="K21" s="79">
        <v>4.1252534376020575</v>
      </c>
      <c r="L21" s="79">
        <v>54.17043224367346</v>
      </c>
      <c r="M21" s="79">
        <v>11.249802597025194</v>
      </c>
      <c r="N21" s="79">
        <v>11.050862572581503</v>
      </c>
    </row>
    <row r="22" spans="2:14" x14ac:dyDescent="0.3">
      <c r="B22" s="292"/>
      <c r="C22" s="12" t="s">
        <v>215</v>
      </c>
      <c r="D22" s="81">
        <v>12.895242316687744</v>
      </c>
      <c r="E22" s="81">
        <v>4.4311269639927611</v>
      </c>
      <c r="F22" s="81">
        <v>49.820394045049525</v>
      </c>
      <c r="G22" s="81">
        <v>34.407198416602078</v>
      </c>
      <c r="H22" s="81">
        <v>13.334228844356497</v>
      </c>
      <c r="I22" s="81">
        <v>37.159545453662673</v>
      </c>
      <c r="J22" s="81">
        <v>14.419674817359422</v>
      </c>
      <c r="K22" s="81">
        <v>1.0713032801599012</v>
      </c>
      <c r="L22" s="81">
        <v>51.132782814677782</v>
      </c>
      <c r="M22" s="81">
        <v>11.148213581538444</v>
      </c>
      <c r="N22" s="81">
        <v>9.7849337126988143</v>
      </c>
    </row>
    <row r="23" spans="2:14" x14ac:dyDescent="0.3">
      <c r="B23" s="292"/>
      <c r="C23" s="9" t="s">
        <v>216</v>
      </c>
      <c r="D23" s="79">
        <v>0.7577124633229485</v>
      </c>
      <c r="E23" s="79">
        <v>16.906159386735016</v>
      </c>
      <c r="F23" s="79">
        <v>74.814992800238869</v>
      </c>
      <c r="G23" s="79">
        <v>21.687895831559967</v>
      </c>
      <c r="H23" s="79">
        <v>4.3491533989829678</v>
      </c>
      <c r="I23" s="79">
        <v>12.318112350993985</v>
      </c>
      <c r="J23" s="79">
        <v>17.690162995450287</v>
      </c>
      <c r="K23" s="79">
        <v>1.3353454642921667</v>
      </c>
      <c r="L23" s="79">
        <v>41.950081793914805</v>
      </c>
      <c r="M23" s="79">
        <v>31.674005822887281</v>
      </c>
      <c r="N23" s="79">
        <v>22.310131516503873</v>
      </c>
    </row>
    <row r="24" spans="2:14" x14ac:dyDescent="0.3">
      <c r="B24" s="292"/>
      <c r="C24" s="9" t="s">
        <v>217</v>
      </c>
      <c r="D24" s="79">
        <v>2.3535626459638959</v>
      </c>
      <c r="E24" s="79">
        <v>25.746351948742486</v>
      </c>
      <c r="F24" s="79">
        <v>74.535595393915784</v>
      </c>
      <c r="G24" s="79">
        <v>26.13377966287397</v>
      </c>
      <c r="H24" s="79">
        <v>6.9840784904303401</v>
      </c>
      <c r="I24" s="79">
        <v>15.022907017610898</v>
      </c>
      <c r="J24" s="79">
        <v>24.178467995259105</v>
      </c>
      <c r="K24" s="79">
        <v>2.5372447006419407</v>
      </c>
      <c r="L24" s="79">
        <v>45.360540609013974</v>
      </c>
      <c r="M24" s="79">
        <v>30.910705709959718</v>
      </c>
      <c r="N24" s="79">
        <v>20.91406940276422</v>
      </c>
    </row>
    <row r="25" spans="2:14" ht="24" customHeight="1" x14ac:dyDescent="0.3">
      <c r="B25" s="292"/>
      <c r="C25" s="9" t="s">
        <v>218</v>
      </c>
      <c r="D25" s="79">
        <v>4.0675242505141895</v>
      </c>
      <c r="E25" s="79">
        <v>21.245655511806959</v>
      </c>
      <c r="F25" s="79">
        <v>74.363758763695856</v>
      </c>
      <c r="G25" s="79">
        <v>28.726893029959051</v>
      </c>
      <c r="H25" s="79">
        <v>6.8184126498983932</v>
      </c>
      <c r="I25" s="79">
        <v>13.61214036281922</v>
      </c>
      <c r="J25" s="79">
        <v>27.217749198765457</v>
      </c>
      <c r="K25" s="79">
        <v>15.729146829595569</v>
      </c>
      <c r="L25" s="79">
        <v>46.909642030405614</v>
      </c>
      <c r="M25" s="79">
        <v>20.815677803504222</v>
      </c>
      <c r="N25" s="79">
        <v>19.497727916209719</v>
      </c>
    </row>
    <row r="26" spans="2:14" x14ac:dyDescent="0.3">
      <c r="B26" s="292"/>
      <c r="C26" s="9" t="s">
        <v>219</v>
      </c>
      <c r="D26" s="79">
        <v>3.5475540424018535</v>
      </c>
      <c r="E26" s="79">
        <v>20.919671666773503</v>
      </c>
      <c r="F26" s="79">
        <v>72.703482134559934</v>
      </c>
      <c r="G26" s="79">
        <v>32.363153341221171</v>
      </c>
      <c r="H26" s="79">
        <v>7.10089790188725</v>
      </c>
      <c r="I26" s="79">
        <v>18.184335840183135</v>
      </c>
      <c r="J26" s="79">
        <v>28.785703538949249</v>
      </c>
      <c r="K26" s="79">
        <v>18.35952915199432</v>
      </c>
      <c r="L26" s="79">
        <v>48.796777423135723</v>
      </c>
      <c r="M26" s="79">
        <v>20.952732615120834</v>
      </c>
      <c r="N26" s="79">
        <v>16.511196646806102</v>
      </c>
    </row>
    <row r="27" spans="2:14" x14ac:dyDescent="0.3">
      <c r="B27" s="292"/>
      <c r="C27" s="9" t="s">
        <v>220</v>
      </c>
      <c r="D27" s="79">
        <v>4.8870485755505646</v>
      </c>
      <c r="E27" s="79">
        <v>17.589415439848498</v>
      </c>
      <c r="F27" s="79">
        <v>69.667944281058993</v>
      </c>
      <c r="G27" s="79">
        <v>27.901758551884058</v>
      </c>
      <c r="H27" s="79">
        <v>9.2813301338175247</v>
      </c>
      <c r="I27" s="79">
        <v>22.603127444956378</v>
      </c>
      <c r="J27" s="79">
        <v>25.588741899589124</v>
      </c>
      <c r="K27" s="79">
        <v>2.1837055788599917</v>
      </c>
      <c r="L27" s="79">
        <v>52.406468558242857</v>
      </c>
      <c r="M27" s="79">
        <v>19.36633810651724</v>
      </c>
      <c r="N27" s="79">
        <v>14.46669282799623</v>
      </c>
    </row>
    <row r="28" spans="2:14" x14ac:dyDescent="0.3">
      <c r="B28" s="295"/>
      <c r="C28" s="9" t="s">
        <v>221</v>
      </c>
      <c r="D28" s="79">
        <v>6.8064222313926308</v>
      </c>
      <c r="E28" s="79">
        <v>18.06956029460633</v>
      </c>
      <c r="F28" s="79">
        <v>61.356070105659896</v>
      </c>
      <c r="G28" s="79">
        <v>22.819035564829015</v>
      </c>
      <c r="H28" s="79">
        <v>9.9848153664403085</v>
      </c>
      <c r="I28" s="79">
        <v>23.55509523940691</v>
      </c>
      <c r="J28" s="79">
        <v>22.223885347416786</v>
      </c>
      <c r="K28" s="79">
        <v>4.4898881725941218</v>
      </c>
      <c r="L28" s="79">
        <v>51.950549755057985</v>
      </c>
      <c r="M28" s="79">
        <v>13.41387433145284</v>
      </c>
      <c r="N28" s="79">
        <v>12.520501908202272</v>
      </c>
    </row>
    <row r="29" spans="2:14" x14ac:dyDescent="0.3">
      <c r="B29" s="291" t="s">
        <v>222</v>
      </c>
      <c r="C29" s="13" t="s">
        <v>195</v>
      </c>
      <c r="D29" s="80">
        <v>9.6790420410095326</v>
      </c>
      <c r="E29" s="80">
        <v>12.069095973905108</v>
      </c>
      <c r="F29" s="80">
        <v>63.819196154070823</v>
      </c>
      <c r="G29" s="80">
        <v>28.788557079533007</v>
      </c>
      <c r="H29" s="80">
        <v>6.4688861351364189</v>
      </c>
      <c r="I29" s="80">
        <v>18.317839747407977</v>
      </c>
      <c r="J29" s="80">
        <v>17.834252937994719</v>
      </c>
      <c r="K29" s="80">
        <v>3.3677676166717117</v>
      </c>
      <c r="L29" s="80">
        <v>47.552951927995885</v>
      </c>
      <c r="M29" s="80">
        <v>16.536074411217854</v>
      </c>
      <c r="N29" s="80">
        <v>15.826124582686951</v>
      </c>
    </row>
    <row r="30" spans="2:14" x14ac:dyDescent="0.3">
      <c r="B30" s="294"/>
      <c r="C30" s="9" t="s">
        <v>196</v>
      </c>
      <c r="D30" s="79">
        <v>10.123511230591509</v>
      </c>
      <c r="E30" s="79">
        <v>11.433713243074067</v>
      </c>
      <c r="F30" s="79">
        <v>63.899211743056291</v>
      </c>
      <c r="G30" s="79">
        <v>33.012718126696321</v>
      </c>
      <c r="H30" s="79">
        <v>7.8928453851612055</v>
      </c>
      <c r="I30" s="79">
        <v>23.07996049152764</v>
      </c>
      <c r="J30" s="79">
        <v>19.338752267578368</v>
      </c>
      <c r="K30" s="79">
        <v>8.397082597157933</v>
      </c>
      <c r="L30" s="79">
        <v>48.107235450054695</v>
      </c>
      <c r="M30" s="79">
        <v>15.450838556975214</v>
      </c>
      <c r="N30" s="79">
        <v>13.321723330292516</v>
      </c>
    </row>
    <row r="31" spans="2:14" x14ac:dyDescent="0.3">
      <c r="B31" s="292"/>
      <c r="C31" s="9" t="s">
        <v>197</v>
      </c>
      <c r="D31" s="79">
        <v>12.112707499757278</v>
      </c>
      <c r="E31" s="79">
        <v>11.371713751475356</v>
      </c>
      <c r="F31" s="79">
        <v>67.903188491634978</v>
      </c>
      <c r="G31" s="79">
        <v>33.25947717521602</v>
      </c>
      <c r="H31" s="79">
        <v>11.094070176119134</v>
      </c>
      <c r="I31" s="79">
        <v>25.30906624117862</v>
      </c>
      <c r="J31" s="79">
        <v>22.785600909956646</v>
      </c>
      <c r="K31" s="79">
        <v>11.261336096381559</v>
      </c>
      <c r="L31" s="79">
        <v>50.514217943388886</v>
      </c>
      <c r="M31" s="79">
        <v>17.683143260372432</v>
      </c>
      <c r="N31" s="79">
        <v>11.878662778960297</v>
      </c>
    </row>
    <row r="32" spans="2:14" x14ac:dyDescent="0.3">
      <c r="B32" s="295"/>
      <c r="C32" s="12" t="s">
        <v>198</v>
      </c>
      <c r="D32" s="81">
        <v>11.963623695507259</v>
      </c>
      <c r="E32" s="81">
        <v>13.546116216397996</v>
      </c>
      <c r="F32" s="81">
        <v>66.623285426101447</v>
      </c>
      <c r="G32" s="81">
        <v>36.994337999688838</v>
      </c>
      <c r="H32" s="81">
        <v>13.939828231692525</v>
      </c>
      <c r="I32" s="81">
        <v>26.181581145767556</v>
      </c>
      <c r="J32" s="81">
        <v>22.848028654953886</v>
      </c>
      <c r="K32" s="81">
        <v>8.6976996682611407</v>
      </c>
      <c r="L32" s="81">
        <v>54.073718236715827</v>
      </c>
      <c r="M32" s="81">
        <v>18.127497550315368</v>
      </c>
      <c r="N32" s="81">
        <v>13.642669546276959</v>
      </c>
    </row>
    <row r="33" spans="2:15" x14ac:dyDescent="0.3">
      <c r="B33" s="296" t="s">
        <v>199</v>
      </c>
      <c r="C33" s="13" t="s">
        <v>192</v>
      </c>
      <c r="D33" s="80">
        <v>11.61631948302422</v>
      </c>
      <c r="E33" s="80">
        <v>12.393554217222972</v>
      </c>
      <c r="F33" s="80">
        <v>67.277999365445822</v>
      </c>
      <c r="G33" s="80">
        <v>34.112682159452703</v>
      </c>
      <c r="H33" s="80">
        <v>10.54861097017527</v>
      </c>
      <c r="I33" s="80">
        <v>23.324251779301971</v>
      </c>
      <c r="J33" s="80">
        <v>22.481158546885794</v>
      </c>
      <c r="K33" s="80">
        <v>8.2359462198970537</v>
      </c>
      <c r="L33" s="80">
        <v>50.846976673316732</v>
      </c>
      <c r="M33" s="80">
        <v>17.57754488057088</v>
      </c>
      <c r="N33" s="80">
        <v>13.665980814268236</v>
      </c>
    </row>
    <row r="34" spans="2:15" x14ac:dyDescent="0.3">
      <c r="B34" s="292"/>
      <c r="C34" s="9" t="s">
        <v>200</v>
      </c>
      <c r="D34" s="79">
        <v>10.044922972158943</v>
      </c>
      <c r="E34" s="79">
        <v>7.5022529257789241</v>
      </c>
      <c r="F34" s="79">
        <v>63.771166516055786</v>
      </c>
      <c r="G34" s="79">
        <v>30.460876315532627</v>
      </c>
      <c r="H34" s="79">
        <v>9.8961654819641858</v>
      </c>
      <c r="I34" s="79">
        <v>23.720911758536751</v>
      </c>
      <c r="J34" s="79">
        <v>21.49453996508106</v>
      </c>
      <c r="K34" s="79">
        <v>7.5420575885238819</v>
      </c>
      <c r="L34" s="79">
        <v>47.391685228800327</v>
      </c>
      <c r="M34" s="79">
        <v>13.828418362157171</v>
      </c>
      <c r="N34" s="79">
        <v>14.796654233775659</v>
      </c>
    </row>
    <row r="35" spans="2:15" x14ac:dyDescent="0.3">
      <c r="B35" s="292"/>
      <c r="C35" s="9" t="s">
        <v>201</v>
      </c>
      <c r="D35" s="79">
        <v>10.847451414731125</v>
      </c>
      <c r="E35" s="79">
        <v>12.722458014728971</v>
      </c>
      <c r="F35" s="79">
        <v>61.774306550960745</v>
      </c>
      <c r="G35" s="79">
        <v>31.913317566208587</v>
      </c>
      <c r="H35" s="79">
        <v>8.699103748136757</v>
      </c>
      <c r="I35" s="79">
        <v>23.600331363429657</v>
      </c>
      <c r="J35" s="79">
        <v>20.337777559071906</v>
      </c>
      <c r="K35" s="79">
        <v>8.3346590727376348</v>
      </c>
      <c r="L35" s="79">
        <v>48.68575516014635</v>
      </c>
      <c r="M35" s="79">
        <v>16.911503785779956</v>
      </c>
      <c r="N35" s="79">
        <v>12.8303929016244</v>
      </c>
    </row>
    <row r="36" spans="2:15" x14ac:dyDescent="0.3">
      <c r="B36" s="292"/>
      <c r="C36" s="9" t="s">
        <v>202</v>
      </c>
      <c r="D36" s="79">
        <v>10.600105304099095</v>
      </c>
      <c r="E36" s="79">
        <v>14.396003999220582</v>
      </c>
      <c r="F36" s="79">
        <v>59.687537078269301</v>
      </c>
      <c r="G36" s="79">
        <v>29.754940815072821</v>
      </c>
      <c r="H36" s="79">
        <v>9.2209516584478557</v>
      </c>
      <c r="I36" s="79">
        <v>26.037707423392586</v>
      </c>
      <c r="J36" s="79">
        <v>17.070250162413178</v>
      </c>
      <c r="K36" s="79">
        <v>8.1996610828439174</v>
      </c>
      <c r="L36" s="79">
        <v>47.00148363417437</v>
      </c>
      <c r="M36" s="79">
        <v>15.832262537874806</v>
      </c>
      <c r="N36" s="79">
        <v>12.153725661700719</v>
      </c>
    </row>
    <row r="37" spans="2:15" x14ac:dyDescent="0.3">
      <c r="B37" s="295"/>
      <c r="C37" s="12" t="s">
        <v>203</v>
      </c>
      <c r="D37" s="81">
        <v>9.5603761765583375</v>
      </c>
      <c r="E37" s="81">
        <v>11.051846737277463</v>
      </c>
      <c r="F37" s="81">
        <v>65.317663565861693</v>
      </c>
      <c r="G37" s="81">
        <v>32.733666023570699</v>
      </c>
      <c r="H37" s="81">
        <v>8.4720081065512449</v>
      </c>
      <c r="I37" s="81">
        <v>21.417909957515672</v>
      </c>
      <c r="J37" s="81">
        <v>17.593196262362255</v>
      </c>
      <c r="K37" s="81">
        <v>6.7561920488845697</v>
      </c>
      <c r="L37" s="81">
        <v>50.078916320284662</v>
      </c>
      <c r="M37" s="81">
        <v>16.104199180319828</v>
      </c>
      <c r="N37" s="81">
        <v>14.556098989699793</v>
      </c>
    </row>
    <row r="38" spans="2:15" x14ac:dyDescent="0.3">
      <c r="B38" s="291" t="s">
        <v>204</v>
      </c>
      <c r="C38" s="13" t="s">
        <v>192</v>
      </c>
      <c r="D38" s="80">
        <v>11.61631948302422</v>
      </c>
      <c r="E38" s="80">
        <v>12.393554217222972</v>
      </c>
      <c r="F38" s="80">
        <v>67.277999365445822</v>
      </c>
      <c r="G38" s="80">
        <v>34.112682159452703</v>
      </c>
      <c r="H38" s="80">
        <v>10.54861097017527</v>
      </c>
      <c r="I38" s="80">
        <v>23.324251779301971</v>
      </c>
      <c r="J38" s="80">
        <v>22.481158546885794</v>
      </c>
      <c r="K38" s="80">
        <v>8.2359462198970537</v>
      </c>
      <c r="L38" s="80">
        <v>50.846976673316732</v>
      </c>
      <c r="M38" s="80">
        <v>17.57754488057088</v>
      </c>
      <c r="N38" s="80">
        <v>13.665980814268236</v>
      </c>
    </row>
    <row r="39" spans="2:15" x14ac:dyDescent="0.3">
      <c r="B39" s="295"/>
      <c r="C39" s="12" t="s">
        <v>193</v>
      </c>
      <c r="D39" s="81">
        <v>10.088195218820706</v>
      </c>
      <c r="E39" s="81">
        <v>11.755305608063935</v>
      </c>
      <c r="F39" s="81">
        <v>63.322035741054627</v>
      </c>
      <c r="G39" s="81">
        <v>31.789615547627154</v>
      </c>
      <c r="H39" s="81">
        <v>8.7874053994713446</v>
      </c>
      <c r="I39" s="81">
        <v>22.981450400818186</v>
      </c>
      <c r="J39" s="81">
        <v>18.446438956519167</v>
      </c>
      <c r="K39" s="81">
        <v>7.4518792241408134</v>
      </c>
      <c r="L39" s="81">
        <v>48.951810286311371</v>
      </c>
      <c r="M39" s="81">
        <v>16.038317878245834</v>
      </c>
      <c r="N39" s="81">
        <v>13.73399424279137</v>
      </c>
    </row>
    <row r="40" spans="2:15" x14ac:dyDescent="0.3">
      <c r="B40" s="291" t="s">
        <v>209</v>
      </c>
      <c r="C40" s="13" t="s">
        <v>205</v>
      </c>
      <c r="D40" s="80">
        <v>10.17425052491317</v>
      </c>
      <c r="E40" s="80">
        <v>10.319352966771508</v>
      </c>
      <c r="F40" s="80">
        <v>64.699842146879831</v>
      </c>
      <c r="G40" s="80">
        <v>32.370951698464992</v>
      </c>
      <c r="H40" s="80">
        <v>5.8980647650217408</v>
      </c>
      <c r="I40" s="80">
        <v>19.550199224381704</v>
      </c>
      <c r="J40" s="80">
        <v>22.059783204529612</v>
      </c>
      <c r="K40" s="80">
        <v>0.99614928832257654</v>
      </c>
      <c r="L40" s="80">
        <v>52.688380709130655</v>
      </c>
      <c r="M40" s="80">
        <v>18.787516112803004</v>
      </c>
      <c r="N40" s="80">
        <v>16.948469975643306</v>
      </c>
    </row>
    <row r="41" spans="2:15" x14ac:dyDescent="0.3">
      <c r="B41" s="292"/>
      <c r="C41" s="9" t="s">
        <v>206</v>
      </c>
      <c r="D41" s="79">
        <v>9.6838457649068523</v>
      </c>
      <c r="E41" s="79">
        <v>12.503326986422067</v>
      </c>
      <c r="F41" s="79">
        <v>61.946286977415674</v>
      </c>
      <c r="G41" s="79">
        <v>29.487123866820209</v>
      </c>
      <c r="H41" s="79">
        <v>7.0807692482349456</v>
      </c>
      <c r="I41" s="79">
        <v>23.220295006642118</v>
      </c>
      <c r="J41" s="79">
        <v>19.585860980558756</v>
      </c>
      <c r="K41" s="79">
        <v>2.2649609251475531</v>
      </c>
      <c r="L41" s="79">
        <v>48.3974480179754</v>
      </c>
      <c r="M41" s="79">
        <v>13.166099068428775</v>
      </c>
      <c r="N41" s="79">
        <v>15.111672817537796</v>
      </c>
    </row>
    <row r="42" spans="2:15" x14ac:dyDescent="0.3">
      <c r="B42" s="292"/>
      <c r="C42" s="9" t="s">
        <v>207</v>
      </c>
      <c r="D42" s="79">
        <v>10.077772209211624</v>
      </c>
      <c r="E42" s="79">
        <v>11.834313973587728</v>
      </c>
      <c r="F42" s="79">
        <v>66.873668068487163</v>
      </c>
      <c r="G42" s="79">
        <v>35.091811130467441</v>
      </c>
      <c r="H42" s="79">
        <v>11.850330161429708</v>
      </c>
      <c r="I42" s="79">
        <v>24.257863613450368</v>
      </c>
      <c r="J42" s="79">
        <v>20.286739477402421</v>
      </c>
      <c r="K42" s="79">
        <v>11.719036700248232</v>
      </c>
      <c r="L42" s="79">
        <v>48.382282958145971</v>
      </c>
      <c r="M42" s="79">
        <v>16.227027277183186</v>
      </c>
      <c r="N42" s="79">
        <v>11.415840001650441</v>
      </c>
    </row>
    <row r="43" spans="2:15" x14ac:dyDescent="0.3">
      <c r="B43" s="293"/>
      <c r="C43" s="25" t="s">
        <v>208</v>
      </c>
      <c r="D43" s="82">
        <v>12.707479834939617</v>
      </c>
      <c r="E43" s="82">
        <v>12.809106961216852</v>
      </c>
      <c r="F43" s="82">
        <v>66.476780909557874</v>
      </c>
      <c r="G43" s="82">
        <v>33.52427401208967</v>
      </c>
      <c r="H43" s="82">
        <v>10.92819766924017</v>
      </c>
      <c r="I43" s="82">
        <v>23.589833063116014</v>
      </c>
      <c r="J43" s="82">
        <v>20.843834065644476</v>
      </c>
      <c r="K43" s="82">
        <v>10.566404415143229</v>
      </c>
      <c r="L43" s="82">
        <v>51.256862926852506</v>
      </c>
      <c r="M43" s="82">
        <v>18.922097316558613</v>
      </c>
      <c r="N43" s="82">
        <v>13.617875758917874</v>
      </c>
    </row>
    <row r="45" spans="2:15" x14ac:dyDescent="0.3">
      <c r="B45" s="259" t="s">
        <v>561</v>
      </c>
      <c r="C45" s="261"/>
      <c r="D45" s="261"/>
      <c r="E45" s="261"/>
      <c r="F45" s="261"/>
      <c r="G45" s="261"/>
      <c r="H45" s="262"/>
      <c r="I45" s="261"/>
      <c r="J45" s="261"/>
      <c r="K45" s="261"/>
      <c r="L45" s="261"/>
      <c r="M45" s="261"/>
      <c r="N45" s="261"/>
      <c r="O45" s="261"/>
    </row>
    <row r="46" spans="2:15" ht="14.25" customHeight="1" x14ac:dyDescent="0.3">
      <c r="B46" s="8"/>
      <c r="H46" s="11"/>
      <c r="K46" s="30"/>
      <c r="N46" s="30"/>
      <c r="O46" s="30" t="s">
        <v>52</v>
      </c>
    </row>
    <row r="47" spans="2:15" ht="24.75" customHeight="1" x14ac:dyDescent="0.3">
      <c r="B47" s="209"/>
      <c r="C47" s="209"/>
      <c r="D47" s="287" t="s">
        <v>545</v>
      </c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</row>
    <row r="48" spans="2:15" ht="24.75" customHeight="1" x14ac:dyDescent="0.3">
      <c r="B48" s="290" t="s">
        <v>559</v>
      </c>
      <c r="C48" s="290"/>
      <c r="D48" s="290"/>
      <c r="E48" s="210" t="s">
        <v>264</v>
      </c>
      <c r="F48" s="210" t="s">
        <v>266</v>
      </c>
      <c r="G48" s="210" t="s">
        <v>22</v>
      </c>
      <c r="H48" s="210" t="s">
        <v>268</v>
      </c>
      <c r="I48" s="210" t="s">
        <v>272</v>
      </c>
      <c r="J48" s="210" t="s">
        <v>270</v>
      </c>
      <c r="K48" s="210" t="s">
        <v>273</v>
      </c>
      <c r="L48" s="210" t="s">
        <v>274</v>
      </c>
      <c r="M48" s="210" t="s">
        <v>23</v>
      </c>
      <c r="N48" s="210" t="s">
        <v>275</v>
      </c>
      <c r="O48" s="210" t="s">
        <v>276</v>
      </c>
    </row>
    <row r="49" spans="2:15" ht="24.75" customHeight="1" x14ac:dyDescent="0.3">
      <c r="B49" s="286" t="s">
        <v>509</v>
      </c>
      <c r="C49" s="286"/>
      <c r="D49" s="256" t="s">
        <v>20</v>
      </c>
      <c r="E49" s="255">
        <v>8.7318739311354623</v>
      </c>
      <c r="F49" s="255">
        <v>10.199022670343446</v>
      </c>
      <c r="G49" s="255">
        <v>63.618209216832788</v>
      </c>
      <c r="H49" s="255">
        <v>30.492543027358305</v>
      </c>
      <c r="I49" s="255">
        <v>8.5681052490945024</v>
      </c>
      <c r="J49" s="255">
        <v>20.228534866309573</v>
      </c>
      <c r="K49" s="255">
        <v>18.797826616224018</v>
      </c>
      <c r="L49" s="255" t="s">
        <v>558</v>
      </c>
      <c r="M49" s="255">
        <v>47.719208180093261</v>
      </c>
      <c r="N49" s="255">
        <v>15.599838272661664</v>
      </c>
      <c r="O49" s="255">
        <v>12.539169399651662</v>
      </c>
    </row>
    <row r="50" spans="2:15" x14ac:dyDescent="0.3">
      <c r="B50" s="287"/>
      <c r="C50" s="287"/>
      <c r="D50" s="80" t="s">
        <v>546</v>
      </c>
      <c r="E50" s="80">
        <v>9.0862897375426979</v>
      </c>
      <c r="F50" s="80">
        <v>12.176443469744685</v>
      </c>
      <c r="G50" s="80">
        <v>62.689284756011176</v>
      </c>
      <c r="H50" s="80">
        <v>32.3008336060253</v>
      </c>
      <c r="I50" s="80">
        <v>10.106933323517636</v>
      </c>
      <c r="J50" s="80">
        <v>17.702215975479664</v>
      </c>
      <c r="K50" s="80">
        <v>18.644507851266553</v>
      </c>
      <c r="L50" s="80">
        <v>0</v>
      </c>
      <c r="M50" s="80">
        <v>47.560944637053545</v>
      </c>
      <c r="N50" s="80">
        <v>17.289133082873743</v>
      </c>
      <c r="O50" s="80">
        <v>10.653357464221784</v>
      </c>
    </row>
    <row r="51" spans="2:15" x14ac:dyDescent="0.3">
      <c r="B51" s="287"/>
      <c r="C51" s="287"/>
      <c r="D51" s="79" t="s">
        <v>547</v>
      </c>
      <c r="E51" s="79">
        <v>4.1979746364143162</v>
      </c>
      <c r="F51" s="79">
        <v>5.3666949236981685</v>
      </c>
      <c r="G51" s="79">
        <v>40.438749959788247</v>
      </c>
      <c r="H51" s="79">
        <v>15.866884675825412</v>
      </c>
      <c r="I51" s="79">
        <v>5.2069324807150918</v>
      </c>
      <c r="J51" s="79">
        <v>9.6371916744960835</v>
      </c>
      <c r="K51" s="79">
        <v>6.7454669663177826</v>
      </c>
      <c r="L51" s="79">
        <v>0</v>
      </c>
      <c r="M51" s="79">
        <v>27.051767401393441</v>
      </c>
      <c r="N51" s="79">
        <v>7.1149933147402864</v>
      </c>
      <c r="O51" s="79">
        <v>8.1236483947889031</v>
      </c>
    </row>
    <row r="52" spans="2:15" x14ac:dyDescent="0.3">
      <c r="B52" s="287"/>
      <c r="C52" s="287"/>
      <c r="D52" s="79" t="s">
        <v>548</v>
      </c>
      <c r="E52" s="79">
        <v>3.4531853179304446</v>
      </c>
      <c r="F52" s="79">
        <v>4.3449591202856759</v>
      </c>
      <c r="G52" s="79">
        <v>36.957019336559952</v>
      </c>
      <c r="H52" s="79">
        <v>15.903645645712439</v>
      </c>
      <c r="I52" s="79">
        <v>5.9589358893934774</v>
      </c>
      <c r="J52" s="79">
        <v>8.7888809398764405</v>
      </c>
      <c r="K52" s="79">
        <v>8.2371559551690208</v>
      </c>
      <c r="L52" s="79">
        <v>0</v>
      </c>
      <c r="M52" s="79">
        <v>21.87229444647437</v>
      </c>
      <c r="N52" s="79">
        <v>6.6954361847230635</v>
      </c>
      <c r="O52" s="79">
        <v>6.7312662114048791</v>
      </c>
    </row>
    <row r="53" spans="2:15" x14ac:dyDescent="0.3">
      <c r="B53" s="287"/>
      <c r="C53" s="287"/>
      <c r="D53" s="79" t="s">
        <v>549</v>
      </c>
      <c r="E53" s="79">
        <v>3.2652502091358038</v>
      </c>
      <c r="F53" s="79">
        <v>3.0120595310706424</v>
      </c>
      <c r="G53" s="79">
        <v>40.385500040358146</v>
      </c>
      <c r="H53" s="79">
        <v>16.771128980072803</v>
      </c>
      <c r="I53" s="79">
        <v>3.6287462906677788</v>
      </c>
      <c r="J53" s="79">
        <v>6.3936238213381875</v>
      </c>
      <c r="K53" s="79">
        <v>7.7840306061158433</v>
      </c>
      <c r="L53" s="79">
        <v>0</v>
      </c>
      <c r="M53" s="79">
        <v>19.414981366736921</v>
      </c>
      <c r="N53" s="79">
        <v>6.8231972898015707</v>
      </c>
      <c r="O53" s="79">
        <v>7.8133622808170182</v>
      </c>
    </row>
    <row r="54" spans="2:15" x14ac:dyDescent="0.3">
      <c r="B54" s="287"/>
      <c r="C54" s="287"/>
      <c r="D54" s="79" t="s">
        <v>550</v>
      </c>
      <c r="E54" s="79">
        <v>2.2820637434233109</v>
      </c>
      <c r="F54" s="79">
        <v>3.9566643915589688</v>
      </c>
      <c r="G54" s="79">
        <v>38.393841342600595</v>
      </c>
      <c r="H54" s="79">
        <v>17.407413819212231</v>
      </c>
      <c r="I54" s="79">
        <v>3.1021372588864553</v>
      </c>
      <c r="J54" s="79">
        <v>9.1810098891782062</v>
      </c>
      <c r="K54" s="79">
        <v>7.4782770100118094</v>
      </c>
      <c r="L54" s="79">
        <v>0</v>
      </c>
      <c r="M54" s="79">
        <v>20.254163275490487</v>
      </c>
      <c r="N54" s="79">
        <v>6.5761070364986862</v>
      </c>
      <c r="O54" s="79">
        <v>5.7554704643532846</v>
      </c>
    </row>
    <row r="55" spans="2:15" x14ac:dyDescent="0.3">
      <c r="B55" s="287"/>
      <c r="C55" s="287"/>
      <c r="D55" s="79" t="s">
        <v>551</v>
      </c>
      <c r="E55" s="79">
        <v>2.8533492420804891</v>
      </c>
      <c r="F55" s="79">
        <v>3.285859457898213</v>
      </c>
      <c r="G55" s="79">
        <v>37.60916921524494</v>
      </c>
      <c r="H55" s="79">
        <v>14.086409655976084</v>
      </c>
      <c r="I55" s="79">
        <v>5.0298012751127361</v>
      </c>
      <c r="J55" s="79">
        <v>8.2979758617012322</v>
      </c>
      <c r="K55" s="79">
        <v>8.1330527336207776</v>
      </c>
      <c r="L55" s="79">
        <v>0</v>
      </c>
      <c r="M55" s="79">
        <v>18.702550934684183</v>
      </c>
      <c r="N55" s="79">
        <v>7.1167546003101965</v>
      </c>
      <c r="O55" s="79">
        <v>7.7883963855713461</v>
      </c>
    </row>
    <row r="56" spans="2:15" x14ac:dyDescent="0.3">
      <c r="B56" s="287"/>
      <c r="C56" s="287"/>
      <c r="D56" s="79" t="s">
        <v>552</v>
      </c>
      <c r="E56" s="79">
        <v>8.0262048856075605</v>
      </c>
      <c r="F56" s="79">
        <v>8.9790519393038633</v>
      </c>
      <c r="G56" s="79">
        <v>59.69626215203354</v>
      </c>
      <c r="H56" s="79">
        <v>27.353197441553711</v>
      </c>
      <c r="I56" s="79">
        <v>7.4836769997411219</v>
      </c>
      <c r="J56" s="79">
        <v>17.6567523423845</v>
      </c>
      <c r="K56" s="79">
        <v>14.753656866547585</v>
      </c>
      <c r="L56" s="79">
        <v>0</v>
      </c>
      <c r="M56" s="79">
        <v>37.927215246164337</v>
      </c>
      <c r="N56" s="79">
        <v>11.926925147712618</v>
      </c>
      <c r="O56" s="79">
        <v>6.9477068004613614</v>
      </c>
    </row>
    <row r="57" spans="2:15" x14ac:dyDescent="0.3">
      <c r="B57" s="287"/>
      <c r="C57" s="287"/>
      <c r="D57" s="79" t="s">
        <v>553</v>
      </c>
      <c r="E57" s="79">
        <v>4.2873708185865533</v>
      </c>
      <c r="F57" s="79">
        <v>3.8395149868707596</v>
      </c>
      <c r="G57" s="79">
        <v>39.079793992764827</v>
      </c>
      <c r="H57" s="79">
        <v>14.684653664507689</v>
      </c>
      <c r="I57" s="79">
        <v>3.8250007930818812</v>
      </c>
      <c r="J57" s="79">
        <v>10.546425542543551</v>
      </c>
      <c r="K57" s="79">
        <v>7.1121808415498382</v>
      </c>
      <c r="L57" s="79">
        <v>0</v>
      </c>
      <c r="M57" s="79">
        <v>23.96357462518429</v>
      </c>
      <c r="N57" s="79">
        <v>6.8655089730056797</v>
      </c>
      <c r="O57" s="79">
        <v>8.1343065040814828</v>
      </c>
    </row>
    <row r="58" spans="2:15" x14ac:dyDescent="0.3">
      <c r="B58" s="287"/>
      <c r="C58" s="287"/>
      <c r="D58" s="79" t="s">
        <v>554</v>
      </c>
      <c r="E58" s="79">
        <v>8.9679171858488402</v>
      </c>
      <c r="F58" s="79">
        <v>8.3194256236885646</v>
      </c>
      <c r="G58" s="79">
        <v>56.578159071530521</v>
      </c>
      <c r="H58" s="79">
        <v>24.06212481240253</v>
      </c>
      <c r="I58" s="79">
        <v>5.1611166683014247</v>
      </c>
      <c r="J58" s="79">
        <v>17.053367542994522</v>
      </c>
      <c r="K58" s="79">
        <v>14.153944192878519</v>
      </c>
      <c r="L58" s="79">
        <v>0</v>
      </c>
      <c r="M58" s="79">
        <v>36.496727936131549</v>
      </c>
      <c r="N58" s="79">
        <v>8.6943527435741608</v>
      </c>
      <c r="O58" s="79">
        <v>7.3694939996044777</v>
      </c>
    </row>
    <row r="59" spans="2:15" x14ac:dyDescent="0.3">
      <c r="B59" s="287"/>
      <c r="C59" s="287"/>
      <c r="D59" s="79" t="s">
        <v>555</v>
      </c>
      <c r="E59" s="79">
        <v>4.5129306835000165</v>
      </c>
      <c r="F59" s="79">
        <v>4.2124323702161064</v>
      </c>
      <c r="G59" s="79">
        <v>40.348107271879869</v>
      </c>
      <c r="H59" s="79">
        <v>13.873101070222488</v>
      </c>
      <c r="I59" s="79">
        <v>3.4495018896902949</v>
      </c>
      <c r="J59" s="79">
        <v>10.814084450620728</v>
      </c>
      <c r="K59" s="79">
        <v>8.6820369184562729</v>
      </c>
      <c r="L59" s="79">
        <v>0</v>
      </c>
      <c r="M59" s="79">
        <v>21.698370262002527</v>
      </c>
      <c r="N59" s="79">
        <v>6.5834425434335406</v>
      </c>
      <c r="O59" s="79">
        <v>9.0607740412732678</v>
      </c>
    </row>
    <row r="60" spans="2:15" x14ac:dyDescent="0.3">
      <c r="B60" s="287"/>
      <c r="C60" s="287"/>
      <c r="D60" s="79" t="s">
        <v>556</v>
      </c>
      <c r="E60" s="79">
        <v>6.7741638283498036</v>
      </c>
      <c r="F60" s="79">
        <v>8.415817050783728</v>
      </c>
      <c r="G60" s="79">
        <v>56.490789694550593</v>
      </c>
      <c r="H60" s="79">
        <v>23.038695397513287</v>
      </c>
      <c r="I60" s="79">
        <v>5.1848499111691337</v>
      </c>
      <c r="J60" s="79">
        <v>15.599195925736547</v>
      </c>
      <c r="K60" s="79">
        <v>13.757740286974682</v>
      </c>
      <c r="L60" s="79">
        <v>0</v>
      </c>
      <c r="M60" s="79">
        <v>37.175646254238529</v>
      </c>
      <c r="N60" s="79">
        <v>10.277131211482084</v>
      </c>
      <c r="O60" s="79">
        <v>7.3255025105588443</v>
      </c>
    </row>
    <row r="61" spans="2:15" x14ac:dyDescent="0.3">
      <c r="B61" s="288"/>
      <c r="C61" s="288"/>
      <c r="D61" s="79" t="s">
        <v>557</v>
      </c>
      <c r="E61" s="79">
        <v>5.0566318576991822</v>
      </c>
      <c r="F61" s="79">
        <v>4.2437669564687317</v>
      </c>
      <c r="G61" s="79">
        <v>37.634773741971941</v>
      </c>
      <c r="H61" s="79">
        <v>15.130571025967813</v>
      </c>
      <c r="I61" s="79">
        <v>4.5873535772989014</v>
      </c>
      <c r="J61" s="79">
        <v>8.8538723954857872</v>
      </c>
      <c r="K61" s="79">
        <v>9.7453803902816194</v>
      </c>
      <c r="L61" s="79">
        <v>0</v>
      </c>
      <c r="M61" s="79">
        <v>22.685693884620907</v>
      </c>
      <c r="N61" s="79">
        <v>7.2441151958902941</v>
      </c>
      <c r="O61" s="79">
        <v>7.0016173283594316</v>
      </c>
    </row>
    <row r="62" spans="2:15" x14ac:dyDescent="0.3">
      <c r="B62" s="286" t="s">
        <v>510</v>
      </c>
      <c r="C62" s="286"/>
      <c r="D62" s="256" t="s">
        <v>20</v>
      </c>
      <c r="E62" s="255">
        <v>9.5310150524233155</v>
      </c>
      <c r="F62" s="255">
        <v>7.9595742061419701</v>
      </c>
      <c r="G62" s="255">
        <v>46.601224091771051</v>
      </c>
      <c r="H62" s="255">
        <v>23.463952959788255</v>
      </c>
      <c r="I62" s="255">
        <v>6.8420808108094988</v>
      </c>
      <c r="J62" s="255">
        <v>17.489936214179149</v>
      </c>
      <c r="K62" s="255">
        <v>13.768775170411116</v>
      </c>
      <c r="L62" s="255">
        <v>18.073400670548505</v>
      </c>
      <c r="M62" s="255">
        <v>33.715310201375573</v>
      </c>
      <c r="N62" s="255">
        <v>8.0853675605375095</v>
      </c>
      <c r="O62" s="255">
        <v>7.5011869720913182</v>
      </c>
    </row>
    <row r="63" spans="2:15" x14ac:dyDescent="0.3">
      <c r="B63" s="287"/>
      <c r="C63" s="287"/>
      <c r="D63" s="80" t="s">
        <v>546</v>
      </c>
      <c r="E63" s="80">
        <v>10.919845978059678</v>
      </c>
      <c r="F63" s="80">
        <v>7.5157378136535931</v>
      </c>
      <c r="G63" s="80">
        <v>43.757924370267723</v>
      </c>
      <c r="H63" s="80">
        <v>23.397407987054756</v>
      </c>
      <c r="I63" s="80">
        <v>6.3371255137515599</v>
      </c>
      <c r="J63" s="80">
        <v>14.260265289808954</v>
      </c>
      <c r="K63" s="80">
        <v>12.452611930953569</v>
      </c>
      <c r="L63" s="80">
        <v>21.242342802196511</v>
      </c>
      <c r="M63" s="80">
        <v>35.621395090294286</v>
      </c>
      <c r="N63" s="80">
        <v>8.4652001137577244</v>
      </c>
      <c r="O63" s="80">
        <v>5.123006385214703</v>
      </c>
    </row>
    <row r="64" spans="2:15" x14ac:dyDescent="0.3">
      <c r="B64" s="287"/>
      <c r="C64" s="287"/>
      <c r="D64" s="79" t="s">
        <v>547</v>
      </c>
      <c r="E64" s="79">
        <v>6.0037619610326711</v>
      </c>
      <c r="F64" s="79">
        <v>6.1634581574384857</v>
      </c>
      <c r="G64" s="79">
        <v>35.244781708367967</v>
      </c>
      <c r="H64" s="79">
        <v>17.001163048694018</v>
      </c>
      <c r="I64" s="79">
        <v>4.7647160040448764</v>
      </c>
      <c r="J64" s="79">
        <v>12.479646726513986</v>
      </c>
      <c r="K64" s="79">
        <v>7.1441437441711972</v>
      </c>
      <c r="L64" s="79">
        <v>10.935527849902405</v>
      </c>
      <c r="M64" s="79">
        <v>19.202572499101951</v>
      </c>
      <c r="N64" s="79">
        <v>6.0232824340452424</v>
      </c>
      <c r="O64" s="79">
        <v>5.5048063890145276</v>
      </c>
    </row>
    <row r="65" spans="2:15" x14ac:dyDescent="0.3">
      <c r="B65" s="287"/>
      <c r="C65" s="287"/>
      <c r="D65" s="79" t="s">
        <v>548</v>
      </c>
      <c r="E65" s="79">
        <v>6.6578592550578213</v>
      </c>
      <c r="F65" s="79">
        <v>6.3862121115331014</v>
      </c>
      <c r="G65" s="79">
        <v>29.206662581274571</v>
      </c>
      <c r="H65" s="79">
        <v>17.364175523434977</v>
      </c>
      <c r="I65" s="79">
        <v>5.6975658905021911</v>
      </c>
      <c r="J65" s="79">
        <v>11.536138487775823</v>
      </c>
      <c r="K65" s="79">
        <v>3.3406741219222722</v>
      </c>
      <c r="L65" s="79">
        <v>9.5067095140301934</v>
      </c>
      <c r="M65" s="79">
        <v>18.129497581633792</v>
      </c>
      <c r="N65" s="79">
        <v>6.3030511274327257</v>
      </c>
      <c r="O65" s="79">
        <v>7.6569227296740427</v>
      </c>
    </row>
    <row r="66" spans="2:15" x14ac:dyDescent="0.3">
      <c r="B66" s="287"/>
      <c r="C66" s="287"/>
      <c r="D66" s="79" t="s">
        <v>549</v>
      </c>
      <c r="E66" s="79">
        <v>4.6178489844825696</v>
      </c>
      <c r="F66" s="79">
        <v>5.9780039660017579</v>
      </c>
      <c r="G66" s="79">
        <v>30.021824551305194</v>
      </c>
      <c r="H66" s="79">
        <v>17.882290247399489</v>
      </c>
      <c r="I66" s="79">
        <v>7.114518685197158</v>
      </c>
      <c r="J66" s="79">
        <v>8.8447222538449903</v>
      </c>
      <c r="K66" s="79">
        <v>7.7988130741095496</v>
      </c>
      <c r="L66" s="79">
        <v>10.658708622996272</v>
      </c>
      <c r="M66" s="79">
        <v>15.136719715958783</v>
      </c>
      <c r="N66" s="79">
        <v>4.4015984486342141</v>
      </c>
      <c r="O66" s="79">
        <v>6.0825547112068117</v>
      </c>
    </row>
    <row r="67" spans="2:15" x14ac:dyDescent="0.3">
      <c r="B67" s="287"/>
      <c r="C67" s="287"/>
      <c r="D67" s="79" t="s">
        <v>550</v>
      </c>
      <c r="E67" s="79">
        <v>2.8608176735133384</v>
      </c>
      <c r="F67" s="79">
        <v>4.2258303881611896</v>
      </c>
      <c r="G67" s="79">
        <v>34.969090019349998</v>
      </c>
      <c r="H67" s="79">
        <v>15.499121610841732</v>
      </c>
      <c r="I67" s="79">
        <v>7.2200437543209484</v>
      </c>
      <c r="J67" s="79">
        <v>8.5986780883296117</v>
      </c>
      <c r="K67" s="79">
        <v>7.9558972249096307</v>
      </c>
      <c r="L67" s="79">
        <v>11.651740913115356</v>
      </c>
      <c r="M67" s="79">
        <v>17.559585360423625</v>
      </c>
      <c r="N67" s="79">
        <v>5.1817103177340869</v>
      </c>
      <c r="O67" s="79">
        <v>3.4771773749866619</v>
      </c>
    </row>
    <row r="68" spans="2:15" x14ac:dyDescent="0.3">
      <c r="B68" s="287"/>
      <c r="C68" s="287"/>
      <c r="D68" s="79" t="s">
        <v>551</v>
      </c>
      <c r="E68" s="79">
        <v>5.0149529482212776</v>
      </c>
      <c r="F68" s="79">
        <v>5.318983575136687</v>
      </c>
      <c r="G68" s="79">
        <v>29.800638228036853</v>
      </c>
      <c r="H68" s="79">
        <v>17.971523946839447</v>
      </c>
      <c r="I68" s="79">
        <v>4.2114110494247861</v>
      </c>
      <c r="J68" s="79">
        <v>8.202251963230772</v>
      </c>
      <c r="K68" s="79">
        <v>9.4346411216199417</v>
      </c>
      <c r="L68" s="79">
        <v>9.492221828065162</v>
      </c>
      <c r="M68" s="79">
        <v>15.786782016765327</v>
      </c>
      <c r="N68" s="79">
        <v>4.8288012110377529</v>
      </c>
      <c r="O68" s="79">
        <v>4.2687423692408206</v>
      </c>
    </row>
    <row r="69" spans="2:15" x14ac:dyDescent="0.3">
      <c r="B69" s="287"/>
      <c r="C69" s="287"/>
      <c r="D69" s="79" t="s">
        <v>552</v>
      </c>
      <c r="E69" s="79">
        <v>9.6411299582895786</v>
      </c>
      <c r="F69" s="79">
        <v>5.3116535551620014</v>
      </c>
      <c r="G69" s="79">
        <v>41.328957943203633</v>
      </c>
      <c r="H69" s="79">
        <v>20.675049759961592</v>
      </c>
      <c r="I69" s="79">
        <v>5.1752990284973333</v>
      </c>
      <c r="J69" s="79">
        <v>13.577410070159765</v>
      </c>
      <c r="K69" s="79">
        <v>10.868494288752901</v>
      </c>
      <c r="L69" s="79">
        <v>18.263845353691959</v>
      </c>
      <c r="M69" s="79">
        <v>30.968706523297229</v>
      </c>
      <c r="N69" s="79">
        <v>4.9705919581973088</v>
      </c>
      <c r="O69" s="79">
        <v>5.6194438363681609</v>
      </c>
    </row>
    <row r="70" spans="2:15" x14ac:dyDescent="0.3">
      <c r="B70" s="287"/>
      <c r="C70" s="287"/>
      <c r="D70" s="79" t="s">
        <v>553</v>
      </c>
      <c r="E70" s="79">
        <v>4.8066199661283671</v>
      </c>
      <c r="F70" s="79">
        <v>7.1534972067217639</v>
      </c>
      <c r="G70" s="79">
        <v>36.406744052930208</v>
      </c>
      <c r="H70" s="79">
        <v>16.717712452651064</v>
      </c>
      <c r="I70" s="79">
        <v>5.4492687072399004</v>
      </c>
      <c r="J70" s="79">
        <v>12.561694014664196</v>
      </c>
      <c r="K70" s="79">
        <v>8.1971710580216577</v>
      </c>
      <c r="L70" s="79">
        <v>9.7293231137365463</v>
      </c>
      <c r="M70" s="79">
        <v>17.454113528831812</v>
      </c>
      <c r="N70" s="79">
        <v>2.8361827655674618</v>
      </c>
      <c r="O70" s="79">
        <v>5.22331065509327</v>
      </c>
    </row>
    <row r="71" spans="2:15" x14ac:dyDescent="0.3">
      <c r="B71" s="287"/>
      <c r="C71" s="287"/>
      <c r="D71" s="79" t="s">
        <v>554</v>
      </c>
      <c r="E71" s="79">
        <v>8.0972550083361678</v>
      </c>
      <c r="F71" s="79">
        <v>6.0127436667110468</v>
      </c>
      <c r="G71" s="79">
        <v>41.745469788887299</v>
      </c>
      <c r="H71" s="79">
        <v>17.593060320491396</v>
      </c>
      <c r="I71" s="79">
        <v>4.0908005742528513</v>
      </c>
      <c r="J71" s="79">
        <v>17.442343908801149</v>
      </c>
      <c r="K71" s="79">
        <v>10.482352272397097</v>
      </c>
      <c r="L71" s="79">
        <v>17.749157966317313</v>
      </c>
      <c r="M71" s="79">
        <v>27.256925468423869</v>
      </c>
      <c r="N71" s="79">
        <v>4.6845469383726854</v>
      </c>
      <c r="O71" s="79">
        <v>4.2728328417706356</v>
      </c>
    </row>
    <row r="72" spans="2:15" x14ac:dyDescent="0.3">
      <c r="B72" s="287"/>
      <c r="C72" s="287"/>
      <c r="D72" s="79" t="s">
        <v>555</v>
      </c>
      <c r="E72" s="79">
        <v>4.3905114006634038</v>
      </c>
      <c r="F72" s="79">
        <v>3.9023219707481673</v>
      </c>
      <c r="G72" s="79">
        <v>32.061849082560805</v>
      </c>
      <c r="H72" s="79">
        <v>11.700935073637943</v>
      </c>
      <c r="I72" s="79">
        <v>3.6970080147006237</v>
      </c>
      <c r="J72" s="79">
        <v>11.695849727792041</v>
      </c>
      <c r="K72" s="79">
        <v>10.353852100683303</v>
      </c>
      <c r="L72" s="79">
        <v>14.840657653286621</v>
      </c>
      <c r="M72" s="79">
        <v>20.107116529785877</v>
      </c>
      <c r="N72" s="79">
        <v>5.9921781668525043</v>
      </c>
      <c r="O72" s="79">
        <v>7.4334343506246308</v>
      </c>
    </row>
    <row r="73" spans="2:15" x14ac:dyDescent="0.3">
      <c r="B73" s="287"/>
      <c r="C73" s="287"/>
      <c r="D73" s="79" t="s">
        <v>556</v>
      </c>
      <c r="E73" s="79">
        <v>7.1799360446322265</v>
      </c>
      <c r="F73" s="79">
        <v>7.0051471969527448</v>
      </c>
      <c r="G73" s="79">
        <v>42.477959123755809</v>
      </c>
      <c r="H73" s="79">
        <v>18.172913993493964</v>
      </c>
      <c r="I73" s="79">
        <v>4.1331044819465719</v>
      </c>
      <c r="J73" s="79">
        <v>15.636631918488032</v>
      </c>
      <c r="K73" s="79">
        <v>11.023775541506055</v>
      </c>
      <c r="L73" s="79">
        <v>19.989197071033235</v>
      </c>
      <c r="M73" s="79">
        <v>29.345566307715661</v>
      </c>
      <c r="N73" s="79">
        <v>6.2031753377180259</v>
      </c>
      <c r="O73" s="79">
        <v>4.5817376003146855</v>
      </c>
    </row>
    <row r="74" spans="2:15" x14ac:dyDescent="0.3">
      <c r="B74" s="288"/>
      <c r="C74" s="288"/>
      <c r="D74" s="79" t="s">
        <v>557</v>
      </c>
      <c r="E74" s="79">
        <v>2.7696591919421443</v>
      </c>
      <c r="F74" s="79">
        <v>6.6352886098634674</v>
      </c>
      <c r="G74" s="79">
        <v>37.53126793637643</v>
      </c>
      <c r="H74" s="79">
        <v>14.197289371018568</v>
      </c>
      <c r="I74" s="79">
        <v>5.3269992243338082</v>
      </c>
      <c r="J74" s="79">
        <v>11.589741097857051</v>
      </c>
      <c r="K74" s="79">
        <v>9.1648989275059503</v>
      </c>
      <c r="L74" s="79">
        <v>14.909981747723439</v>
      </c>
      <c r="M74" s="79">
        <v>19.827799819037178</v>
      </c>
      <c r="N74" s="79">
        <v>5.0119355564347181</v>
      </c>
      <c r="O74" s="79">
        <v>4.5352928975676399</v>
      </c>
    </row>
    <row r="75" spans="2:15" x14ac:dyDescent="0.3">
      <c r="B75" s="287" t="s">
        <v>560</v>
      </c>
      <c r="C75" s="287"/>
      <c r="D75" s="256" t="s">
        <v>20</v>
      </c>
      <c r="E75" s="255">
        <v>5.8900610926366603</v>
      </c>
      <c r="F75" s="255">
        <v>8.3936943519439797</v>
      </c>
      <c r="G75" s="255">
        <v>25.500385645828022</v>
      </c>
      <c r="H75" s="255">
        <v>13.186958178612249</v>
      </c>
      <c r="I75" s="255">
        <v>8.4161231843846949</v>
      </c>
      <c r="J75" s="255">
        <v>13.21267698527517</v>
      </c>
      <c r="K75" s="255">
        <v>9.0651481721003133</v>
      </c>
      <c r="L75" s="255">
        <v>12.22960985164401</v>
      </c>
      <c r="M75" s="255">
        <v>21.523131050825896</v>
      </c>
      <c r="N75" s="255">
        <v>12.869503387871898</v>
      </c>
      <c r="O75" s="255">
        <v>11.9217593166456</v>
      </c>
    </row>
    <row r="76" spans="2:15" x14ac:dyDescent="0.3">
      <c r="B76" s="287"/>
      <c r="C76" s="287"/>
      <c r="D76" s="80" t="s">
        <v>546</v>
      </c>
      <c r="E76" s="80">
        <v>5.4516191876360587</v>
      </c>
      <c r="F76" s="80">
        <v>6.7350424488427745</v>
      </c>
      <c r="G76" s="80">
        <v>24.748558872826287</v>
      </c>
      <c r="H76" s="80">
        <v>12.320399436368842</v>
      </c>
      <c r="I76" s="80">
        <v>5.4566757380401452</v>
      </c>
      <c r="J76" s="80">
        <v>12.865332835381565</v>
      </c>
      <c r="K76" s="80">
        <v>8.668540614751107</v>
      </c>
      <c r="L76" s="80">
        <v>15.367476513147032</v>
      </c>
      <c r="M76" s="80">
        <v>23.046222883710154</v>
      </c>
      <c r="N76" s="80">
        <v>12.778209441672017</v>
      </c>
      <c r="O76" s="80">
        <v>7.7383085824615856</v>
      </c>
    </row>
    <row r="77" spans="2:15" x14ac:dyDescent="0.3">
      <c r="B77" s="287"/>
      <c r="C77" s="287"/>
      <c r="D77" s="79" t="s">
        <v>547</v>
      </c>
      <c r="E77" s="79">
        <v>7.5620693778907206</v>
      </c>
      <c r="F77" s="79">
        <v>11.527046414457191</v>
      </c>
      <c r="G77" s="79">
        <v>27.531852060990076</v>
      </c>
      <c r="H77" s="79">
        <v>13.529816200108788</v>
      </c>
      <c r="I77" s="79">
        <v>11.81590769036511</v>
      </c>
      <c r="J77" s="79">
        <v>10.44577498310481</v>
      </c>
      <c r="K77" s="79">
        <v>6.5995062405182177</v>
      </c>
      <c r="L77" s="79">
        <v>9.8601562851053295</v>
      </c>
      <c r="M77" s="79">
        <v>14.577071653741292</v>
      </c>
      <c r="N77" s="79">
        <v>9.1366464403044585</v>
      </c>
      <c r="O77" s="79">
        <v>9.1609122659073563</v>
      </c>
    </row>
    <row r="78" spans="2:15" x14ac:dyDescent="0.3">
      <c r="B78" s="287"/>
      <c r="C78" s="287"/>
      <c r="D78" s="79" t="s">
        <v>548</v>
      </c>
      <c r="E78" s="79">
        <v>4.4519613607050905</v>
      </c>
      <c r="F78" s="79">
        <v>10.710442475430261</v>
      </c>
      <c r="G78" s="79">
        <v>20.849112293744131</v>
      </c>
      <c r="H78" s="79">
        <v>16.000385175223865</v>
      </c>
      <c r="I78" s="79">
        <v>12.918752425329998</v>
      </c>
      <c r="J78" s="79">
        <v>10.449858906889062</v>
      </c>
      <c r="K78" s="79">
        <v>8.5342004711968311</v>
      </c>
      <c r="L78" s="79">
        <v>5.0456704624841535</v>
      </c>
      <c r="M78" s="79">
        <v>13.606554631166407</v>
      </c>
      <c r="N78" s="79">
        <v>9.8390871253686534</v>
      </c>
      <c r="O78" s="79">
        <v>7.5350428156674667</v>
      </c>
    </row>
    <row r="79" spans="2:15" x14ac:dyDescent="0.3">
      <c r="B79" s="287"/>
      <c r="C79" s="287"/>
      <c r="D79" s="79" t="s">
        <v>549</v>
      </c>
      <c r="E79" s="79">
        <v>5.1526362545030855</v>
      </c>
      <c r="F79" s="79">
        <v>0</v>
      </c>
      <c r="G79" s="79">
        <v>22.198709763304606</v>
      </c>
      <c r="H79" s="79">
        <v>11.809937407995738</v>
      </c>
      <c r="I79" s="79">
        <v>12.236005307652343</v>
      </c>
      <c r="J79" s="79">
        <v>14.549100736071049</v>
      </c>
      <c r="K79" s="79">
        <v>5.3535384548876044</v>
      </c>
      <c r="L79" s="79">
        <v>13.305113839908058</v>
      </c>
      <c r="M79" s="79">
        <v>17.170225059259451</v>
      </c>
      <c r="N79" s="79">
        <v>4.4819422017678994</v>
      </c>
      <c r="O79" s="79">
        <v>7.6980290586275517</v>
      </c>
    </row>
    <row r="80" spans="2:15" x14ac:dyDescent="0.3">
      <c r="B80" s="287"/>
      <c r="C80" s="287"/>
      <c r="D80" s="79" t="s">
        <v>550</v>
      </c>
      <c r="E80" s="79">
        <v>2.7133168313798688</v>
      </c>
      <c r="F80" s="79">
        <v>8.3115064168818407</v>
      </c>
      <c r="G80" s="79">
        <v>16.337750424280642</v>
      </c>
      <c r="H80" s="79">
        <v>7.2047104469320304</v>
      </c>
      <c r="I80" s="79">
        <v>10.738963520727246</v>
      </c>
      <c r="J80" s="79">
        <v>10.0177428592488</v>
      </c>
      <c r="K80" s="79">
        <v>5.783697830137891</v>
      </c>
      <c r="L80" s="79">
        <v>15.46522274982029</v>
      </c>
      <c r="M80" s="79">
        <v>19.809506288786579</v>
      </c>
      <c r="N80" s="79">
        <v>9.0553892444120763</v>
      </c>
      <c r="O80" s="79">
        <v>8.6698539717391867</v>
      </c>
    </row>
    <row r="81" spans="2:15" x14ac:dyDescent="0.3">
      <c r="B81" s="287"/>
      <c r="C81" s="287"/>
      <c r="D81" s="79" t="s">
        <v>551</v>
      </c>
      <c r="E81" s="79">
        <v>1.7295275240674313</v>
      </c>
      <c r="F81" s="79">
        <v>3.200201123059137</v>
      </c>
      <c r="G81" s="79">
        <v>28.98173174034812</v>
      </c>
      <c r="H81" s="79">
        <v>6.8011073087183531</v>
      </c>
      <c r="I81" s="79">
        <v>8.6747787119007143</v>
      </c>
      <c r="J81" s="79">
        <v>4.8668717789207925</v>
      </c>
      <c r="K81" s="79">
        <v>7.5172437091696382</v>
      </c>
      <c r="L81" s="79">
        <v>11.233595818848015</v>
      </c>
      <c r="M81" s="79">
        <v>13.222992760208355</v>
      </c>
      <c r="N81" s="79">
        <v>13.789439843355792</v>
      </c>
      <c r="O81" s="79">
        <v>5.7547733261337086</v>
      </c>
    </row>
    <row r="82" spans="2:15" x14ac:dyDescent="0.3">
      <c r="B82" s="287"/>
      <c r="C82" s="287"/>
      <c r="D82" s="79" t="s">
        <v>552</v>
      </c>
      <c r="E82" s="79">
        <v>5.0290452000933152</v>
      </c>
      <c r="F82" s="79">
        <v>4.8009973101920558</v>
      </c>
      <c r="G82" s="79">
        <v>24.427804398481285</v>
      </c>
      <c r="H82" s="79">
        <v>16.306598836904058</v>
      </c>
      <c r="I82" s="79">
        <v>5.0332196639347426</v>
      </c>
      <c r="J82" s="79">
        <v>12.018102262500681</v>
      </c>
      <c r="K82" s="79">
        <v>7.0372813185978798</v>
      </c>
      <c r="L82" s="79">
        <v>9.1490671638428722</v>
      </c>
      <c r="M82" s="79">
        <v>17.062343317088256</v>
      </c>
      <c r="N82" s="79">
        <v>16.949579088101373</v>
      </c>
      <c r="O82" s="79">
        <v>10.909386068258002</v>
      </c>
    </row>
    <row r="83" spans="2:15" x14ac:dyDescent="0.3">
      <c r="B83" s="287"/>
      <c r="C83" s="287"/>
      <c r="D83" s="79" t="s">
        <v>553</v>
      </c>
      <c r="E83" s="79">
        <v>2.8050698474234501</v>
      </c>
      <c r="F83" s="79">
        <v>7.8976541274600436</v>
      </c>
      <c r="G83" s="79">
        <v>20.074364605169393</v>
      </c>
      <c r="H83" s="79">
        <v>6.8628064168443625</v>
      </c>
      <c r="I83" s="79">
        <v>2.4393001442622229</v>
      </c>
      <c r="J83" s="79">
        <v>17.26291879054579</v>
      </c>
      <c r="K83" s="79">
        <v>5.9630675228056216</v>
      </c>
      <c r="L83" s="79">
        <v>9.0130856793213638</v>
      </c>
      <c r="M83" s="79">
        <v>17.421374346336442</v>
      </c>
      <c r="N83" s="79">
        <v>15.672692486462047</v>
      </c>
      <c r="O83" s="79">
        <v>13.139580566224341</v>
      </c>
    </row>
    <row r="84" spans="2:15" x14ac:dyDescent="0.3">
      <c r="B84" s="287"/>
      <c r="C84" s="287"/>
      <c r="D84" s="79" t="s">
        <v>554</v>
      </c>
      <c r="E84" s="79">
        <v>5.4738499372406597</v>
      </c>
      <c r="F84" s="79">
        <v>8.4330228151400242</v>
      </c>
      <c r="G84" s="79">
        <v>20.702410550452687</v>
      </c>
      <c r="H84" s="79">
        <v>8.4564026494733131</v>
      </c>
      <c r="I84" s="79">
        <v>7.0018767012697145</v>
      </c>
      <c r="J84" s="79">
        <v>14.952286250467029</v>
      </c>
      <c r="K84" s="79">
        <v>10.846936955544724</v>
      </c>
      <c r="L84" s="79">
        <v>6.381788996974584</v>
      </c>
      <c r="M84" s="79">
        <v>13.401435750427442</v>
      </c>
      <c r="N84" s="79">
        <v>9.8210218482775424</v>
      </c>
      <c r="O84" s="79">
        <v>20.490053780852723</v>
      </c>
    </row>
    <row r="85" spans="2:15" x14ac:dyDescent="0.3">
      <c r="B85" s="287"/>
      <c r="C85" s="287"/>
      <c r="D85" s="79" t="s">
        <v>555</v>
      </c>
      <c r="E85" s="79">
        <v>5.2619350175919744</v>
      </c>
      <c r="F85" s="79">
        <v>10.311897446841988</v>
      </c>
      <c r="G85" s="79">
        <v>22.824523654971614</v>
      </c>
      <c r="H85" s="79">
        <v>12.444188333716188</v>
      </c>
      <c r="I85" s="79">
        <v>4.4126537146458276</v>
      </c>
      <c r="J85" s="79">
        <v>7.0097913912416914</v>
      </c>
      <c r="K85" s="79">
        <v>8.1080884343139026</v>
      </c>
      <c r="L85" s="79">
        <v>9.8204724509827521</v>
      </c>
      <c r="M85" s="79">
        <v>16.411453398282152</v>
      </c>
      <c r="N85" s="79">
        <v>8.0334832502149034</v>
      </c>
      <c r="O85" s="79">
        <v>10.203171264375992</v>
      </c>
    </row>
    <row r="86" spans="2:15" x14ac:dyDescent="0.3">
      <c r="B86" s="287"/>
      <c r="C86" s="287"/>
      <c r="D86" s="79" t="s">
        <v>556</v>
      </c>
      <c r="E86" s="79">
        <v>5.1179283503200583</v>
      </c>
      <c r="F86" s="79">
        <v>7.8808034021343776</v>
      </c>
      <c r="G86" s="79">
        <v>25.044068728808703</v>
      </c>
      <c r="H86" s="79">
        <v>11.350979156947567</v>
      </c>
      <c r="I86" s="79">
        <v>4.1564838036090945</v>
      </c>
      <c r="J86" s="79">
        <v>11.926397466019655</v>
      </c>
      <c r="K86" s="79">
        <v>9.2794604054790888</v>
      </c>
      <c r="L86" s="79">
        <v>15.847140181988257</v>
      </c>
      <c r="M86" s="79">
        <v>19.099902744415232</v>
      </c>
      <c r="N86" s="79">
        <v>10.557982741530568</v>
      </c>
      <c r="O86" s="79">
        <v>10.287462420581187</v>
      </c>
    </row>
    <row r="87" spans="2:15" x14ac:dyDescent="0.3">
      <c r="B87" s="287"/>
      <c r="C87" s="287"/>
      <c r="D87" s="79" t="s">
        <v>557</v>
      </c>
      <c r="E87" s="79">
        <v>8.7992293412552627</v>
      </c>
      <c r="F87" s="79">
        <v>7.8395142596089844</v>
      </c>
      <c r="G87" s="79">
        <v>24.111059254631726</v>
      </c>
      <c r="H87" s="79">
        <v>6.5343617219589811</v>
      </c>
      <c r="I87" s="79">
        <v>10.732209721242878</v>
      </c>
      <c r="J87" s="79">
        <v>14.659896088430321</v>
      </c>
      <c r="K87" s="79">
        <v>4.7283428202077955</v>
      </c>
      <c r="L87" s="79">
        <v>10.009410590322917</v>
      </c>
      <c r="M87" s="79">
        <v>20.202909085645633</v>
      </c>
      <c r="N87" s="79">
        <v>3.5533002634961202</v>
      </c>
      <c r="O87" s="79">
        <v>15.726798109183887</v>
      </c>
    </row>
    <row r="88" spans="2:15" ht="17.25" customHeight="1" x14ac:dyDescent="0.3"/>
    <row r="89" spans="2:15" x14ac:dyDescent="0.3">
      <c r="B89" s="259" t="s">
        <v>562</v>
      </c>
      <c r="C89" s="261"/>
      <c r="D89" s="261"/>
      <c r="E89" s="261"/>
      <c r="F89" s="261"/>
      <c r="G89" s="261"/>
      <c r="H89" s="262"/>
      <c r="I89" s="261"/>
      <c r="J89" s="261"/>
      <c r="K89" s="261"/>
      <c r="L89" s="261"/>
      <c r="M89" s="261"/>
      <c r="N89" s="261"/>
    </row>
    <row r="90" spans="2:15" ht="18" customHeight="1" x14ac:dyDescent="0.3">
      <c r="B90" s="8"/>
      <c r="H90" s="11"/>
      <c r="K90" s="19"/>
      <c r="N90" s="19" t="s">
        <v>53</v>
      </c>
    </row>
    <row r="91" spans="2:15" ht="25.5" customHeight="1" x14ac:dyDescent="0.3">
      <c r="B91" s="209"/>
      <c r="C91" s="209"/>
      <c r="D91" s="210" t="s">
        <v>264</v>
      </c>
      <c r="E91" s="210" t="s">
        <v>266</v>
      </c>
      <c r="F91" s="210" t="s">
        <v>22</v>
      </c>
      <c r="G91" s="210" t="s">
        <v>268</v>
      </c>
      <c r="H91" s="210" t="s">
        <v>272</v>
      </c>
      <c r="I91" s="210" t="s">
        <v>270</v>
      </c>
      <c r="J91" s="210" t="s">
        <v>273</v>
      </c>
      <c r="K91" s="210" t="s">
        <v>274</v>
      </c>
      <c r="L91" s="210" t="s">
        <v>23</v>
      </c>
      <c r="M91" s="210" t="s">
        <v>275</v>
      </c>
      <c r="N91" s="210" t="s">
        <v>276</v>
      </c>
    </row>
    <row r="92" spans="2:15" ht="25.5" customHeight="1" x14ac:dyDescent="0.3">
      <c r="B92" s="295" t="s">
        <v>20</v>
      </c>
      <c r="C92" s="295"/>
      <c r="D92" s="68">
        <v>3.4564964902757609</v>
      </c>
      <c r="E92" s="68">
        <v>3.5192890217578876</v>
      </c>
      <c r="F92" s="68">
        <v>4.112121574870284</v>
      </c>
      <c r="G92" s="68">
        <v>3.0618802521389274</v>
      </c>
      <c r="H92" s="68">
        <v>2.9403574383172306</v>
      </c>
      <c r="I92" s="68">
        <v>2.620942589182814</v>
      </c>
      <c r="J92" s="68">
        <v>4.59067051393607</v>
      </c>
      <c r="K92" s="68">
        <v>4.244728209081142</v>
      </c>
      <c r="L92" s="68">
        <v>2.0484232898004739</v>
      </c>
      <c r="M92" s="68">
        <v>1.6162419960407595</v>
      </c>
      <c r="N92" s="68">
        <v>4.4558147719524346</v>
      </c>
    </row>
    <row r="93" spans="2:15" x14ac:dyDescent="0.3">
      <c r="B93" s="296" t="s">
        <v>5</v>
      </c>
      <c r="C93" s="13" t="s">
        <v>0</v>
      </c>
      <c r="D93" s="69">
        <v>3.6495899851737765</v>
      </c>
      <c r="E93" s="69">
        <v>2.3359041255763251</v>
      </c>
      <c r="F93" s="69">
        <v>3.7369222819798176</v>
      </c>
      <c r="G93" s="69">
        <v>2.993110523539416</v>
      </c>
      <c r="H93" s="69">
        <v>2.8834541010923029</v>
      </c>
      <c r="I93" s="69">
        <v>2.507405206265898</v>
      </c>
      <c r="J93" s="69">
        <v>4.5069640069708532</v>
      </c>
      <c r="K93" s="69">
        <v>3.6093758540147278</v>
      </c>
      <c r="L93" s="69">
        <v>2.0030684482664465</v>
      </c>
      <c r="M93" s="69">
        <v>1.6264043116677083</v>
      </c>
      <c r="N93" s="69">
        <v>4.5362346075648201</v>
      </c>
    </row>
    <row r="94" spans="2:15" x14ac:dyDescent="0.3">
      <c r="B94" s="295"/>
      <c r="C94" s="12" t="s">
        <v>1</v>
      </c>
      <c r="D94" s="70">
        <v>2.6853919676683957</v>
      </c>
      <c r="E94" s="70">
        <v>3.7377849956835463</v>
      </c>
      <c r="F94" s="70">
        <v>4.4264245924459846</v>
      </c>
      <c r="G94" s="70">
        <v>3.1570284611819694</v>
      </c>
      <c r="H94" s="70">
        <v>3.0198398956496622</v>
      </c>
      <c r="I94" s="70">
        <v>2.7835136284766859</v>
      </c>
      <c r="J94" s="70">
        <v>4.6416391013098135</v>
      </c>
      <c r="K94" s="70">
        <v>4.8066950047397201</v>
      </c>
      <c r="L94" s="70">
        <v>2.0941352576018462</v>
      </c>
      <c r="M94" s="70">
        <v>1.6102767073663682</v>
      </c>
      <c r="N94" s="70">
        <v>4.4053652016451839</v>
      </c>
    </row>
    <row r="95" spans="2:15" x14ac:dyDescent="0.3">
      <c r="B95" s="296" t="s">
        <v>4</v>
      </c>
      <c r="C95" s="9" t="s">
        <v>175</v>
      </c>
      <c r="D95" s="68">
        <v>2.6439964796916038</v>
      </c>
      <c r="E95" s="68">
        <v>4.8476339595249538</v>
      </c>
      <c r="F95" s="68">
        <v>4.4145888784424638</v>
      </c>
      <c r="G95" s="68">
        <v>3.0095289485548506</v>
      </c>
      <c r="H95" s="68">
        <v>1.9558859012179524</v>
      </c>
      <c r="I95" s="68">
        <v>2.3550713851256062</v>
      </c>
      <c r="J95" s="68">
        <v>3.6745844390355629</v>
      </c>
      <c r="K95" s="68">
        <v>5.6266086964472661</v>
      </c>
      <c r="L95" s="68">
        <v>1.8613272640749796</v>
      </c>
      <c r="M95" s="68">
        <v>1.6632135665959273</v>
      </c>
      <c r="N95" s="68">
        <v>3.0747434329000058</v>
      </c>
    </row>
    <row r="96" spans="2:15" x14ac:dyDescent="0.3">
      <c r="B96" s="292"/>
      <c r="C96" s="9" t="s">
        <v>176</v>
      </c>
      <c r="D96" s="68">
        <v>3.9589817458095533</v>
      </c>
      <c r="E96" s="68">
        <v>4.190185870221339</v>
      </c>
      <c r="F96" s="68">
        <v>4.4937901134988483</v>
      </c>
      <c r="G96" s="68">
        <v>3.4765934608990579</v>
      </c>
      <c r="H96" s="68">
        <v>3.6178827048912146</v>
      </c>
      <c r="I96" s="68">
        <v>3.3107384751594595</v>
      </c>
      <c r="J96" s="68">
        <v>3.7496349003792817</v>
      </c>
      <c r="K96" s="68">
        <v>2.3533628040563479</v>
      </c>
      <c r="L96" s="68">
        <v>2.1801010715761304</v>
      </c>
      <c r="M96" s="68">
        <v>1.7645678799746676</v>
      </c>
      <c r="N96" s="68">
        <v>4.0930991006897388</v>
      </c>
    </row>
    <row r="97" spans="2:14" x14ac:dyDescent="0.3">
      <c r="B97" s="292"/>
      <c r="C97" s="9" t="s">
        <v>177</v>
      </c>
      <c r="D97" s="68">
        <v>4.0039410596582368</v>
      </c>
      <c r="E97" s="68">
        <v>3.1552465556727585</v>
      </c>
      <c r="F97" s="68">
        <v>4.4239414371601224</v>
      </c>
      <c r="G97" s="68">
        <v>3.0736700434021897</v>
      </c>
      <c r="H97" s="68">
        <v>3.0827483509403319</v>
      </c>
      <c r="I97" s="68">
        <v>2.9519754981186601</v>
      </c>
      <c r="J97" s="68">
        <v>4.6014640181065065</v>
      </c>
      <c r="K97" s="68">
        <v>4.5946213987859812</v>
      </c>
      <c r="L97" s="68">
        <v>2.1242151138469811</v>
      </c>
      <c r="M97" s="68">
        <v>1.5557709866067952</v>
      </c>
      <c r="N97" s="68">
        <v>4.8333198384823017</v>
      </c>
    </row>
    <row r="98" spans="2:14" x14ac:dyDescent="0.3">
      <c r="B98" s="292"/>
      <c r="C98" s="9" t="s">
        <v>178</v>
      </c>
      <c r="D98" s="68">
        <v>3.4797840244815759</v>
      </c>
      <c r="E98" s="68">
        <v>3.4905416545298302</v>
      </c>
      <c r="F98" s="68">
        <v>4.2265494592497621</v>
      </c>
      <c r="G98" s="68">
        <v>3.1396796639147708</v>
      </c>
      <c r="H98" s="68">
        <v>3.2936314137862106</v>
      </c>
      <c r="I98" s="68">
        <v>2.6164351192694246</v>
      </c>
      <c r="J98" s="68">
        <v>4.7902387801020279</v>
      </c>
      <c r="K98" s="68">
        <v>4.3203636082198589</v>
      </c>
      <c r="L98" s="68">
        <v>2.1704498812221868</v>
      </c>
      <c r="M98" s="68">
        <v>1.6293479572506109</v>
      </c>
      <c r="N98" s="68">
        <v>4.2836962671487822</v>
      </c>
    </row>
    <row r="99" spans="2:14" x14ac:dyDescent="0.3">
      <c r="B99" s="292"/>
      <c r="C99" s="9" t="s">
        <v>179</v>
      </c>
      <c r="D99" s="68">
        <v>2.9036825994292639</v>
      </c>
      <c r="E99" s="68">
        <v>3.2609215701796055</v>
      </c>
      <c r="F99" s="68">
        <v>3.8379313429502147</v>
      </c>
      <c r="G99" s="68">
        <v>2.8348919222282394</v>
      </c>
      <c r="H99" s="68">
        <v>2.6308415293867937</v>
      </c>
      <c r="I99" s="68">
        <v>2.371687652009046</v>
      </c>
      <c r="J99" s="68">
        <v>4.7925594253352797</v>
      </c>
      <c r="K99" s="68">
        <v>4.1623834309512064</v>
      </c>
      <c r="L99" s="68">
        <v>2.0092406313612403</v>
      </c>
      <c r="M99" s="68">
        <v>1.5994519313728739</v>
      </c>
      <c r="N99" s="68">
        <v>4.7705350667160324</v>
      </c>
    </row>
    <row r="100" spans="2:14" x14ac:dyDescent="0.3">
      <c r="B100" s="292"/>
      <c r="C100" s="12" t="s">
        <v>180</v>
      </c>
      <c r="D100" s="70">
        <v>3.0950209579120278</v>
      </c>
      <c r="E100" s="70">
        <v>3.3007473463952666</v>
      </c>
      <c r="F100" s="70">
        <v>3.5184927033938518</v>
      </c>
      <c r="G100" s="70">
        <v>2.8986945937763844</v>
      </c>
      <c r="H100" s="70">
        <v>2.592446950736544</v>
      </c>
      <c r="I100" s="70">
        <v>2.4360081020435813</v>
      </c>
      <c r="J100" s="70">
        <v>4.9131089749995196</v>
      </c>
      <c r="K100" s="70">
        <v>3.5165797441456772</v>
      </c>
      <c r="L100" s="70">
        <v>1.8492277728769224</v>
      </c>
      <c r="M100" s="70">
        <v>1.449730376522103</v>
      </c>
      <c r="N100" s="70">
        <v>4.7172708124218659</v>
      </c>
    </row>
    <row r="101" spans="2:14" x14ac:dyDescent="0.3">
      <c r="B101" s="303" t="s">
        <v>223</v>
      </c>
      <c r="C101" s="9" t="s">
        <v>210</v>
      </c>
      <c r="D101" s="68">
        <v>2.6524505286719755</v>
      </c>
      <c r="E101" s="68">
        <v>1.4326305269746127</v>
      </c>
      <c r="F101" s="68">
        <v>3.8867991428926807</v>
      </c>
      <c r="G101" s="68">
        <v>3.0233427300453677</v>
      </c>
      <c r="H101" s="68">
        <v>2.1132444297248227</v>
      </c>
      <c r="I101" s="68">
        <v>2.6632539801923194</v>
      </c>
      <c r="J101" s="68">
        <v>5.4654770526830028</v>
      </c>
      <c r="K101" s="68">
        <v>0</v>
      </c>
      <c r="L101" s="68">
        <v>1.7796876839290972</v>
      </c>
      <c r="M101" s="68">
        <v>1.1413134659230735</v>
      </c>
      <c r="N101" s="68">
        <v>2.4300589973852116</v>
      </c>
    </row>
    <row r="102" spans="2:14" x14ac:dyDescent="0.3">
      <c r="B102" s="292"/>
      <c r="C102" s="9" t="s">
        <v>211</v>
      </c>
      <c r="D102" s="68">
        <v>4.1451332225058612</v>
      </c>
      <c r="E102" s="68">
        <v>2.6424349713945121</v>
      </c>
      <c r="F102" s="68">
        <v>4.0438349821098258</v>
      </c>
      <c r="G102" s="68">
        <v>3.6083562876697424</v>
      </c>
      <c r="H102" s="68">
        <v>3.8880888499920343</v>
      </c>
      <c r="I102" s="68">
        <v>3.1242995547982666</v>
      </c>
      <c r="J102" s="68">
        <v>3.3916561768477891</v>
      </c>
      <c r="K102" s="68">
        <v>2.1800650542767004</v>
      </c>
      <c r="L102" s="68">
        <v>2.2049553972706724</v>
      </c>
      <c r="M102" s="68">
        <v>1.7248125107606385</v>
      </c>
      <c r="N102" s="68">
        <v>4.6141646896044044</v>
      </c>
    </row>
    <row r="103" spans="2:14" x14ac:dyDescent="0.3">
      <c r="B103" s="292"/>
      <c r="C103" s="9" t="s">
        <v>212</v>
      </c>
      <c r="D103" s="68">
        <v>4.1779971488499159</v>
      </c>
      <c r="E103" s="68">
        <v>2.4744657265795289</v>
      </c>
      <c r="F103" s="68">
        <v>3.978195543500195</v>
      </c>
      <c r="G103" s="68">
        <v>3.0173751248187917</v>
      </c>
      <c r="H103" s="68">
        <v>3.4021796721892139</v>
      </c>
      <c r="I103" s="68">
        <v>2.6102904051941547</v>
      </c>
      <c r="J103" s="68">
        <v>4.1122046528873168</v>
      </c>
      <c r="K103" s="68">
        <v>3.5901124931959831</v>
      </c>
      <c r="L103" s="68">
        <v>1.972424565935174</v>
      </c>
      <c r="M103" s="68">
        <v>1.7067220235607381</v>
      </c>
      <c r="N103" s="68">
        <v>4.9990686078678515</v>
      </c>
    </row>
    <row r="104" spans="2:14" x14ac:dyDescent="0.3">
      <c r="B104" s="292"/>
      <c r="C104" s="9" t="s">
        <v>213</v>
      </c>
      <c r="D104" s="68">
        <v>3.5126444005330253</v>
      </c>
      <c r="E104" s="68">
        <v>3.1920661572494948</v>
      </c>
      <c r="F104" s="68">
        <v>3.9077472880835753</v>
      </c>
      <c r="G104" s="68">
        <v>3.0699997118865303</v>
      </c>
      <c r="H104" s="68">
        <v>2.9979404150772231</v>
      </c>
      <c r="I104" s="68">
        <v>2.7210418913538454</v>
      </c>
      <c r="J104" s="68">
        <v>4.7796611091620829</v>
      </c>
      <c r="K104" s="68">
        <v>3.7897502392038689</v>
      </c>
      <c r="L104" s="68">
        <v>2.1824669706325794</v>
      </c>
      <c r="M104" s="68">
        <v>1.676155962109334</v>
      </c>
      <c r="N104" s="68">
        <v>4.0561215017722478</v>
      </c>
    </row>
    <row r="105" spans="2:14" x14ac:dyDescent="0.3">
      <c r="B105" s="292"/>
      <c r="C105" s="9" t="s">
        <v>214</v>
      </c>
      <c r="D105" s="68">
        <v>3.1786366019984831</v>
      </c>
      <c r="E105" s="68">
        <v>2.137794212519315</v>
      </c>
      <c r="F105" s="68">
        <v>3.479997527143015</v>
      </c>
      <c r="G105" s="68">
        <v>2.6486062287587595</v>
      </c>
      <c r="H105" s="68">
        <v>2.3741961809326111</v>
      </c>
      <c r="I105" s="68">
        <v>2.2292165953772654</v>
      </c>
      <c r="J105" s="68">
        <v>4.858441984586042</v>
      </c>
      <c r="K105" s="68">
        <v>3.5324578133865288</v>
      </c>
      <c r="L105" s="68">
        <v>1.9583406502837191</v>
      </c>
      <c r="M105" s="68">
        <v>1.6197720189995168</v>
      </c>
      <c r="N105" s="68">
        <v>4.7508058839819771</v>
      </c>
    </row>
    <row r="106" spans="2:14" x14ac:dyDescent="0.3">
      <c r="B106" s="292"/>
      <c r="C106" s="12" t="s">
        <v>215</v>
      </c>
      <c r="D106" s="70">
        <v>3.2475879787670618</v>
      </c>
      <c r="E106" s="70">
        <v>1.800286544662504</v>
      </c>
      <c r="F106" s="70">
        <v>3.1426124824810144</v>
      </c>
      <c r="G106" s="70">
        <v>2.7634406111508989</v>
      </c>
      <c r="H106" s="70">
        <v>2.4051668236931487</v>
      </c>
      <c r="I106" s="70">
        <v>2.2836907566262332</v>
      </c>
      <c r="J106" s="70">
        <v>5.0582624313600721</v>
      </c>
      <c r="K106" s="70">
        <v>3.7294352970246232</v>
      </c>
      <c r="L106" s="70">
        <v>1.7631680710838868</v>
      </c>
      <c r="M106" s="70">
        <v>1.537990398109697</v>
      </c>
      <c r="N106" s="70">
        <v>4.9583901630256699</v>
      </c>
    </row>
    <row r="107" spans="2:14" x14ac:dyDescent="0.3">
      <c r="B107" s="292"/>
      <c r="C107" s="9" t="s">
        <v>216</v>
      </c>
      <c r="D107" s="68">
        <v>2.4014165023288649</v>
      </c>
      <c r="E107" s="68">
        <v>5.0871015369842763</v>
      </c>
      <c r="F107" s="68">
        <v>4.8604241628329694</v>
      </c>
      <c r="G107" s="68">
        <v>2.98777605708558</v>
      </c>
      <c r="H107" s="68">
        <v>1.7728005508004818</v>
      </c>
      <c r="I107" s="68">
        <v>1.9427409058631431</v>
      </c>
      <c r="J107" s="68">
        <v>2.7998477833937043</v>
      </c>
      <c r="K107" s="68">
        <v>5.6266086964472661</v>
      </c>
      <c r="L107" s="68">
        <v>1.9446669441074755</v>
      </c>
      <c r="M107" s="68">
        <v>1.9264564089718439</v>
      </c>
      <c r="N107" s="68">
        <v>3.4439012686348227</v>
      </c>
    </row>
    <row r="108" spans="2:14" x14ac:dyDescent="0.3">
      <c r="B108" s="292"/>
      <c r="C108" s="9" t="s">
        <v>217</v>
      </c>
      <c r="D108" s="68">
        <v>1.9213155610137782</v>
      </c>
      <c r="E108" s="68">
        <v>4.37741990133825</v>
      </c>
      <c r="F108" s="68">
        <v>4.9080020636558466</v>
      </c>
      <c r="G108" s="68">
        <v>3.2778304676577195</v>
      </c>
      <c r="H108" s="68">
        <v>3.2012640360471258</v>
      </c>
      <c r="I108" s="68">
        <v>3.5569707727182824</v>
      </c>
      <c r="J108" s="68">
        <v>3.9888577022436373</v>
      </c>
      <c r="K108" s="68">
        <v>2.5252483244311317</v>
      </c>
      <c r="L108" s="68">
        <v>2.152051872561731</v>
      </c>
      <c r="M108" s="68">
        <v>1.7863049152625388</v>
      </c>
      <c r="N108" s="68">
        <v>3.8140697471998113</v>
      </c>
    </row>
    <row r="109" spans="2:14" x14ac:dyDescent="0.3">
      <c r="B109" s="292"/>
      <c r="C109" s="9" t="s">
        <v>218</v>
      </c>
      <c r="D109" s="68">
        <v>3.0405669787253546</v>
      </c>
      <c r="E109" s="68">
        <v>3.2391299187808631</v>
      </c>
      <c r="F109" s="68">
        <v>4.8461985674029808</v>
      </c>
      <c r="G109" s="68">
        <v>3.1539997549336469</v>
      </c>
      <c r="H109" s="68">
        <v>2.5739237947908546</v>
      </c>
      <c r="I109" s="68">
        <v>3.5383207797423837</v>
      </c>
      <c r="J109" s="68">
        <v>4.9487994751151021</v>
      </c>
      <c r="K109" s="68">
        <v>5.4930673083112413</v>
      </c>
      <c r="L109" s="68">
        <v>2.2852284360067214</v>
      </c>
      <c r="M109" s="68">
        <v>1.4642807352895979</v>
      </c>
      <c r="N109" s="68">
        <v>4.7403598321223326</v>
      </c>
    </row>
    <row r="110" spans="2:14" x14ac:dyDescent="0.3">
      <c r="B110" s="292"/>
      <c r="C110" s="9" t="s">
        <v>219</v>
      </c>
      <c r="D110" s="68">
        <v>3.3419777184977129</v>
      </c>
      <c r="E110" s="68">
        <v>3.5342045719030022</v>
      </c>
      <c r="F110" s="68">
        <v>4.4978660164636484</v>
      </c>
      <c r="G110" s="68">
        <v>3.2294631875065551</v>
      </c>
      <c r="H110" s="68">
        <v>3.749087258767593</v>
      </c>
      <c r="I110" s="68">
        <v>2.4635087509961133</v>
      </c>
      <c r="J110" s="68">
        <v>4.7957460254269906</v>
      </c>
      <c r="K110" s="68">
        <v>4.8090367377591017</v>
      </c>
      <c r="L110" s="68">
        <v>2.1578688099846404</v>
      </c>
      <c r="M110" s="68">
        <v>1.6023588870820218</v>
      </c>
      <c r="N110" s="68">
        <v>4.4287717908434532</v>
      </c>
    </row>
    <row r="111" spans="2:14" x14ac:dyDescent="0.3">
      <c r="B111" s="292"/>
      <c r="C111" s="9" t="s">
        <v>220</v>
      </c>
      <c r="D111" s="68">
        <v>2.0953052443144005</v>
      </c>
      <c r="E111" s="68">
        <v>3.6354590974641718</v>
      </c>
      <c r="F111" s="68">
        <v>4.1179272913525136</v>
      </c>
      <c r="G111" s="68">
        <v>3.094313119293937</v>
      </c>
      <c r="H111" s="68">
        <v>2.9811681808989139</v>
      </c>
      <c r="I111" s="68">
        <v>2.5701062733012368</v>
      </c>
      <c r="J111" s="68">
        <v>4.7508985463866784</v>
      </c>
      <c r="K111" s="68">
        <v>5.3155528091505815</v>
      </c>
      <c r="L111" s="68">
        <v>2.0602256175641456</v>
      </c>
      <c r="M111" s="68">
        <v>1.5880134005097581</v>
      </c>
      <c r="N111" s="68">
        <v>4.7851394523791235</v>
      </c>
    </row>
    <row r="112" spans="2:14" x14ac:dyDescent="0.3">
      <c r="B112" s="295"/>
      <c r="C112" s="9" t="s">
        <v>221</v>
      </c>
      <c r="D112" s="68">
        <v>2.8420600518696713</v>
      </c>
      <c r="E112" s="68">
        <v>3.6227603317349368</v>
      </c>
      <c r="F112" s="68">
        <v>3.7855972115698835</v>
      </c>
      <c r="G112" s="68">
        <v>3.0771723963103161</v>
      </c>
      <c r="H112" s="68">
        <v>2.8113247344355576</v>
      </c>
      <c r="I112" s="68">
        <v>2.6462973229946938</v>
      </c>
      <c r="J112" s="68">
        <v>4.8306866270967905</v>
      </c>
      <c r="K112" s="68">
        <v>3.4721325841854034</v>
      </c>
      <c r="L112" s="68">
        <v>1.9233573017012229</v>
      </c>
      <c r="M112" s="68">
        <v>1.3855359685469884</v>
      </c>
      <c r="N112" s="68">
        <v>4.5523595425389995</v>
      </c>
    </row>
    <row r="113" spans="2:14" ht="16.5" customHeight="1" x14ac:dyDescent="0.3">
      <c r="B113" s="291" t="s">
        <v>222</v>
      </c>
      <c r="C113" s="13" t="s">
        <v>195</v>
      </c>
      <c r="D113" s="69">
        <v>3.6116057763012206</v>
      </c>
      <c r="E113" s="69">
        <v>3.9284702266063012</v>
      </c>
      <c r="F113" s="69">
        <v>3.9922851184445918</v>
      </c>
      <c r="G113" s="69">
        <v>3.0703277805981819</v>
      </c>
      <c r="H113" s="69">
        <v>3.0334189517417518</v>
      </c>
      <c r="I113" s="69">
        <v>2.9865448780270984</v>
      </c>
      <c r="J113" s="69">
        <v>4.4340078742595015</v>
      </c>
      <c r="K113" s="69">
        <v>3.8023753322792646</v>
      </c>
      <c r="L113" s="69">
        <v>2.0288331738401397</v>
      </c>
      <c r="M113" s="69">
        <v>1.7248953558366171</v>
      </c>
      <c r="N113" s="69">
        <v>4.2988052128793823</v>
      </c>
    </row>
    <row r="114" spans="2:14" x14ac:dyDescent="0.3">
      <c r="B114" s="294"/>
      <c r="C114" s="9" t="s">
        <v>224</v>
      </c>
      <c r="D114" s="68">
        <v>3.1795956653212167</v>
      </c>
      <c r="E114" s="68">
        <v>3.1253114873604368</v>
      </c>
      <c r="F114" s="68">
        <v>4.0157674361883569</v>
      </c>
      <c r="G114" s="68">
        <v>2.8949869252695621</v>
      </c>
      <c r="H114" s="68">
        <v>2.8281296498338202</v>
      </c>
      <c r="I114" s="68">
        <v>2.5715484384308254</v>
      </c>
      <c r="J114" s="68">
        <v>4.3402123984298608</v>
      </c>
      <c r="K114" s="68">
        <v>4.002198451996092</v>
      </c>
      <c r="L114" s="68">
        <v>1.9769817176293059</v>
      </c>
      <c r="M114" s="68">
        <v>1.536477551457621</v>
      </c>
      <c r="N114" s="68">
        <v>4.5602822468553166</v>
      </c>
    </row>
    <row r="115" spans="2:14" x14ac:dyDescent="0.3">
      <c r="B115" s="292"/>
      <c r="C115" s="9" t="s">
        <v>197</v>
      </c>
      <c r="D115" s="68">
        <v>3.5868438813362813</v>
      </c>
      <c r="E115" s="68">
        <v>3.3124801738271845</v>
      </c>
      <c r="F115" s="68">
        <v>4.0934012629080865</v>
      </c>
      <c r="G115" s="68">
        <v>3.1189131778960637</v>
      </c>
      <c r="H115" s="68">
        <v>2.9705588777971705</v>
      </c>
      <c r="I115" s="68">
        <v>2.4958242970066187</v>
      </c>
      <c r="J115" s="68">
        <v>4.7677725593441842</v>
      </c>
      <c r="K115" s="68">
        <v>4.2927247813510192</v>
      </c>
      <c r="L115" s="68">
        <v>2.1051199165312751</v>
      </c>
      <c r="M115" s="68">
        <v>1.5795657289514315</v>
      </c>
      <c r="N115" s="68">
        <v>4.8134742950897236</v>
      </c>
    </row>
    <row r="116" spans="2:14" x14ac:dyDescent="0.3">
      <c r="B116" s="295"/>
      <c r="C116" s="12" t="s">
        <v>198</v>
      </c>
      <c r="D116" s="70">
        <v>3.5004303480604309</v>
      </c>
      <c r="E116" s="70">
        <v>3.7137923931520893</v>
      </c>
      <c r="F116" s="70">
        <v>4.3549411574714867</v>
      </c>
      <c r="G116" s="70">
        <v>3.1911667083986734</v>
      </c>
      <c r="H116" s="70">
        <v>2.9535198650357262</v>
      </c>
      <c r="I116" s="70">
        <v>2.5263068466329783</v>
      </c>
      <c r="J116" s="70">
        <v>4.8140924210326013</v>
      </c>
      <c r="K116" s="70">
        <v>4.6442443403979219</v>
      </c>
      <c r="L116" s="70">
        <v>2.0961183005966912</v>
      </c>
      <c r="M116" s="70">
        <v>1.6318701105246842</v>
      </c>
      <c r="N116" s="70">
        <v>4.2390461629315519</v>
      </c>
    </row>
    <row r="117" spans="2:14" x14ac:dyDescent="0.3">
      <c r="B117" s="296" t="s">
        <v>199</v>
      </c>
      <c r="C117" s="13" t="s">
        <v>192</v>
      </c>
      <c r="D117" s="69">
        <v>3.5068045386155453</v>
      </c>
      <c r="E117" s="69">
        <v>3.6169534913669708</v>
      </c>
      <c r="F117" s="69">
        <v>4.1780939502911414</v>
      </c>
      <c r="G117" s="69">
        <v>3.0459618410309144</v>
      </c>
      <c r="H117" s="69">
        <v>2.8539796765450238</v>
      </c>
      <c r="I117" s="69">
        <v>2.6338519833546004</v>
      </c>
      <c r="J117" s="69">
        <v>4.5978773347593522</v>
      </c>
      <c r="K117" s="69">
        <v>3.9968054249612228</v>
      </c>
      <c r="L117" s="69">
        <v>2.0980144894507049</v>
      </c>
      <c r="M117" s="69">
        <v>1.6216235031452766</v>
      </c>
      <c r="N117" s="69">
        <v>4.4516763917947584</v>
      </c>
    </row>
    <row r="118" spans="2:14" x14ac:dyDescent="0.3">
      <c r="B118" s="292"/>
      <c r="C118" s="9" t="s">
        <v>200</v>
      </c>
      <c r="D118" s="68">
        <v>3.3995981628226386</v>
      </c>
      <c r="E118" s="68">
        <v>3.2678894465588018</v>
      </c>
      <c r="F118" s="68">
        <v>4.1314865284383231</v>
      </c>
      <c r="G118" s="68">
        <v>3.1250698984948482</v>
      </c>
      <c r="H118" s="68">
        <v>3.1186020089414979</v>
      </c>
      <c r="I118" s="68">
        <v>2.5251970153270502</v>
      </c>
      <c r="J118" s="68">
        <v>4.9615662330365504</v>
      </c>
      <c r="K118" s="68">
        <v>4.3699455941423819</v>
      </c>
      <c r="L118" s="68">
        <v>2.0476587287257657</v>
      </c>
      <c r="M118" s="68">
        <v>1.5386601814898355</v>
      </c>
      <c r="N118" s="68">
        <v>4.0308732513425394</v>
      </c>
    </row>
    <row r="119" spans="2:14" x14ac:dyDescent="0.3">
      <c r="B119" s="292"/>
      <c r="C119" s="9" t="s">
        <v>201</v>
      </c>
      <c r="D119" s="68">
        <v>3.0774595739266459</v>
      </c>
      <c r="E119" s="68">
        <v>2.7941810705322578</v>
      </c>
      <c r="F119" s="68">
        <v>3.8896774804290999</v>
      </c>
      <c r="G119" s="68">
        <v>2.8862618958861996</v>
      </c>
      <c r="H119" s="68">
        <v>3.077445714537105</v>
      </c>
      <c r="I119" s="68">
        <v>2.4283173587904634</v>
      </c>
      <c r="J119" s="68">
        <v>4.3703459159587466</v>
      </c>
      <c r="K119" s="68">
        <v>4.0124342042040819</v>
      </c>
      <c r="L119" s="68">
        <v>1.8918301056674744</v>
      </c>
      <c r="M119" s="68">
        <v>1.4995275246097166</v>
      </c>
      <c r="N119" s="68">
        <v>4.8991349542843743</v>
      </c>
    </row>
    <row r="120" spans="2:14" x14ac:dyDescent="0.3">
      <c r="B120" s="292"/>
      <c r="C120" s="9" t="s">
        <v>202</v>
      </c>
      <c r="D120" s="68">
        <v>3.3112423185897168</v>
      </c>
      <c r="E120" s="68">
        <v>3.4238384874735384</v>
      </c>
      <c r="F120" s="68">
        <v>4.3032743345343549</v>
      </c>
      <c r="G120" s="68">
        <v>3.0003401333286361</v>
      </c>
      <c r="H120" s="68">
        <v>3.3460430840271993</v>
      </c>
      <c r="I120" s="68">
        <v>2.5682025305644816</v>
      </c>
      <c r="J120" s="68">
        <v>4.9610797686191237</v>
      </c>
      <c r="K120" s="68">
        <v>5.575702278898671</v>
      </c>
      <c r="L120" s="68">
        <v>2.1169168130834977</v>
      </c>
      <c r="M120" s="68">
        <v>1.7164648393723121</v>
      </c>
      <c r="N120" s="68">
        <v>4.8218368861475387</v>
      </c>
    </row>
    <row r="121" spans="2:14" ht="16.5" customHeight="1" x14ac:dyDescent="0.3">
      <c r="B121" s="295"/>
      <c r="C121" s="12" t="s">
        <v>203</v>
      </c>
      <c r="D121" s="70">
        <v>3.5847076878997277</v>
      </c>
      <c r="E121" s="70">
        <v>3.7265555273695097</v>
      </c>
      <c r="F121" s="70">
        <v>3.985591170905463</v>
      </c>
      <c r="G121" s="70">
        <v>3.1867873168707179</v>
      </c>
      <c r="H121" s="70">
        <v>2.9139639989742023</v>
      </c>
      <c r="I121" s="70">
        <v>2.7275204346124249</v>
      </c>
      <c r="J121" s="70">
        <v>4.4704377225250038</v>
      </c>
      <c r="K121" s="70">
        <v>4.4118797970827313</v>
      </c>
      <c r="L121" s="70">
        <v>1.9802472160407636</v>
      </c>
      <c r="M121" s="70">
        <v>1.6323553986725241</v>
      </c>
      <c r="N121" s="70">
        <v>4.2473684829747658</v>
      </c>
    </row>
    <row r="122" spans="2:14" ht="16.5" customHeight="1" x14ac:dyDescent="0.3">
      <c r="B122" s="291" t="s">
        <v>204</v>
      </c>
      <c r="C122" s="13" t="s">
        <v>192</v>
      </c>
      <c r="D122" s="69">
        <v>3.5068045386155453</v>
      </c>
      <c r="E122" s="69">
        <v>3.6169534913669708</v>
      </c>
      <c r="F122" s="69">
        <v>4.1780939502911414</v>
      </c>
      <c r="G122" s="69">
        <v>3.0459618410309144</v>
      </c>
      <c r="H122" s="69">
        <v>2.8539796765450238</v>
      </c>
      <c r="I122" s="69">
        <v>2.6338519833546004</v>
      </c>
      <c r="J122" s="69">
        <v>4.5978773347593522</v>
      </c>
      <c r="K122" s="69">
        <v>3.9968054249612228</v>
      </c>
      <c r="L122" s="69">
        <v>2.0980144894507049</v>
      </c>
      <c r="M122" s="69">
        <v>1.6216235031452766</v>
      </c>
      <c r="N122" s="69">
        <v>4.4516763917947584</v>
      </c>
    </row>
    <row r="123" spans="2:14" x14ac:dyDescent="0.3">
      <c r="B123" s="295"/>
      <c r="C123" s="12" t="s">
        <v>193</v>
      </c>
      <c r="D123" s="70">
        <v>3.3918722402057715</v>
      </c>
      <c r="E123" s="70">
        <v>3.4044203711315095</v>
      </c>
      <c r="F123" s="70">
        <v>4.0339257980738115</v>
      </c>
      <c r="G123" s="70">
        <v>3.0809450588626155</v>
      </c>
      <c r="H123" s="70">
        <v>3.056032445829858</v>
      </c>
      <c r="I123" s="70">
        <v>2.6063262327585583</v>
      </c>
      <c r="J123" s="70">
        <v>4.5808721661394731</v>
      </c>
      <c r="K123" s="70">
        <v>4.5504082702297808</v>
      </c>
      <c r="L123" s="70">
        <v>1.9909582159534869</v>
      </c>
      <c r="M123" s="70">
        <v>1.609662292999573</v>
      </c>
      <c r="N123" s="70">
        <v>4.4604086271895929</v>
      </c>
    </row>
    <row r="124" spans="2:14" x14ac:dyDescent="0.3">
      <c r="B124" s="291" t="s">
        <v>209</v>
      </c>
      <c r="C124" s="13" t="s">
        <v>205</v>
      </c>
      <c r="D124" s="69">
        <v>3.7423318913429511</v>
      </c>
      <c r="E124" s="69">
        <v>3.6464198943612445</v>
      </c>
      <c r="F124" s="69">
        <v>3.9054273695205568</v>
      </c>
      <c r="G124" s="69">
        <v>2.642771372567843</v>
      </c>
      <c r="H124" s="69">
        <v>2.7979622375490978</v>
      </c>
      <c r="I124" s="69">
        <v>2.7257185938838342</v>
      </c>
      <c r="J124" s="69">
        <v>4.1418815941325189</v>
      </c>
      <c r="K124" s="69">
        <v>4.6561078363668891</v>
      </c>
      <c r="L124" s="69">
        <v>1.8759982020184947</v>
      </c>
      <c r="M124" s="69">
        <v>1.5366361246669773</v>
      </c>
      <c r="N124" s="69">
        <v>4.3689382591562778</v>
      </c>
    </row>
    <row r="125" spans="2:14" x14ac:dyDescent="0.3">
      <c r="B125" s="292"/>
      <c r="C125" s="9" t="s">
        <v>206</v>
      </c>
      <c r="D125" s="68">
        <v>2.9893361120411335</v>
      </c>
      <c r="E125" s="68">
        <v>3.2864922462535144</v>
      </c>
      <c r="F125" s="68">
        <v>3.8625003452819522</v>
      </c>
      <c r="G125" s="68">
        <v>3.1103988781721013</v>
      </c>
      <c r="H125" s="68">
        <v>3.1947447679067764</v>
      </c>
      <c r="I125" s="68">
        <v>2.5345144787299341</v>
      </c>
      <c r="J125" s="68">
        <v>4.653711614569179</v>
      </c>
      <c r="K125" s="68">
        <v>2.672656994322439</v>
      </c>
      <c r="L125" s="68">
        <v>1.9341536053018948</v>
      </c>
      <c r="M125" s="68">
        <v>1.6244568363639029</v>
      </c>
      <c r="N125" s="68">
        <v>4.8834216635000329</v>
      </c>
    </row>
    <row r="126" spans="2:14" x14ac:dyDescent="0.3">
      <c r="B126" s="292"/>
      <c r="C126" s="9" t="s">
        <v>207</v>
      </c>
      <c r="D126" s="68">
        <v>3.5195664002468869</v>
      </c>
      <c r="E126" s="68">
        <v>3.1691492498290108</v>
      </c>
      <c r="F126" s="68">
        <v>4.0891348609393452</v>
      </c>
      <c r="G126" s="68">
        <v>3.0024356155781948</v>
      </c>
      <c r="H126" s="68">
        <v>2.7655969073496673</v>
      </c>
      <c r="I126" s="68">
        <v>2.4925363427844398</v>
      </c>
      <c r="J126" s="68">
        <v>4.9608163004508521</v>
      </c>
      <c r="K126" s="68">
        <v>3.9949242226418056</v>
      </c>
      <c r="L126" s="68">
        <v>2.0797242876968141</v>
      </c>
      <c r="M126" s="68">
        <v>1.5389971991926628</v>
      </c>
      <c r="N126" s="68">
        <v>4.5770573645086703</v>
      </c>
    </row>
    <row r="127" spans="2:14" x14ac:dyDescent="0.3">
      <c r="B127" s="293"/>
      <c r="C127" s="25" t="s">
        <v>208</v>
      </c>
      <c r="D127" s="71">
        <v>3.5362793045889376</v>
      </c>
      <c r="E127" s="71">
        <v>3.9213108348873185</v>
      </c>
      <c r="F127" s="71">
        <v>4.3612619071401113</v>
      </c>
      <c r="G127" s="71">
        <v>3.2608034412653293</v>
      </c>
      <c r="H127" s="71">
        <v>3.0473016953391268</v>
      </c>
      <c r="I127" s="71">
        <v>2.7616886546873736</v>
      </c>
      <c r="J127" s="71">
        <v>4.4122655381935534</v>
      </c>
      <c r="K127" s="71">
        <v>4.6976423016723112</v>
      </c>
      <c r="L127" s="71">
        <v>2.1608785353694788</v>
      </c>
      <c r="M127" s="71">
        <v>1.7073863386528974</v>
      </c>
      <c r="N127" s="71">
        <v>4.1104919957590846</v>
      </c>
    </row>
    <row r="129" spans="2:15" x14ac:dyDescent="0.3">
      <c r="B129" s="259" t="s">
        <v>563</v>
      </c>
      <c r="C129" s="261"/>
      <c r="D129" s="261"/>
      <c r="E129" s="261"/>
      <c r="F129" s="261"/>
      <c r="G129" s="261"/>
      <c r="H129" s="262"/>
      <c r="I129" s="261"/>
      <c r="J129" s="261"/>
      <c r="K129" s="261"/>
      <c r="L129" s="261"/>
      <c r="M129" s="261"/>
      <c r="N129" s="261"/>
      <c r="O129" s="261"/>
    </row>
    <row r="130" spans="2:15" ht="14.25" customHeight="1" x14ac:dyDescent="0.3">
      <c r="B130" s="8"/>
      <c r="H130" s="11"/>
      <c r="K130" s="30"/>
      <c r="N130" s="30"/>
      <c r="O130" s="30" t="s">
        <v>53</v>
      </c>
    </row>
    <row r="131" spans="2:15" ht="24.75" customHeight="1" x14ac:dyDescent="0.3">
      <c r="B131" s="209"/>
      <c r="C131" s="209"/>
      <c r="D131" s="289" t="s">
        <v>564</v>
      </c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</row>
    <row r="132" spans="2:15" ht="24.75" customHeight="1" x14ac:dyDescent="0.3">
      <c r="B132" s="290" t="s">
        <v>559</v>
      </c>
      <c r="C132" s="290"/>
      <c r="D132" s="290"/>
      <c r="E132" s="210" t="s">
        <v>264</v>
      </c>
      <c r="F132" s="210" t="s">
        <v>266</v>
      </c>
      <c r="G132" s="210" t="s">
        <v>22</v>
      </c>
      <c r="H132" s="210" t="s">
        <v>268</v>
      </c>
      <c r="I132" s="210" t="s">
        <v>272</v>
      </c>
      <c r="J132" s="210" t="s">
        <v>270</v>
      </c>
      <c r="K132" s="210" t="s">
        <v>273</v>
      </c>
      <c r="L132" s="210" t="s">
        <v>274</v>
      </c>
      <c r="M132" s="210" t="s">
        <v>23</v>
      </c>
      <c r="N132" s="210" t="s">
        <v>275</v>
      </c>
      <c r="O132" s="210" t="s">
        <v>276</v>
      </c>
    </row>
    <row r="133" spans="2:15" ht="24.75" customHeight="1" x14ac:dyDescent="0.3">
      <c r="B133" s="286" t="s">
        <v>509</v>
      </c>
      <c r="C133" s="286"/>
      <c r="D133" s="256" t="s">
        <v>20</v>
      </c>
      <c r="E133" s="255">
        <v>3.4201334726039292</v>
      </c>
      <c r="F133" s="255">
        <v>3.6010793194995951</v>
      </c>
      <c r="G133" s="255">
        <v>3.6298038354188806</v>
      </c>
      <c r="H133" s="255">
        <v>2.7389571791030263</v>
      </c>
      <c r="I133" s="255">
        <v>2.7181130035102066</v>
      </c>
      <c r="J133" s="255">
        <v>2.3621127384541749</v>
      </c>
      <c r="K133" s="255">
        <v>4.056404050071575</v>
      </c>
      <c r="L133" s="255" t="s">
        <v>558</v>
      </c>
      <c r="M133" s="255">
        <v>1.7740654754331842</v>
      </c>
      <c r="N133" s="255">
        <v>1.5323059904631855</v>
      </c>
      <c r="O133" s="255">
        <v>4.0914996766218721</v>
      </c>
    </row>
    <row r="134" spans="2:15" x14ac:dyDescent="0.3">
      <c r="B134" s="287"/>
      <c r="C134" s="287"/>
      <c r="D134" s="80" t="s">
        <v>546</v>
      </c>
      <c r="E134" s="80">
        <v>3.9901247071312342</v>
      </c>
      <c r="F134" s="80">
        <v>4.8665860793479618</v>
      </c>
      <c r="G134" s="80">
        <v>3.9614160271049639</v>
      </c>
      <c r="H134" s="80">
        <v>3.0137742137125776</v>
      </c>
      <c r="I134" s="80">
        <v>3.2878489954009167</v>
      </c>
      <c r="J134" s="80">
        <v>2.9921250225258267</v>
      </c>
      <c r="K134" s="80">
        <v>4.5189660765970094</v>
      </c>
      <c r="L134" s="80" t="s">
        <v>558</v>
      </c>
      <c r="M134" s="80">
        <v>1.9740428714843472</v>
      </c>
      <c r="N134" s="80">
        <v>1.7398165589886547</v>
      </c>
      <c r="O134" s="80">
        <v>5.0834380282766745</v>
      </c>
    </row>
    <row r="135" spans="2:15" x14ac:dyDescent="0.3">
      <c r="B135" s="287"/>
      <c r="C135" s="287"/>
      <c r="D135" s="79" t="s">
        <v>547</v>
      </c>
      <c r="E135" s="79">
        <v>1.8440910305761509</v>
      </c>
      <c r="F135" s="79">
        <v>2.0313904187979692</v>
      </c>
      <c r="G135" s="79">
        <v>2.040206021784416</v>
      </c>
      <c r="H135" s="79">
        <v>1.8262634351960392</v>
      </c>
      <c r="I135" s="79">
        <v>1.8232299504143095</v>
      </c>
      <c r="J135" s="79">
        <v>1.8886327669834639</v>
      </c>
      <c r="K135" s="79">
        <v>3.0897751951159664</v>
      </c>
      <c r="L135" s="79" t="s">
        <v>558</v>
      </c>
      <c r="M135" s="79">
        <v>1.2859997720784324</v>
      </c>
      <c r="N135" s="79">
        <v>1.2058616736455046</v>
      </c>
      <c r="O135" s="79">
        <v>2.7696471725193494</v>
      </c>
    </row>
    <row r="136" spans="2:15" x14ac:dyDescent="0.3">
      <c r="B136" s="287"/>
      <c r="C136" s="287"/>
      <c r="D136" s="79" t="s">
        <v>548</v>
      </c>
      <c r="E136" s="79">
        <v>1.6476306570640071</v>
      </c>
      <c r="F136" s="79">
        <v>1.9020926613444926</v>
      </c>
      <c r="G136" s="79">
        <v>1.9041523784936449</v>
      </c>
      <c r="H136" s="79">
        <v>1.6321784083117423</v>
      </c>
      <c r="I136" s="79">
        <v>1.7718331339115343</v>
      </c>
      <c r="J136" s="79">
        <v>1.4676691722952293</v>
      </c>
      <c r="K136" s="79">
        <v>2.8128063116350064</v>
      </c>
      <c r="L136" s="79" t="s">
        <v>558</v>
      </c>
      <c r="M136" s="79">
        <v>1.1933342074656628</v>
      </c>
      <c r="N136" s="79">
        <v>1.2576446543335127</v>
      </c>
      <c r="O136" s="79">
        <v>3.7158464116329735</v>
      </c>
    </row>
    <row r="137" spans="2:15" x14ac:dyDescent="0.3">
      <c r="B137" s="287"/>
      <c r="C137" s="287"/>
      <c r="D137" s="79" t="s">
        <v>549</v>
      </c>
      <c r="E137" s="79">
        <v>1.6421745455274619</v>
      </c>
      <c r="F137" s="79">
        <v>1.9385951627989471</v>
      </c>
      <c r="G137" s="79">
        <v>1.886865132470035</v>
      </c>
      <c r="H137" s="79">
        <v>1.7570570580070177</v>
      </c>
      <c r="I137" s="79">
        <v>2.0089034339615703</v>
      </c>
      <c r="J137" s="79">
        <v>1.5898882713939606</v>
      </c>
      <c r="K137" s="79">
        <v>2.9670985803295125</v>
      </c>
      <c r="L137" s="79" t="s">
        <v>558</v>
      </c>
      <c r="M137" s="79">
        <v>1.2100548692318975</v>
      </c>
      <c r="N137" s="79">
        <v>1.1677854249107671</v>
      </c>
      <c r="O137" s="79">
        <v>2.5096556357957192</v>
      </c>
    </row>
    <row r="138" spans="2:15" x14ac:dyDescent="0.3">
      <c r="B138" s="287"/>
      <c r="C138" s="287"/>
      <c r="D138" s="79" t="s">
        <v>550</v>
      </c>
      <c r="E138" s="79">
        <v>1.4013703436162295</v>
      </c>
      <c r="F138" s="79">
        <v>1.6967296489662871</v>
      </c>
      <c r="G138" s="79">
        <v>1.8527653088644085</v>
      </c>
      <c r="H138" s="79">
        <v>1.5527120757764428</v>
      </c>
      <c r="I138" s="79">
        <v>1.6658050738408368</v>
      </c>
      <c r="J138" s="79">
        <v>1.6732972006495284</v>
      </c>
      <c r="K138" s="79">
        <v>3.2466882192102475</v>
      </c>
      <c r="L138" s="79" t="s">
        <v>558</v>
      </c>
      <c r="M138" s="79">
        <v>1.1896995135388875</v>
      </c>
      <c r="N138" s="79">
        <v>1.1407115664014797</v>
      </c>
      <c r="O138" s="79">
        <v>2.521143606590468</v>
      </c>
    </row>
    <row r="139" spans="2:15" x14ac:dyDescent="0.3">
      <c r="B139" s="287"/>
      <c r="C139" s="287"/>
      <c r="D139" s="79" t="s">
        <v>551</v>
      </c>
      <c r="E139" s="79">
        <v>2.2034272321038486</v>
      </c>
      <c r="F139" s="79">
        <v>1.9310936478362299</v>
      </c>
      <c r="G139" s="79">
        <v>1.6417602912378741</v>
      </c>
      <c r="H139" s="79">
        <v>1.8978692400566415</v>
      </c>
      <c r="I139" s="79">
        <v>1.8624974156770799</v>
      </c>
      <c r="J139" s="79">
        <v>1.6330588859079134</v>
      </c>
      <c r="K139" s="79">
        <v>3.2881958855136486</v>
      </c>
      <c r="L139" s="79" t="s">
        <v>558</v>
      </c>
      <c r="M139" s="79">
        <v>1.1852037431067974</v>
      </c>
      <c r="N139" s="79">
        <v>1.2960869202182603</v>
      </c>
      <c r="O139" s="79">
        <v>2.7050381433266293</v>
      </c>
    </row>
    <row r="140" spans="2:15" x14ac:dyDescent="0.3">
      <c r="B140" s="287"/>
      <c r="C140" s="287"/>
      <c r="D140" s="79" t="s">
        <v>552</v>
      </c>
      <c r="E140" s="79">
        <v>3.188887033215269</v>
      </c>
      <c r="F140" s="79">
        <v>3.0890997125188413</v>
      </c>
      <c r="G140" s="79">
        <v>2.9839802546448944</v>
      </c>
      <c r="H140" s="79">
        <v>2.3306164752154475</v>
      </c>
      <c r="I140" s="79">
        <v>2.2125291707520107</v>
      </c>
      <c r="J140" s="79">
        <v>2.050059313745809</v>
      </c>
      <c r="K140" s="79">
        <v>3.8786531616488258</v>
      </c>
      <c r="L140" s="79" t="s">
        <v>558</v>
      </c>
      <c r="M140" s="79">
        <v>1.6095599582562232</v>
      </c>
      <c r="N140" s="79">
        <v>1.398066643575459</v>
      </c>
      <c r="O140" s="79">
        <v>3.7196542909834891</v>
      </c>
    </row>
    <row r="141" spans="2:15" x14ac:dyDescent="0.3">
      <c r="B141" s="287"/>
      <c r="C141" s="287"/>
      <c r="D141" s="79" t="s">
        <v>553</v>
      </c>
      <c r="E141" s="79">
        <v>1.5743164033000925</v>
      </c>
      <c r="F141" s="79">
        <v>1.8491922500993889</v>
      </c>
      <c r="G141" s="79">
        <v>1.7215619995657045</v>
      </c>
      <c r="H141" s="79">
        <v>1.5692678088636949</v>
      </c>
      <c r="I141" s="79">
        <v>1.6964455546291497</v>
      </c>
      <c r="J141" s="79">
        <v>1.5651870748621692</v>
      </c>
      <c r="K141" s="79">
        <v>2.939661239766477</v>
      </c>
      <c r="L141" s="79" t="s">
        <v>558</v>
      </c>
      <c r="M141" s="79">
        <v>1.206812341444347</v>
      </c>
      <c r="N141" s="79">
        <v>1.1643637308408801</v>
      </c>
      <c r="O141" s="79">
        <v>3.3336532085986215</v>
      </c>
    </row>
    <row r="142" spans="2:15" x14ac:dyDescent="0.3">
      <c r="B142" s="287"/>
      <c r="C142" s="287"/>
      <c r="D142" s="79" t="s">
        <v>554</v>
      </c>
      <c r="E142" s="79">
        <v>2.5792085949423291</v>
      </c>
      <c r="F142" s="79">
        <v>2.5467949112669572</v>
      </c>
      <c r="G142" s="79">
        <v>2.7954115753718867</v>
      </c>
      <c r="H142" s="79">
        <v>2.1605841505324173</v>
      </c>
      <c r="I142" s="79">
        <v>1.8897772374785202</v>
      </c>
      <c r="J142" s="79">
        <v>1.8141941997279083</v>
      </c>
      <c r="K142" s="79">
        <v>3.5026196319237006</v>
      </c>
      <c r="L142" s="79" t="s">
        <v>558</v>
      </c>
      <c r="M142" s="79">
        <v>1.3998245716144322</v>
      </c>
      <c r="N142" s="79">
        <v>1.273824019395055</v>
      </c>
      <c r="O142" s="79">
        <v>3.4992068891355155</v>
      </c>
    </row>
    <row r="143" spans="2:15" x14ac:dyDescent="0.3">
      <c r="B143" s="287"/>
      <c r="C143" s="287"/>
      <c r="D143" s="79" t="s">
        <v>555</v>
      </c>
      <c r="E143" s="79">
        <v>1.6302204456632616</v>
      </c>
      <c r="F143" s="79">
        <v>1.6246811125425047</v>
      </c>
      <c r="G143" s="79">
        <v>1.6189206941809779</v>
      </c>
      <c r="H143" s="79">
        <v>1.5817935029776415</v>
      </c>
      <c r="I143" s="79">
        <v>1.7886212905011247</v>
      </c>
      <c r="J143" s="79">
        <v>1.4474262918283485</v>
      </c>
      <c r="K143" s="79">
        <v>2.5688997380304865</v>
      </c>
      <c r="L143" s="79" t="s">
        <v>558</v>
      </c>
      <c r="M143" s="79">
        <v>1.2379652866493571</v>
      </c>
      <c r="N143" s="79">
        <v>1.1992288620854832</v>
      </c>
      <c r="O143" s="79">
        <v>2.715081236848838</v>
      </c>
    </row>
    <row r="144" spans="2:15" x14ac:dyDescent="0.3">
      <c r="B144" s="287"/>
      <c r="C144" s="287"/>
      <c r="D144" s="79" t="s">
        <v>556</v>
      </c>
      <c r="E144" s="79">
        <v>2.9141350502255268</v>
      </c>
      <c r="F144" s="79">
        <v>2.6127941987940644</v>
      </c>
      <c r="G144" s="79">
        <v>2.5726703536433657</v>
      </c>
      <c r="H144" s="79">
        <v>2.1444986891499611</v>
      </c>
      <c r="I144" s="79">
        <v>2.3131610927252124</v>
      </c>
      <c r="J144" s="79">
        <v>1.8731596965458168</v>
      </c>
      <c r="K144" s="79">
        <v>3.6796077638201581</v>
      </c>
      <c r="L144" s="79" t="s">
        <v>558</v>
      </c>
      <c r="M144" s="79">
        <v>1.4500952315409621</v>
      </c>
      <c r="N144" s="79">
        <v>1.3030324204188273</v>
      </c>
      <c r="O144" s="79">
        <v>3.9273085408427346</v>
      </c>
    </row>
    <row r="145" spans="2:15" x14ac:dyDescent="0.3">
      <c r="B145" s="288"/>
      <c r="C145" s="288"/>
      <c r="D145" s="79" t="s">
        <v>557</v>
      </c>
      <c r="E145" s="79">
        <v>1.5929411469033987</v>
      </c>
      <c r="F145" s="79">
        <v>1.5574368190128089</v>
      </c>
      <c r="G145" s="79">
        <v>1.7416447720553936</v>
      </c>
      <c r="H145" s="79">
        <v>1.6004655026244914</v>
      </c>
      <c r="I145" s="79">
        <v>1.2111285789141601</v>
      </c>
      <c r="J145" s="79">
        <v>1.5288577819981399</v>
      </c>
      <c r="K145" s="79">
        <v>2.6051779998778897</v>
      </c>
      <c r="L145" s="79" t="s">
        <v>558</v>
      </c>
      <c r="M145" s="79">
        <v>1.2359665481983118</v>
      </c>
      <c r="N145" s="79">
        <v>1.1280572180326913</v>
      </c>
      <c r="O145" s="79">
        <v>2.5824527978836729</v>
      </c>
    </row>
    <row r="146" spans="2:15" x14ac:dyDescent="0.3">
      <c r="B146" s="286" t="s">
        <v>510</v>
      </c>
      <c r="C146" s="286"/>
      <c r="D146" s="256" t="s">
        <v>20</v>
      </c>
      <c r="E146" s="255">
        <v>2.6472208579844048</v>
      </c>
      <c r="F146" s="255">
        <v>2.6019524948446957</v>
      </c>
      <c r="G146" s="255">
        <v>3.1256751810303194</v>
      </c>
      <c r="H146" s="255">
        <v>2.6085776310339619</v>
      </c>
      <c r="I146" s="255">
        <v>2.3408711196328635</v>
      </c>
      <c r="J146" s="255">
        <v>2.2820974403274055</v>
      </c>
      <c r="K146" s="255">
        <v>4.4878674268151606</v>
      </c>
      <c r="L146" s="255">
        <v>4.3028641628760944</v>
      </c>
      <c r="M146" s="255">
        <v>1.7999748164277265</v>
      </c>
      <c r="N146" s="255">
        <v>1.4292665608111459</v>
      </c>
      <c r="O146" s="255">
        <v>4.3369939632868055</v>
      </c>
    </row>
    <row r="147" spans="2:15" x14ac:dyDescent="0.3">
      <c r="B147" s="287"/>
      <c r="C147" s="287"/>
      <c r="D147" s="80" t="s">
        <v>546</v>
      </c>
      <c r="E147" s="80">
        <v>2.9067369208670653</v>
      </c>
      <c r="F147" s="80">
        <v>3.4410842013939931</v>
      </c>
      <c r="G147" s="80">
        <v>3.45005908664448</v>
      </c>
      <c r="H147" s="80">
        <v>2.9922222500333358</v>
      </c>
      <c r="I147" s="80">
        <v>2.4582340262600293</v>
      </c>
      <c r="J147" s="80">
        <v>2.716092106895275</v>
      </c>
      <c r="K147" s="80">
        <v>5.0588288370137233</v>
      </c>
      <c r="L147" s="80">
        <v>4.5972608816466227</v>
      </c>
      <c r="M147" s="80">
        <v>2.0219236186076293</v>
      </c>
      <c r="N147" s="80">
        <v>1.6830919470889718</v>
      </c>
      <c r="O147" s="80">
        <v>7.1476724536140219</v>
      </c>
    </row>
    <row r="148" spans="2:15" x14ac:dyDescent="0.3">
      <c r="B148" s="287"/>
      <c r="C148" s="287"/>
      <c r="D148" s="79" t="s">
        <v>547</v>
      </c>
      <c r="E148" s="79">
        <v>2.5057779350615732</v>
      </c>
      <c r="F148" s="79">
        <v>2.2438023223531234</v>
      </c>
      <c r="G148" s="79">
        <v>1.9685108459984633</v>
      </c>
      <c r="H148" s="79">
        <v>1.7654104977953724</v>
      </c>
      <c r="I148" s="79">
        <v>1.6898193999181903</v>
      </c>
      <c r="J148" s="79">
        <v>1.842751493798898</v>
      </c>
      <c r="K148" s="79">
        <v>4.1207980565725171</v>
      </c>
      <c r="L148" s="79">
        <v>2.9240401632869837</v>
      </c>
      <c r="M148" s="79">
        <v>1.4525216460742745</v>
      </c>
      <c r="N148" s="79">
        <v>1.2584885493491873</v>
      </c>
      <c r="O148" s="79">
        <v>3.1862435907239299</v>
      </c>
    </row>
    <row r="149" spans="2:15" x14ac:dyDescent="0.3">
      <c r="B149" s="287"/>
      <c r="C149" s="287"/>
      <c r="D149" s="79" t="s">
        <v>548</v>
      </c>
      <c r="E149" s="79">
        <v>1.7866581040923073</v>
      </c>
      <c r="F149" s="79">
        <v>2.6987120732712917</v>
      </c>
      <c r="G149" s="79">
        <v>1.9110017010635394</v>
      </c>
      <c r="H149" s="79">
        <v>1.9808391263004339</v>
      </c>
      <c r="I149" s="79">
        <v>1.741189684852736</v>
      </c>
      <c r="J149" s="79">
        <v>2.154920448783828</v>
      </c>
      <c r="K149" s="79">
        <v>3.6300976726326022</v>
      </c>
      <c r="L149" s="79">
        <v>2.4264750869392255</v>
      </c>
      <c r="M149" s="79">
        <v>1.3438427976387548</v>
      </c>
      <c r="N149" s="79">
        <v>1.0658142053182418</v>
      </c>
      <c r="O149" s="79">
        <v>2.4857303666494786</v>
      </c>
    </row>
    <row r="150" spans="2:15" x14ac:dyDescent="0.3">
      <c r="B150" s="287"/>
      <c r="C150" s="287"/>
      <c r="D150" s="79" t="s">
        <v>549</v>
      </c>
      <c r="E150" s="79">
        <v>1.8693819955463322</v>
      </c>
      <c r="F150" s="79">
        <v>1.8236780346341157</v>
      </c>
      <c r="G150" s="79">
        <v>1.9254401115313218</v>
      </c>
      <c r="H150" s="79">
        <v>2.014673190773959</v>
      </c>
      <c r="I150" s="79">
        <v>1.8278664695042273</v>
      </c>
      <c r="J150" s="79">
        <v>1.6100389542570255</v>
      </c>
      <c r="K150" s="79">
        <v>3.2473793517572904</v>
      </c>
      <c r="L150" s="79">
        <v>3.1747046134314405</v>
      </c>
      <c r="M150" s="79">
        <v>1.509953723368707</v>
      </c>
      <c r="N150" s="79">
        <v>1.1326246011778158</v>
      </c>
      <c r="O150" s="79">
        <v>3.205997633197196</v>
      </c>
    </row>
    <row r="151" spans="2:15" x14ac:dyDescent="0.3">
      <c r="B151" s="287"/>
      <c r="C151" s="287"/>
      <c r="D151" s="79" t="s">
        <v>550</v>
      </c>
      <c r="E151" s="79">
        <v>2.9023728825639128</v>
      </c>
      <c r="F151" s="79">
        <v>2.3920629152509725</v>
      </c>
      <c r="G151" s="79">
        <v>1.9143684693505334</v>
      </c>
      <c r="H151" s="79">
        <v>2.0919658148194622</v>
      </c>
      <c r="I151" s="79">
        <v>1.84593869114553</v>
      </c>
      <c r="J151" s="79">
        <v>1.5591435281445465</v>
      </c>
      <c r="K151" s="79">
        <v>4.3317259561135524</v>
      </c>
      <c r="L151" s="79">
        <v>2.9972852145044846</v>
      </c>
      <c r="M151" s="79">
        <v>1.6096528049470922</v>
      </c>
      <c r="N151" s="79">
        <v>1.0433712165194213</v>
      </c>
      <c r="O151" s="79">
        <v>1.2055186394650323</v>
      </c>
    </row>
    <row r="152" spans="2:15" x14ac:dyDescent="0.3">
      <c r="B152" s="287"/>
      <c r="C152" s="287"/>
      <c r="D152" s="79" t="s">
        <v>551</v>
      </c>
      <c r="E152" s="79">
        <v>2.2795308949146347</v>
      </c>
      <c r="F152" s="79">
        <v>1.5253657373378304</v>
      </c>
      <c r="G152" s="79">
        <v>2.1706561131712752</v>
      </c>
      <c r="H152" s="79">
        <v>1.5899744764734383</v>
      </c>
      <c r="I152" s="79">
        <v>1.1921269645628076</v>
      </c>
      <c r="J152" s="79">
        <v>1.7330920428653496</v>
      </c>
      <c r="K152" s="79">
        <v>4.5079477589044474</v>
      </c>
      <c r="L152" s="79">
        <v>1.9210047339944869</v>
      </c>
      <c r="M152" s="79">
        <v>1.3376511955810431</v>
      </c>
      <c r="N152" s="79">
        <v>1.2333226437205487</v>
      </c>
      <c r="O152" s="79">
        <v>3.9565199773846973</v>
      </c>
    </row>
    <row r="153" spans="2:15" x14ac:dyDescent="0.3">
      <c r="B153" s="287"/>
      <c r="C153" s="287"/>
      <c r="D153" s="79" t="s">
        <v>552</v>
      </c>
      <c r="E153" s="79">
        <v>2.4189532006829455</v>
      </c>
      <c r="F153" s="79">
        <v>2.1952784908198666</v>
      </c>
      <c r="G153" s="79">
        <v>2.8162084682708746</v>
      </c>
      <c r="H153" s="79">
        <v>2.2631143792607191</v>
      </c>
      <c r="I153" s="79">
        <v>2.5171356073642186</v>
      </c>
      <c r="J153" s="79">
        <v>1.9575074989222874</v>
      </c>
      <c r="K153" s="79">
        <v>4.6398226467086356</v>
      </c>
      <c r="L153" s="79">
        <v>3.625363491293442</v>
      </c>
      <c r="M153" s="79">
        <v>1.5665547531372943</v>
      </c>
      <c r="N153" s="79">
        <v>1.33685783932853</v>
      </c>
      <c r="O153" s="79">
        <v>4.1890297351115127</v>
      </c>
    </row>
    <row r="154" spans="2:15" x14ac:dyDescent="0.3">
      <c r="B154" s="287"/>
      <c r="C154" s="287"/>
      <c r="D154" s="79" t="s">
        <v>553</v>
      </c>
      <c r="E154" s="79">
        <v>1.8376307481232961</v>
      </c>
      <c r="F154" s="79">
        <v>1.6051959626790435</v>
      </c>
      <c r="G154" s="79">
        <v>1.8810841481805496</v>
      </c>
      <c r="H154" s="79">
        <v>1.8353895298530285</v>
      </c>
      <c r="I154" s="79">
        <v>1.7912848962018428</v>
      </c>
      <c r="J154" s="79">
        <v>1.5670686330491492</v>
      </c>
      <c r="K154" s="79">
        <v>3.2552449155507905</v>
      </c>
      <c r="L154" s="79">
        <v>2.5448339118851515</v>
      </c>
      <c r="M154" s="79">
        <v>1.3984088018688945</v>
      </c>
      <c r="N154" s="79">
        <v>1.4246511610605697</v>
      </c>
      <c r="O154" s="79">
        <v>3.0133901799671259</v>
      </c>
    </row>
    <row r="155" spans="2:15" x14ac:dyDescent="0.3">
      <c r="B155" s="287"/>
      <c r="C155" s="287"/>
      <c r="D155" s="79" t="s">
        <v>554</v>
      </c>
      <c r="E155" s="79">
        <v>2.0814994971143688</v>
      </c>
      <c r="F155" s="79">
        <v>1.6792659718107124</v>
      </c>
      <c r="G155" s="79">
        <v>2.6729995385256022</v>
      </c>
      <c r="H155" s="79">
        <v>2.2401705777382479</v>
      </c>
      <c r="I155" s="79">
        <v>1.8703369206021609</v>
      </c>
      <c r="J155" s="79">
        <v>1.8596453423561126</v>
      </c>
      <c r="K155" s="79">
        <v>3.6228466110050572</v>
      </c>
      <c r="L155" s="79">
        <v>3.1142546806158498</v>
      </c>
      <c r="M155" s="79">
        <v>1.4205133528737282</v>
      </c>
      <c r="N155" s="79">
        <v>1.1988781719570496</v>
      </c>
      <c r="O155" s="79">
        <v>3.711147248021605</v>
      </c>
    </row>
    <row r="156" spans="2:15" x14ac:dyDescent="0.3">
      <c r="B156" s="287"/>
      <c r="C156" s="287"/>
      <c r="D156" s="79" t="s">
        <v>555</v>
      </c>
      <c r="E156" s="79">
        <v>1.5391948979030556</v>
      </c>
      <c r="F156" s="79">
        <v>1.4277683729052322</v>
      </c>
      <c r="G156" s="79">
        <v>1.7735384851119322</v>
      </c>
      <c r="H156" s="79">
        <v>1.5762170739580053</v>
      </c>
      <c r="I156" s="79">
        <v>1.7782897861277167</v>
      </c>
      <c r="J156" s="79">
        <v>1.5655961474293709</v>
      </c>
      <c r="K156" s="79">
        <v>3.1749404780616723</v>
      </c>
      <c r="L156" s="79">
        <v>1.7957218788351896</v>
      </c>
      <c r="M156" s="79">
        <v>1.2758811993972339</v>
      </c>
      <c r="N156" s="79">
        <v>1.2220799121437267</v>
      </c>
      <c r="O156" s="79">
        <v>3.3746496969251396</v>
      </c>
    </row>
    <row r="157" spans="2:15" x14ac:dyDescent="0.3">
      <c r="B157" s="287"/>
      <c r="C157" s="287"/>
      <c r="D157" s="79" t="s">
        <v>556</v>
      </c>
      <c r="E157" s="79">
        <v>2.4480671288735398</v>
      </c>
      <c r="F157" s="79">
        <v>1.8719130049514445</v>
      </c>
      <c r="G157" s="79">
        <v>2.5067376854872534</v>
      </c>
      <c r="H157" s="79">
        <v>2.1815217809140335</v>
      </c>
      <c r="I157" s="79">
        <v>2.1987498184284822</v>
      </c>
      <c r="J157" s="79">
        <v>1.9950149547844938</v>
      </c>
      <c r="K157" s="79">
        <v>4.4024496370131105</v>
      </c>
      <c r="L157" s="79">
        <v>2.8973726321297679</v>
      </c>
      <c r="M157" s="79">
        <v>1.5575329393330821</v>
      </c>
      <c r="N157" s="79">
        <v>1.2707065110164215</v>
      </c>
      <c r="O157" s="79">
        <v>4.5105645164468742</v>
      </c>
    </row>
    <row r="158" spans="2:15" x14ac:dyDescent="0.3">
      <c r="B158" s="288"/>
      <c r="C158" s="288"/>
      <c r="D158" s="79" t="s">
        <v>557</v>
      </c>
      <c r="E158" s="79">
        <v>1.558652784607877</v>
      </c>
      <c r="F158" s="79">
        <v>1.6977196743629903</v>
      </c>
      <c r="G158" s="79">
        <v>1.7755429827126936</v>
      </c>
      <c r="H158" s="79">
        <v>1.5681462777247792</v>
      </c>
      <c r="I158" s="79">
        <v>1.6739401894755497</v>
      </c>
      <c r="J158" s="79">
        <v>1.539618064848266</v>
      </c>
      <c r="K158" s="79">
        <v>3.0030242013430666</v>
      </c>
      <c r="L158" s="79">
        <v>2.3909872554306033</v>
      </c>
      <c r="M158" s="79">
        <v>1.4131659481578074</v>
      </c>
      <c r="N158" s="79">
        <v>1.1525001312199676</v>
      </c>
      <c r="O158" s="79">
        <v>3.3926365908792038</v>
      </c>
    </row>
    <row r="159" spans="2:15" x14ac:dyDescent="0.3">
      <c r="B159" s="287" t="s">
        <v>560</v>
      </c>
      <c r="C159" s="287"/>
      <c r="D159" s="256" t="s">
        <v>20</v>
      </c>
      <c r="E159" s="255">
        <v>2.0200849312763864</v>
      </c>
      <c r="F159" s="255">
        <v>2.2710174230984186</v>
      </c>
      <c r="G159" s="255">
        <v>2.2777084144210038</v>
      </c>
      <c r="H159" s="255">
        <v>2.015308472178154</v>
      </c>
      <c r="I159" s="255">
        <v>2.1218384698142003</v>
      </c>
      <c r="J159" s="255">
        <v>2.0746277369565784</v>
      </c>
      <c r="K159" s="255">
        <v>2.4087743997174518</v>
      </c>
      <c r="L159" s="255">
        <v>2.7207528860425563</v>
      </c>
      <c r="M159" s="255">
        <v>1.4920377785667791</v>
      </c>
      <c r="N159" s="255">
        <v>1.2690903455982627</v>
      </c>
      <c r="O159" s="255">
        <v>2.4129847086305687</v>
      </c>
    </row>
    <row r="160" spans="2:15" x14ac:dyDescent="0.3">
      <c r="B160" s="287"/>
      <c r="C160" s="287"/>
      <c r="D160" s="80" t="s">
        <v>546</v>
      </c>
      <c r="E160" s="80">
        <v>2.3014896076829174</v>
      </c>
      <c r="F160" s="80">
        <v>3.6545344833507678</v>
      </c>
      <c r="G160" s="80">
        <v>2.3386753245956107</v>
      </c>
      <c r="H160" s="80">
        <v>1.9394507755517216</v>
      </c>
      <c r="I160" s="80">
        <v>2.2154853324688415</v>
      </c>
      <c r="J160" s="80">
        <v>2.0001496090597417</v>
      </c>
      <c r="K160" s="80">
        <v>2.5519663307155418</v>
      </c>
      <c r="L160" s="80">
        <v>2.473893102901799</v>
      </c>
      <c r="M160" s="80">
        <v>1.6393422275113352</v>
      </c>
      <c r="N160" s="80">
        <v>1.4648441287191485</v>
      </c>
      <c r="O160" s="80">
        <v>3.3253048572787978</v>
      </c>
    </row>
    <row r="161" spans="2:17" x14ac:dyDescent="0.3">
      <c r="B161" s="287"/>
      <c r="C161" s="287"/>
      <c r="D161" s="79" t="s">
        <v>547</v>
      </c>
      <c r="E161" s="79">
        <v>2.3300211129045492</v>
      </c>
      <c r="F161" s="79">
        <v>1.9665037482637224</v>
      </c>
      <c r="G161" s="79">
        <v>1.9203371083631979</v>
      </c>
      <c r="H161" s="79">
        <v>1.7299077635617335</v>
      </c>
      <c r="I161" s="79">
        <v>1.8177892507250983</v>
      </c>
      <c r="J161" s="79">
        <v>2.0029317182420967</v>
      </c>
      <c r="K161" s="79">
        <v>2.3352678292321696</v>
      </c>
      <c r="L161" s="79">
        <v>1.4711884351406697</v>
      </c>
      <c r="M161" s="79">
        <v>1.2309713045167991</v>
      </c>
      <c r="N161" s="79">
        <v>1</v>
      </c>
      <c r="O161" s="79">
        <v>1.9225490435361952</v>
      </c>
    </row>
    <row r="162" spans="2:17" x14ac:dyDescent="0.3">
      <c r="B162" s="287"/>
      <c r="C162" s="287"/>
      <c r="D162" s="79" t="s">
        <v>548</v>
      </c>
      <c r="E162" s="79">
        <v>1.676975131793651</v>
      </c>
      <c r="F162" s="79">
        <v>1.9361914516844658</v>
      </c>
      <c r="G162" s="79">
        <v>1.7187799022789843</v>
      </c>
      <c r="H162" s="79">
        <v>1.6135207007973127</v>
      </c>
      <c r="I162" s="79">
        <v>2.5360439412821338</v>
      </c>
      <c r="J162" s="79">
        <v>1.1393638285645828</v>
      </c>
      <c r="K162" s="79">
        <v>2.3414186700592663</v>
      </c>
      <c r="L162" s="79">
        <v>1.4570408143183624</v>
      </c>
      <c r="M162" s="79">
        <v>1.6617791358083764</v>
      </c>
      <c r="N162" s="79">
        <v>1.1099737604619782</v>
      </c>
      <c r="O162" s="79">
        <v>2.0221132820171448</v>
      </c>
    </row>
    <row r="163" spans="2:17" x14ac:dyDescent="0.3">
      <c r="B163" s="287"/>
      <c r="C163" s="287"/>
      <c r="D163" s="79" t="s">
        <v>549</v>
      </c>
      <c r="E163" s="79">
        <v>2.1125198475249922</v>
      </c>
      <c r="F163" s="79"/>
      <c r="G163" s="79">
        <v>1.4494930052105066</v>
      </c>
      <c r="H163" s="79">
        <v>1.3679162632332316</v>
      </c>
      <c r="I163" s="79">
        <v>1.556216960779321</v>
      </c>
      <c r="J163" s="79">
        <v>2.0642325632892153</v>
      </c>
      <c r="K163" s="79">
        <v>3.2362620028752334</v>
      </c>
      <c r="L163" s="79">
        <v>1.7962344453369483</v>
      </c>
      <c r="M163" s="79">
        <v>1.0925199508931438</v>
      </c>
      <c r="N163" s="79">
        <v>1</v>
      </c>
      <c r="O163" s="79">
        <v>5.9317122159582834</v>
      </c>
    </row>
    <row r="164" spans="2:17" x14ac:dyDescent="0.3">
      <c r="B164" s="287"/>
      <c r="C164" s="287"/>
      <c r="D164" s="79" t="s">
        <v>550</v>
      </c>
      <c r="E164" s="79">
        <v>1.5720122888592536</v>
      </c>
      <c r="F164" s="79">
        <v>1.3890945843911475</v>
      </c>
      <c r="G164" s="79">
        <v>2.0409873719283942</v>
      </c>
      <c r="H164" s="79">
        <v>1.7055824206365464</v>
      </c>
      <c r="I164" s="79">
        <v>1.5231261055163932</v>
      </c>
      <c r="J164" s="79">
        <v>2.4074404403836653</v>
      </c>
      <c r="K164" s="79">
        <v>1.2166939048800427</v>
      </c>
      <c r="L164" s="79">
        <v>1.391271539851213</v>
      </c>
      <c r="M164" s="79">
        <v>1.1886544775295813</v>
      </c>
      <c r="N164" s="79">
        <v>1.1384028928664989</v>
      </c>
      <c r="O164" s="79">
        <v>1.1163498642937828</v>
      </c>
    </row>
    <row r="165" spans="2:17" x14ac:dyDescent="0.3">
      <c r="B165" s="287"/>
      <c r="C165" s="287"/>
      <c r="D165" s="79" t="s">
        <v>551</v>
      </c>
      <c r="E165" s="79">
        <v>1</v>
      </c>
      <c r="F165" s="79">
        <v>1.5404433838877418</v>
      </c>
      <c r="G165" s="79">
        <v>1.8537941433040364</v>
      </c>
      <c r="H165" s="79">
        <v>1.3586218282412006</v>
      </c>
      <c r="I165" s="79">
        <v>1.6404253139609439</v>
      </c>
      <c r="J165" s="79">
        <v>2.0796803150596253</v>
      </c>
      <c r="K165" s="79">
        <v>2.7333385436250239</v>
      </c>
      <c r="L165" s="79">
        <v>1.291948136515412</v>
      </c>
      <c r="M165" s="79">
        <v>1.3009384213667943</v>
      </c>
      <c r="N165" s="79">
        <v>1</v>
      </c>
      <c r="O165" s="79">
        <v>1.7427715283697207</v>
      </c>
    </row>
    <row r="166" spans="2:17" x14ac:dyDescent="0.3">
      <c r="B166" s="287"/>
      <c r="C166" s="287"/>
      <c r="D166" s="79" t="s">
        <v>552</v>
      </c>
      <c r="E166" s="79">
        <v>1.7338027745538869</v>
      </c>
      <c r="F166" s="79">
        <v>1.4306843249100243</v>
      </c>
      <c r="G166" s="79">
        <v>2.1403072151205067</v>
      </c>
      <c r="H166" s="79">
        <v>1.6479128603435289</v>
      </c>
      <c r="I166" s="79">
        <v>2.0107385961852362</v>
      </c>
      <c r="J166" s="79">
        <v>2.0471169867100945</v>
      </c>
      <c r="K166" s="79">
        <v>2.0218648807651229</v>
      </c>
      <c r="L166" s="79">
        <v>3.8155250214122489</v>
      </c>
      <c r="M166" s="79">
        <v>1.7156163212411712</v>
      </c>
      <c r="N166" s="79">
        <v>1.3165871289660298</v>
      </c>
      <c r="O166" s="79">
        <v>2.0082436018439154</v>
      </c>
    </row>
    <row r="167" spans="2:17" x14ac:dyDescent="0.3">
      <c r="B167" s="287"/>
      <c r="C167" s="287"/>
      <c r="D167" s="79" t="s">
        <v>553</v>
      </c>
      <c r="E167" s="79">
        <v>1</v>
      </c>
      <c r="F167" s="79">
        <v>1.515876476871082</v>
      </c>
      <c r="G167" s="79">
        <v>1.9936202701704311</v>
      </c>
      <c r="H167" s="79">
        <v>1.5999853390885501</v>
      </c>
      <c r="I167" s="79">
        <v>2.4332810454500895</v>
      </c>
      <c r="J167" s="79">
        <v>1.8614178631859968</v>
      </c>
      <c r="K167" s="79">
        <v>1.4583630506047816</v>
      </c>
      <c r="L167" s="79">
        <v>4.647310571317381</v>
      </c>
      <c r="M167" s="79">
        <v>1.3838822608113108</v>
      </c>
      <c r="N167" s="79">
        <v>1</v>
      </c>
      <c r="O167" s="79">
        <v>3.3362312808807113</v>
      </c>
    </row>
    <row r="168" spans="2:17" x14ac:dyDescent="0.3">
      <c r="B168" s="287"/>
      <c r="C168" s="287"/>
      <c r="D168" s="79" t="s">
        <v>554</v>
      </c>
      <c r="E168" s="79">
        <v>1.201235351185294</v>
      </c>
      <c r="F168" s="79">
        <v>1.3146492134880494</v>
      </c>
      <c r="G168" s="79">
        <v>2.4886995789195701</v>
      </c>
      <c r="H168" s="79">
        <v>2.2877399717910789</v>
      </c>
      <c r="I168" s="79">
        <v>1.4201424053862421</v>
      </c>
      <c r="J168" s="79">
        <v>1.380688117538595</v>
      </c>
      <c r="K168" s="79">
        <v>2.6971276736082737</v>
      </c>
      <c r="L168" s="79">
        <v>1.6667283749293618</v>
      </c>
      <c r="M168" s="79">
        <v>1.3089646877987795</v>
      </c>
      <c r="N168" s="79">
        <v>1.1210278367060191</v>
      </c>
      <c r="O168" s="79">
        <v>1.1787186126487381</v>
      </c>
    </row>
    <row r="169" spans="2:17" x14ac:dyDescent="0.3">
      <c r="B169" s="287"/>
      <c r="C169" s="287"/>
      <c r="D169" s="79" t="s">
        <v>555</v>
      </c>
      <c r="E169" s="79">
        <v>1.9760855055309365</v>
      </c>
      <c r="F169" s="79">
        <v>1.5213628660950929</v>
      </c>
      <c r="G169" s="79">
        <v>1.310080660512785</v>
      </c>
      <c r="H169" s="79">
        <v>1.7813484619577451</v>
      </c>
      <c r="I169" s="79">
        <v>1.412742302502259</v>
      </c>
      <c r="J169" s="79">
        <v>0.92433701981618732</v>
      </c>
      <c r="K169" s="79">
        <v>1.651879811638014</v>
      </c>
      <c r="L169" s="79">
        <v>2.3182580781233604</v>
      </c>
      <c r="M169" s="79">
        <v>1.474933134758017</v>
      </c>
      <c r="N169" s="79">
        <v>1</v>
      </c>
      <c r="O169" s="79">
        <v>1.3005350133734155</v>
      </c>
    </row>
    <row r="170" spans="2:17" x14ac:dyDescent="0.3">
      <c r="B170" s="287"/>
      <c r="C170" s="287"/>
      <c r="D170" s="79" t="s">
        <v>556</v>
      </c>
      <c r="E170" s="79">
        <v>1.4739445107507181</v>
      </c>
      <c r="F170" s="79">
        <v>2.6446805872591805</v>
      </c>
      <c r="G170" s="79">
        <v>1.5010184344250244</v>
      </c>
      <c r="H170" s="79">
        <v>2.5670287104102623</v>
      </c>
      <c r="I170" s="79">
        <v>2.0183546933881438</v>
      </c>
      <c r="J170" s="79">
        <v>1.0557717706145489</v>
      </c>
      <c r="K170" s="79">
        <v>1.8249980341210168</v>
      </c>
      <c r="L170" s="79">
        <v>2.380368769070774</v>
      </c>
      <c r="M170" s="79">
        <v>1.4412490207641344</v>
      </c>
      <c r="N170" s="79">
        <v>1</v>
      </c>
      <c r="O170" s="79">
        <v>1.6833473835001698</v>
      </c>
    </row>
    <row r="171" spans="2:17" x14ac:dyDescent="0.3">
      <c r="B171" s="287"/>
      <c r="C171" s="287"/>
      <c r="D171" s="79" t="s">
        <v>557</v>
      </c>
      <c r="E171" s="79">
        <v>2.2511498113349484</v>
      </c>
      <c r="F171" s="79">
        <v>1.4600158661504952</v>
      </c>
      <c r="G171" s="79">
        <v>1.9665097678673771</v>
      </c>
      <c r="H171" s="79">
        <v>2.1339662435532487</v>
      </c>
      <c r="I171" s="79">
        <v>2.2979604508953582</v>
      </c>
      <c r="J171" s="79">
        <v>3.0031099724729624</v>
      </c>
      <c r="K171" s="79">
        <v>1.546949187481504</v>
      </c>
      <c r="L171" s="79">
        <v>2.5806412086833119</v>
      </c>
      <c r="M171" s="79">
        <v>1.1664950003528316</v>
      </c>
      <c r="N171" s="79">
        <v>1</v>
      </c>
      <c r="O171" s="79">
        <v>1.9703367512880363</v>
      </c>
    </row>
    <row r="173" spans="2:17" x14ac:dyDescent="0.3">
      <c r="B173" s="261" t="s">
        <v>565</v>
      </c>
      <c r="C173" s="261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263"/>
      <c r="O173" s="261"/>
      <c r="P173" s="261"/>
      <c r="Q173" s="261"/>
    </row>
    <row r="174" spans="2:17" ht="10.5" customHeight="1" x14ac:dyDescent="0.3"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30"/>
      <c r="P174" s="30"/>
      <c r="Q174" s="30" t="s">
        <v>157</v>
      </c>
    </row>
    <row r="175" spans="2:17" s="22" customFormat="1" ht="20.25" customHeight="1" x14ac:dyDescent="0.3">
      <c r="B175" s="211"/>
      <c r="C175" s="211"/>
      <c r="D175" s="300" t="s">
        <v>120</v>
      </c>
      <c r="E175" s="300"/>
      <c r="F175" s="300"/>
      <c r="G175" s="300"/>
      <c r="H175" s="300"/>
      <c r="I175" s="300"/>
      <c r="J175" s="301"/>
      <c r="K175" s="299" t="s">
        <v>125</v>
      </c>
      <c r="L175" s="300"/>
      <c r="M175" s="300"/>
      <c r="N175" s="300"/>
      <c r="O175" s="300"/>
      <c r="P175" s="301"/>
      <c r="Q175" s="212" t="s">
        <v>38</v>
      </c>
    </row>
    <row r="176" spans="2:17" s="22" customFormat="1" ht="27" x14ac:dyDescent="0.3">
      <c r="B176" s="213"/>
      <c r="C176" s="213"/>
      <c r="D176" s="202" t="s">
        <v>39</v>
      </c>
      <c r="E176" s="202" t="s">
        <v>40</v>
      </c>
      <c r="F176" s="202" t="s">
        <v>116</v>
      </c>
      <c r="G176" s="202" t="s">
        <v>117</v>
      </c>
      <c r="H176" s="202" t="s">
        <v>115</v>
      </c>
      <c r="I176" s="202" t="s">
        <v>119</v>
      </c>
      <c r="J176" s="202" t="s">
        <v>300</v>
      </c>
      <c r="K176" s="214" t="s">
        <v>298</v>
      </c>
      <c r="L176" s="202" t="s">
        <v>299</v>
      </c>
      <c r="M176" s="202" t="s">
        <v>121</v>
      </c>
      <c r="N176" s="202" t="s">
        <v>118</v>
      </c>
      <c r="O176" s="202" t="s">
        <v>122</v>
      </c>
      <c r="P176" s="202" t="s">
        <v>124</v>
      </c>
      <c r="Q176" s="214" t="s">
        <v>38</v>
      </c>
    </row>
    <row r="177" spans="2:17" ht="21.75" customHeight="1" x14ac:dyDescent="0.3">
      <c r="B177" s="292" t="s">
        <v>20</v>
      </c>
      <c r="C177" s="292"/>
      <c r="D177" s="86">
        <v>39.147051638506539</v>
      </c>
      <c r="E177" s="86">
        <v>35.345055933064174</v>
      </c>
      <c r="F177" s="88">
        <v>39.654769491397019</v>
      </c>
      <c r="G177" s="88">
        <v>40.601274709392918</v>
      </c>
      <c r="H177" s="88">
        <v>55.228989806502284</v>
      </c>
      <c r="I177" s="86">
        <v>10.418424949697453</v>
      </c>
      <c r="J177" s="86">
        <v>19.047571819904931</v>
      </c>
      <c r="K177" s="92">
        <v>41.313870171520612</v>
      </c>
      <c r="L177" s="86">
        <v>28.892137209622256</v>
      </c>
      <c r="M177" s="88">
        <v>31.209287475783476</v>
      </c>
      <c r="N177" s="86">
        <v>52.590005343951717</v>
      </c>
      <c r="O177" s="86">
        <v>15.248466487572932</v>
      </c>
      <c r="P177" s="86">
        <v>6.3197861621910061</v>
      </c>
      <c r="Q177" s="92">
        <v>2.677895062427456</v>
      </c>
    </row>
    <row r="178" spans="2:17" x14ac:dyDescent="0.3">
      <c r="B178" s="296" t="s">
        <v>5</v>
      </c>
      <c r="C178" s="13" t="s">
        <v>0</v>
      </c>
      <c r="D178" s="84">
        <v>40.436274321907547</v>
      </c>
      <c r="E178" s="84">
        <v>36.868401200616418</v>
      </c>
      <c r="F178" s="89">
        <v>40.131344776582544</v>
      </c>
      <c r="G178" s="89">
        <v>43.875812393089085</v>
      </c>
      <c r="H178" s="89">
        <v>57.193572121139958</v>
      </c>
      <c r="I178" s="84">
        <v>10.815831954793817</v>
      </c>
      <c r="J178" s="84">
        <v>18.426951997742506</v>
      </c>
      <c r="K178" s="93">
        <v>36.692896567122745</v>
      </c>
      <c r="L178" s="84">
        <v>25.998742145739289</v>
      </c>
      <c r="M178" s="89">
        <v>28.936498735904625</v>
      </c>
      <c r="N178" s="84">
        <v>52.435274085725425</v>
      </c>
      <c r="O178" s="84">
        <v>13.199237631429273</v>
      </c>
      <c r="P178" s="84">
        <v>5.3717464002998456</v>
      </c>
      <c r="Q178" s="93">
        <v>2.0339099123368136</v>
      </c>
    </row>
    <row r="179" spans="2:17" x14ac:dyDescent="0.3">
      <c r="B179" s="295"/>
      <c r="C179" s="12" t="s">
        <v>1</v>
      </c>
      <c r="D179" s="90">
        <v>37.84567522583388</v>
      </c>
      <c r="E179" s="90">
        <v>33.807349821410611</v>
      </c>
      <c r="F179" s="91">
        <v>39.173701447071366</v>
      </c>
      <c r="G179" s="91">
        <v>37.295867382300571</v>
      </c>
      <c r="H179" s="91">
        <v>53.245887028417535</v>
      </c>
      <c r="I179" s="90">
        <v>10.017271518779882</v>
      </c>
      <c r="J179" s="90">
        <v>19.67404233442246</v>
      </c>
      <c r="K179" s="94">
        <v>45.978406507845762</v>
      </c>
      <c r="L179" s="90">
        <v>31.812808818302496</v>
      </c>
      <c r="M179" s="91">
        <v>33.50350219535337</v>
      </c>
      <c r="N179" s="90">
        <v>52.746195280996098</v>
      </c>
      <c r="O179" s="90">
        <v>17.31701378501506</v>
      </c>
      <c r="P179" s="90">
        <v>7.276763261868469</v>
      </c>
      <c r="Q179" s="94">
        <v>3.3279511739345935</v>
      </c>
    </row>
    <row r="180" spans="2:17" x14ac:dyDescent="0.3">
      <c r="B180" s="296" t="s">
        <v>4</v>
      </c>
      <c r="C180" s="9" t="s">
        <v>175</v>
      </c>
      <c r="D180" s="86">
        <v>49.147377704080789</v>
      </c>
      <c r="E180" s="86">
        <v>34.264045239809356</v>
      </c>
      <c r="F180" s="88">
        <v>42.813561475690044</v>
      </c>
      <c r="G180" s="88">
        <v>29.945414060069648</v>
      </c>
      <c r="H180" s="88">
        <v>44.152567553293395</v>
      </c>
      <c r="I180" s="86">
        <v>13.146110820360432</v>
      </c>
      <c r="J180" s="86">
        <v>17.566925311715192</v>
      </c>
      <c r="K180" s="92">
        <v>66.097912496795004</v>
      </c>
      <c r="L180" s="86">
        <v>40.318030831572727</v>
      </c>
      <c r="M180" s="88">
        <v>16.626737295509255</v>
      </c>
      <c r="N180" s="86">
        <v>31.36956418601628</v>
      </c>
      <c r="O180" s="86">
        <v>8.0478166757982947</v>
      </c>
      <c r="P180" s="86">
        <v>18.636510415151054</v>
      </c>
      <c r="Q180" s="92">
        <v>4.3483253015377352</v>
      </c>
    </row>
    <row r="181" spans="2:17" x14ac:dyDescent="0.3">
      <c r="B181" s="292"/>
      <c r="C181" s="9" t="s">
        <v>176</v>
      </c>
      <c r="D181" s="86">
        <v>44.558794791801851</v>
      </c>
      <c r="E181" s="86">
        <v>41.573609292796519</v>
      </c>
      <c r="F181" s="88">
        <v>47.51609276768864</v>
      </c>
      <c r="G181" s="88">
        <v>36.882870933190596</v>
      </c>
      <c r="H181" s="88">
        <v>46.497358413327433</v>
      </c>
      <c r="I181" s="86">
        <v>14.113522165273112</v>
      </c>
      <c r="J181" s="86">
        <v>17.766051776622639</v>
      </c>
      <c r="K181" s="92">
        <v>57.103489089764757</v>
      </c>
      <c r="L181" s="86">
        <v>40.199498429082908</v>
      </c>
      <c r="M181" s="88">
        <v>24.358927130528123</v>
      </c>
      <c r="N181" s="86">
        <v>44.832033608344503</v>
      </c>
      <c r="O181" s="86">
        <v>7.0145932532533015</v>
      </c>
      <c r="P181" s="86">
        <v>10.266743091797178</v>
      </c>
      <c r="Q181" s="92">
        <v>2.7949648776334413</v>
      </c>
    </row>
    <row r="182" spans="2:17" x14ac:dyDescent="0.3">
      <c r="B182" s="292"/>
      <c r="C182" s="9" t="s">
        <v>177</v>
      </c>
      <c r="D182" s="86">
        <v>41.387283969679828</v>
      </c>
      <c r="E182" s="86">
        <v>44.355137201393127</v>
      </c>
      <c r="F182" s="88">
        <v>47.959601217499895</v>
      </c>
      <c r="G182" s="88">
        <v>34.254498088427823</v>
      </c>
      <c r="H182" s="88">
        <v>54.375262307156824</v>
      </c>
      <c r="I182" s="86">
        <v>12.966353233716946</v>
      </c>
      <c r="J182" s="86">
        <v>17.04482790355107</v>
      </c>
      <c r="K182" s="92">
        <v>49.487278056042314</v>
      </c>
      <c r="L182" s="86">
        <v>30.392013881242814</v>
      </c>
      <c r="M182" s="88">
        <v>31.721057694185582</v>
      </c>
      <c r="N182" s="86">
        <v>52.137980661340542</v>
      </c>
      <c r="O182" s="86">
        <v>9.5318466144853122</v>
      </c>
      <c r="P182" s="86">
        <v>6.3567938653082061</v>
      </c>
      <c r="Q182" s="92">
        <v>2.2031947164298691</v>
      </c>
    </row>
    <row r="183" spans="2:17" x14ac:dyDescent="0.3">
      <c r="B183" s="292"/>
      <c r="C183" s="9" t="s">
        <v>178</v>
      </c>
      <c r="D183" s="86">
        <v>37.744872971430951</v>
      </c>
      <c r="E183" s="86">
        <v>34.703582996609214</v>
      </c>
      <c r="F183" s="88">
        <v>37.368333404978003</v>
      </c>
      <c r="G183" s="88">
        <v>39.486513928063246</v>
      </c>
      <c r="H183" s="88">
        <v>56.937408708226322</v>
      </c>
      <c r="I183" s="86">
        <v>9.9649519853002388</v>
      </c>
      <c r="J183" s="86">
        <v>17.650717009031567</v>
      </c>
      <c r="K183" s="92">
        <v>38.710153804257097</v>
      </c>
      <c r="L183" s="86">
        <v>28.773873665086668</v>
      </c>
      <c r="M183" s="88">
        <v>34.811153840436212</v>
      </c>
      <c r="N183" s="86">
        <v>58.488676906502093</v>
      </c>
      <c r="O183" s="86">
        <v>14.465729999621391</v>
      </c>
      <c r="P183" s="86">
        <v>4.606058833542682</v>
      </c>
      <c r="Q183" s="92">
        <v>1.8538619454711591</v>
      </c>
    </row>
    <row r="184" spans="2:17" x14ac:dyDescent="0.3">
      <c r="B184" s="292"/>
      <c r="C184" s="9" t="s">
        <v>179</v>
      </c>
      <c r="D184" s="86">
        <v>35.273061251163035</v>
      </c>
      <c r="E184" s="86">
        <v>30.673761861777216</v>
      </c>
      <c r="F184" s="88">
        <v>34.89314319170996</v>
      </c>
      <c r="G184" s="88">
        <v>43.766932235458761</v>
      </c>
      <c r="H184" s="88">
        <v>58.903282277579038</v>
      </c>
      <c r="I184" s="86">
        <v>8.2230086702719554</v>
      </c>
      <c r="J184" s="86">
        <v>19.483822551083335</v>
      </c>
      <c r="K184" s="92">
        <v>34.487715560303663</v>
      </c>
      <c r="L184" s="86">
        <v>22.548469383373131</v>
      </c>
      <c r="M184" s="88">
        <v>37.004118141537255</v>
      </c>
      <c r="N184" s="86">
        <v>59.73967491247911</v>
      </c>
      <c r="O184" s="86">
        <v>21.084740394741431</v>
      </c>
      <c r="P184" s="86">
        <v>3.7853511847112462</v>
      </c>
      <c r="Q184" s="92">
        <v>2.6781572089984063</v>
      </c>
    </row>
    <row r="185" spans="2:17" x14ac:dyDescent="0.3">
      <c r="B185" s="298"/>
      <c r="C185" s="12" t="s">
        <v>180</v>
      </c>
      <c r="D185" s="90">
        <v>35.839464816602785</v>
      </c>
      <c r="E185" s="90">
        <v>28.118505730538562</v>
      </c>
      <c r="F185" s="91">
        <v>32.448495657150133</v>
      </c>
      <c r="G185" s="91">
        <v>49.807228365406345</v>
      </c>
      <c r="H185" s="91">
        <v>60.280983985046575</v>
      </c>
      <c r="I185" s="90">
        <v>7.236026325786117</v>
      </c>
      <c r="J185" s="90">
        <v>23.309436321859124</v>
      </c>
      <c r="K185" s="94">
        <v>24.677327187804142</v>
      </c>
      <c r="L185" s="90">
        <v>22.299136198497958</v>
      </c>
      <c r="M185" s="91">
        <v>29.919578118389584</v>
      </c>
      <c r="N185" s="90">
        <v>50.662636167282713</v>
      </c>
      <c r="O185" s="90">
        <v>23.494287855706585</v>
      </c>
      <c r="P185" s="90">
        <v>4.4849702004651579</v>
      </c>
      <c r="Q185" s="94">
        <v>3.4573763706472049</v>
      </c>
    </row>
    <row r="186" spans="2:17" x14ac:dyDescent="0.3">
      <c r="B186" s="292" t="s">
        <v>223</v>
      </c>
      <c r="C186" s="9" t="s">
        <v>210</v>
      </c>
      <c r="D186" s="86">
        <v>53.344722361156748</v>
      </c>
      <c r="E186" s="86">
        <v>35.379161076105824</v>
      </c>
      <c r="F186" s="88">
        <v>36.433440948505819</v>
      </c>
      <c r="G186" s="88">
        <v>31.43643203852109</v>
      </c>
      <c r="H186" s="88">
        <v>46.037460496836829</v>
      </c>
      <c r="I186" s="86">
        <v>15.016822861298055</v>
      </c>
      <c r="J186" s="86">
        <v>17.486544989629639</v>
      </c>
      <c r="K186" s="92">
        <v>53.134679246497839</v>
      </c>
      <c r="L186" s="86">
        <v>34.977767303206406</v>
      </c>
      <c r="M186" s="88">
        <v>17.302947647999289</v>
      </c>
      <c r="N186" s="86">
        <v>31.560758343637186</v>
      </c>
      <c r="O186" s="86">
        <v>10.366540031858099</v>
      </c>
      <c r="P186" s="86">
        <v>17.964888722586249</v>
      </c>
      <c r="Q186" s="92">
        <v>4.2894983520179455</v>
      </c>
    </row>
    <row r="187" spans="2:17" x14ac:dyDescent="0.3">
      <c r="B187" s="292"/>
      <c r="C187" s="9" t="s">
        <v>211</v>
      </c>
      <c r="D187" s="86">
        <v>47.041815592680422</v>
      </c>
      <c r="E187" s="86">
        <v>42.541691080376921</v>
      </c>
      <c r="F187" s="88">
        <v>44.893862344953561</v>
      </c>
      <c r="G187" s="88">
        <v>40.281019941037968</v>
      </c>
      <c r="H187" s="88">
        <v>47.046673102330914</v>
      </c>
      <c r="I187" s="86">
        <v>15.235961809645657</v>
      </c>
      <c r="J187" s="86">
        <v>17.722251291844525</v>
      </c>
      <c r="K187" s="92">
        <v>49.04565488563825</v>
      </c>
      <c r="L187" s="86">
        <v>36.734277768210831</v>
      </c>
      <c r="M187" s="88">
        <v>23.613439364345499</v>
      </c>
      <c r="N187" s="86">
        <v>45.346798973756826</v>
      </c>
      <c r="O187" s="86">
        <v>7.5037821586078204</v>
      </c>
      <c r="P187" s="86">
        <v>9.1309485328438384</v>
      </c>
      <c r="Q187" s="92">
        <v>2.7298032867317552</v>
      </c>
    </row>
    <row r="188" spans="2:17" x14ac:dyDescent="0.3">
      <c r="B188" s="292"/>
      <c r="C188" s="9" t="s">
        <v>212</v>
      </c>
      <c r="D188" s="86">
        <v>44.964305088529592</v>
      </c>
      <c r="E188" s="86">
        <v>44.941408223403037</v>
      </c>
      <c r="F188" s="88">
        <v>47.128316189985014</v>
      </c>
      <c r="G188" s="88">
        <v>38.485281557788618</v>
      </c>
      <c r="H188" s="88">
        <v>59.260640777653975</v>
      </c>
      <c r="I188" s="86">
        <v>14.862523071158796</v>
      </c>
      <c r="J188" s="86">
        <v>18.682890697748803</v>
      </c>
      <c r="K188" s="92">
        <v>42.845462576548314</v>
      </c>
      <c r="L188" s="86">
        <v>25.945773947155271</v>
      </c>
      <c r="M188" s="88">
        <v>28.667413135372566</v>
      </c>
      <c r="N188" s="86">
        <v>49.79736387819095</v>
      </c>
      <c r="O188" s="86">
        <v>9.6021936443946903</v>
      </c>
      <c r="P188" s="86">
        <v>5.286135432951288</v>
      </c>
      <c r="Q188" s="92">
        <v>1.2539089926653453</v>
      </c>
    </row>
    <row r="189" spans="2:17" x14ac:dyDescent="0.3">
      <c r="B189" s="292"/>
      <c r="C189" s="9" t="s">
        <v>213</v>
      </c>
      <c r="D189" s="86">
        <v>40.78118465875297</v>
      </c>
      <c r="E189" s="86">
        <v>36.041837990513287</v>
      </c>
      <c r="F189" s="88">
        <v>38.531509813956752</v>
      </c>
      <c r="G189" s="88">
        <v>42.831670405076387</v>
      </c>
      <c r="H189" s="88">
        <v>57.859521504057597</v>
      </c>
      <c r="I189" s="86">
        <v>10.863242628367045</v>
      </c>
      <c r="J189" s="86">
        <v>16.813409137931806</v>
      </c>
      <c r="K189" s="92">
        <v>33.237935477338524</v>
      </c>
      <c r="L189" s="86">
        <v>25.927974290645249</v>
      </c>
      <c r="M189" s="88">
        <v>30.97611163973481</v>
      </c>
      <c r="N189" s="86">
        <v>57.004950493460051</v>
      </c>
      <c r="O189" s="86">
        <v>12.233224043250665</v>
      </c>
      <c r="P189" s="86">
        <v>3.5791397462218169</v>
      </c>
      <c r="Q189" s="92">
        <v>1.6360548035551856</v>
      </c>
    </row>
    <row r="190" spans="2:17" x14ac:dyDescent="0.3">
      <c r="B190" s="292"/>
      <c r="C190" s="9" t="s">
        <v>214</v>
      </c>
      <c r="D190" s="86">
        <v>36.362794869208344</v>
      </c>
      <c r="E190" s="86">
        <v>32.410041428985259</v>
      </c>
      <c r="F190" s="88">
        <v>37.925469183593172</v>
      </c>
      <c r="G190" s="88">
        <v>46.866696452342026</v>
      </c>
      <c r="H190" s="88">
        <v>61.194859095438595</v>
      </c>
      <c r="I190" s="86">
        <v>7.2109844606213809</v>
      </c>
      <c r="J190" s="86">
        <v>18.317636423887286</v>
      </c>
      <c r="K190" s="92">
        <v>33.440571387070776</v>
      </c>
      <c r="L190" s="86">
        <v>20.001548439993357</v>
      </c>
      <c r="M190" s="88">
        <v>33.68563549350808</v>
      </c>
      <c r="N190" s="86">
        <v>59.397087878607465</v>
      </c>
      <c r="O190" s="86">
        <v>16.552558183727477</v>
      </c>
      <c r="P190" s="86">
        <v>2.857240481510384</v>
      </c>
      <c r="Q190" s="92">
        <v>2.0480697245922364</v>
      </c>
    </row>
    <row r="191" spans="2:17" x14ac:dyDescent="0.3">
      <c r="B191" s="292"/>
      <c r="C191" s="12" t="s">
        <v>215</v>
      </c>
      <c r="D191" s="90">
        <v>31.017563062400633</v>
      </c>
      <c r="E191" s="90">
        <v>30.473736107566911</v>
      </c>
      <c r="F191" s="91">
        <v>34.373723544456944</v>
      </c>
      <c r="G191" s="91">
        <v>53.360615494753304</v>
      </c>
      <c r="H191" s="91">
        <v>61.854984692952506</v>
      </c>
      <c r="I191" s="90">
        <v>5.9739718738829906</v>
      </c>
      <c r="J191" s="90">
        <v>21.048115106288961</v>
      </c>
      <c r="K191" s="94">
        <v>22.800529791959466</v>
      </c>
      <c r="L191" s="90">
        <v>21.138885137849989</v>
      </c>
      <c r="M191" s="91">
        <v>29.115453822453496</v>
      </c>
      <c r="N191" s="90">
        <v>53.461085384275741</v>
      </c>
      <c r="O191" s="90">
        <v>19.758556451606921</v>
      </c>
      <c r="P191" s="90">
        <v>3.7323011307202654</v>
      </c>
      <c r="Q191" s="94">
        <v>1.9952551963727396</v>
      </c>
    </row>
    <row r="192" spans="2:17" x14ac:dyDescent="0.3">
      <c r="B192" s="292"/>
      <c r="C192" s="9" t="s">
        <v>216</v>
      </c>
      <c r="D192" s="86">
        <v>44.96041612062551</v>
      </c>
      <c r="E192" s="86">
        <v>33.151687892693552</v>
      </c>
      <c r="F192" s="88">
        <v>49.177899343465924</v>
      </c>
      <c r="G192" s="88">
        <v>28.4580844490755</v>
      </c>
      <c r="H192" s="88">
        <v>42.272337315293377</v>
      </c>
      <c r="I192" s="86">
        <v>11.280026405322301</v>
      </c>
      <c r="J192" s="86">
        <v>17.647106795041978</v>
      </c>
      <c r="K192" s="92">
        <v>79.029078281540649</v>
      </c>
      <c r="L192" s="86">
        <v>45.64508402009367</v>
      </c>
      <c r="M192" s="88">
        <v>15.952199701023769</v>
      </c>
      <c r="N192" s="86">
        <v>31.178842990035871</v>
      </c>
      <c r="O192" s="86">
        <v>5.734829202130542</v>
      </c>
      <c r="P192" s="86">
        <v>19.306470700791088</v>
      </c>
      <c r="Q192" s="92">
        <v>4.4070067294009512</v>
      </c>
    </row>
    <row r="193" spans="2:17" x14ac:dyDescent="0.3">
      <c r="B193" s="292"/>
      <c r="C193" s="9" t="s">
        <v>217</v>
      </c>
      <c r="D193" s="86">
        <v>41.974142254911797</v>
      </c>
      <c r="E193" s="86">
        <v>40.56590325694647</v>
      </c>
      <c r="F193" s="88">
        <v>50.245652871266678</v>
      </c>
      <c r="G193" s="88">
        <v>33.345633367256355</v>
      </c>
      <c r="H193" s="88">
        <v>45.925559899202327</v>
      </c>
      <c r="I193" s="86">
        <v>12.945140300204924</v>
      </c>
      <c r="J193" s="86">
        <v>17.81164504513605</v>
      </c>
      <c r="K193" s="92">
        <v>65.491135947240068</v>
      </c>
      <c r="L193" s="86">
        <v>43.806552936575585</v>
      </c>
      <c r="M193" s="88">
        <v>25.134928219766955</v>
      </c>
      <c r="N193" s="86">
        <v>44.296198545204597</v>
      </c>
      <c r="O193" s="86">
        <v>6.5053815121371024</v>
      </c>
      <c r="P193" s="86">
        <v>11.449026497214495</v>
      </c>
      <c r="Q193" s="92">
        <v>2.8627935769227304</v>
      </c>
    </row>
    <row r="194" spans="2:17" x14ac:dyDescent="0.3">
      <c r="B194" s="292"/>
      <c r="C194" s="9" t="s">
        <v>218</v>
      </c>
      <c r="D194" s="86">
        <v>37.612251244356209</v>
      </c>
      <c r="E194" s="86">
        <v>43.736412228723978</v>
      </c>
      <c r="F194" s="88">
        <v>48.836903329696554</v>
      </c>
      <c r="G194" s="88">
        <v>29.789512973738031</v>
      </c>
      <c r="H194" s="88">
        <v>49.219446059795494</v>
      </c>
      <c r="I194" s="86">
        <v>10.965217945084225</v>
      </c>
      <c r="J194" s="86">
        <v>15.316087577796306</v>
      </c>
      <c r="K194" s="92">
        <v>56.496761634017766</v>
      </c>
      <c r="L194" s="86">
        <v>35.084382390718396</v>
      </c>
      <c r="M194" s="88">
        <v>34.943741530262969</v>
      </c>
      <c r="N194" s="86">
        <v>54.608165952466294</v>
      </c>
      <c r="O194" s="86">
        <v>9.4576054145555428</v>
      </c>
      <c r="P194" s="86">
        <v>7.4867202720861394</v>
      </c>
      <c r="Q194" s="92">
        <v>3.2050296382336625</v>
      </c>
    </row>
    <row r="195" spans="2:17" x14ac:dyDescent="0.3">
      <c r="B195" s="292"/>
      <c r="C195" s="9" t="s">
        <v>219</v>
      </c>
      <c r="D195" s="86">
        <v>34.592885803038406</v>
      </c>
      <c r="E195" s="86">
        <v>33.314344010890338</v>
      </c>
      <c r="F195" s="88">
        <v>36.160843037310755</v>
      </c>
      <c r="G195" s="88">
        <v>36.013915796640731</v>
      </c>
      <c r="H195" s="88">
        <v>55.98016584267711</v>
      </c>
      <c r="I195" s="86">
        <v>9.0324388338157195</v>
      </c>
      <c r="J195" s="86">
        <v>18.519924105496901</v>
      </c>
      <c r="K195" s="92">
        <v>44.390849241788537</v>
      </c>
      <c r="L195" s="86">
        <v>31.728194312809698</v>
      </c>
      <c r="M195" s="88">
        <v>38.792301051814697</v>
      </c>
      <c r="N195" s="86">
        <v>60.028929389420739</v>
      </c>
      <c r="O195" s="86">
        <v>16.783288555030381</v>
      </c>
      <c r="P195" s="86">
        <v>5.6721008343453319</v>
      </c>
      <c r="Q195" s="92">
        <v>2.0799669660360993</v>
      </c>
    </row>
    <row r="196" spans="2:17" x14ac:dyDescent="0.3">
      <c r="B196" s="292"/>
      <c r="C196" s="9" t="s">
        <v>220</v>
      </c>
      <c r="D196" s="86">
        <v>34.147101137686427</v>
      </c>
      <c r="E196" s="86">
        <v>28.879762386907583</v>
      </c>
      <c r="F196" s="88">
        <v>31.760012249081832</v>
      </c>
      <c r="G196" s="88">
        <v>40.564121189164759</v>
      </c>
      <c r="H196" s="88">
        <v>56.535525560569788</v>
      </c>
      <c r="I196" s="86">
        <v>9.2686760472075562</v>
      </c>
      <c r="J196" s="86">
        <v>20.688776718202533</v>
      </c>
      <c r="K196" s="92">
        <v>35.569670409265505</v>
      </c>
      <c r="L196" s="86">
        <v>25.180058743321233</v>
      </c>
      <c r="M196" s="88">
        <v>40.432918572279149</v>
      </c>
      <c r="N196" s="86">
        <v>60.093650718260719</v>
      </c>
      <c r="O196" s="86">
        <v>25.767587938498433</v>
      </c>
      <c r="P196" s="86">
        <v>4.7443154814813013</v>
      </c>
      <c r="Q196" s="92">
        <v>3.3291909696298756</v>
      </c>
    </row>
    <row r="197" spans="2:17" x14ac:dyDescent="0.3">
      <c r="B197" s="295"/>
      <c r="C197" s="9" t="s">
        <v>221</v>
      </c>
      <c r="D197" s="86">
        <v>40.159181209200881</v>
      </c>
      <c r="E197" s="86">
        <v>26.00856492572418</v>
      </c>
      <c r="F197" s="88">
        <v>30.723773983374546</v>
      </c>
      <c r="G197" s="88">
        <v>46.623914931342021</v>
      </c>
      <c r="H197" s="88">
        <v>58.870910323969227</v>
      </c>
      <c r="I197" s="86">
        <v>8.3666419173391144</v>
      </c>
      <c r="J197" s="86">
        <v>25.33524829849582</v>
      </c>
      <c r="K197" s="92">
        <v>26.358662248052966</v>
      </c>
      <c r="L197" s="86">
        <v>23.338550890396728</v>
      </c>
      <c r="M197" s="88">
        <v>30.639955488130283</v>
      </c>
      <c r="N197" s="86">
        <v>48.155636321015663</v>
      </c>
      <c r="O197" s="86">
        <v>26.840955002246886</v>
      </c>
      <c r="P197" s="86">
        <v>5.1592512382207154</v>
      </c>
      <c r="Q197" s="92">
        <v>4.7672223871021382</v>
      </c>
    </row>
    <row r="198" spans="2:17" ht="16.5" customHeight="1" x14ac:dyDescent="0.3">
      <c r="B198" s="291" t="s">
        <v>222</v>
      </c>
      <c r="C198" s="13" t="s">
        <v>226</v>
      </c>
      <c r="D198" s="84">
        <v>32.136206218893676</v>
      </c>
      <c r="E198" s="84">
        <v>31.706296943843189</v>
      </c>
      <c r="F198" s="89">
        <v>38.639597846373555</v>
      </c>
      <c r="G198" s="89">
        <v>44.124822606674627</v>
      </c>
      <c r="H198" s="89">
        <v>46.232923721743951</v>
      </c>
      <c r="I198" s="84">
        <v>10.4302149044165</v>
      </c>
      <c r="J198" s="84">
        <v>23.918048544578859</v>
      </c>
      <c r="K198" s="93">
        <v>39.984678952736324</v>
      </c>
      <c r="L198" s="84">
        <v>28.708794931224734</v>
      </c>
      <c r="M198" s="89">
        <v>30.398239457265426</v>
      </c>
      <c r="N198" s="84">
        <v>55.267519387845844</v>
      </c>
      <c r="O198" s="84">
        <v>16.815595571271384</v>
      </c>
      <c r="P198" s="84">
        <v>8.6226503760307178</v>
      </c>
      <c r="Q198" s="93">
        <v>4.7101097971209773</v>
      </c>
    </row>
    <row r="199" spans="2:17" ht="16.5" customHeight="1" x14ac:dyDescent="0.3">
      <c r="B199" s="294"/>
      <c r="C199" s="9" t="s">
        <v>227</v>
      </c>
      <c r="D199" s="86">
        <v>35.694661958314448</v>
      </c>
      <c r="E199" s="86">
        <v>33.218248921715031</v>
      </c>
      <c r="F199" s="88">
        <v>37.707109744356387</v>
      </c>
      <c r="G199" s="88">
        <v>42.821555692122622</v>
      </c>
      <c r="H199" s="88">
        <v>54.57405257797523</v>
      </c>
      <c r="I199" s="86">
        <v>9.1673859084384546</v>
      </c>
      <c r="J199" s="86">
        <v>20.494041333148818</v>
      </c>
      <c r="K199" s="92">
        <v>39.983816313952133</v>
      </c>
      <c r="L199" s="86">
        <v>27.858274508303403</v>
      </c>
      <c r="M199" s="88">
        <v>29.888235975919219</v>
      </c>
      <c r="N199" s="86">
        <v>54.293519353898922</v>
      </c>
      <c r="O199" s="86">
        <v>16.17867059666958</v>
      </c>
      <c r="P199" s="86">
        <v>6.0317025879428572</v>
      </c>
      <c r="Q199" s="92">
        <v>2.273174932866163</v>
      </c>
    </row>
    <row r="200" spans="2:17" x14ac:dyDescent="0.3">
      <c r="B200" s="292"/>
      <c r="C200" s="9" t="s">
        <v>228</v>
      </c>
      <c r="D200" s="86">
        <v>40.236818842556644</v>
      </c>
      <c r="E200" s="86">
        <v>37.372802254968747</v>
      </c>
      <c r="F200" s="88">
        <v>40.555047858281021</v>
      </c>
      <c r="G200" s="88">
        <v>41.601880639091064</v>
      </c>
      <c r="H200" s="88">
        <v>59.319883824950345</v>
      </c>
      <c r="I200" s="86">
        <v>10.104592185595779</v>
      </c>
      <c r="J200" s="86">
        <v>18.278658045069538</v>
      </c>
      <c r="K200" s="92">
        <v>42.255632570125037</v>
      </c>
      <c r="L200" s="86">
        <v>27.665002618782569</v>
      </c>
      <c r="M200" s="88">
        <v>32.02345833658589</v>
      </c>
      <c r="N200" s="86">
        <v>51.583732763922626</v>
      </c>
      <c r="O200" s="86">
        <v>13.908982203564015</v>
      </c>
      <c r="P200" s="86">
        <v>4.6305570700931344</v>
      </c>
      <c r="Q200" s="92">
        <v>1.9050358538302934</v>
      </c>
    </row>
    <row r="201" spans="2:17" x14ac:dyDescent="0.3">
      <c r="B201" s="295"/>
      <c r="C201" s="12" t="s">
        <v>229</v>
      </c>
      <c r="D201" s="90">
        <v>49.100617420494395</v>
      </c>
      <c r="E201" s="90">
        <v>39.640234919881898</v>
      </c>
      <c r="F201" s="91">
        <v>42.149196425657173</v>
      </c>
      <c r="G201" s="91">
        <v>33.693546410903672</v>
      </c>
      <c r="H201" s="91">
        <v>61.256946080155181</v>
      </c>
      <c r="I201" s="90">
        <v>12.142214484297384</v>
      </c>
      <c r="J201" s="90">
        <v>13.257153345515608</v>
      </c>
      <c r="K201" s="94">
        <v>43.356607832299176</v>
      </c>
      <c r="L201" s="90">
        <v>31.34138717935096</v>
      </c>
      <c r="M201" s="91">
        <v>32.845136688373806</v>
      </c>
      <c r="N201" s="90">
        <v>48.847701680004064</v>
      </c>
      <c r="O201" s="90">
        <v>13.784638832578771</v>
      </c>
      <c r="P201" s="90">
        <v>5.864672314670111</v>
      </c>
      <c r="Q201" s="94">
        <v>1.8323670048687672</v>
      </c>
    </row>
    <row r="202" spans="2:17" x14ac:dyDescent="0.3">
      <c r="B202" s="296" t="s">
        <v>199</v>
      </c>
      <c r="C202" s="13" t="s">
        <v>192</v>
      </c>
      <c r="D202" s="84">
        <v>41.895555288826671</v>
      </c>
      <c r="E202" s="84">
        <v>43.535004146943088</v>
      </c>
      <c r="F202" s="89">
        <v>42.369200485456759</v>
      </c>
      <c r="G202" s="89">
        <v>38.934517377877228</v>
      </c>
      <c r="H202" s="89">
        <v>55.908384206502703</v>
      </c>
      <c r="I202" s="84">
        <v>11.533550012930649</v>
      </c>
      <c r="J202" s="84">
        <v>17.597083993038542</v>
      </c>
      <c r="K202" s="93">
        <v>41.477228121383305</v>
      </c>
      <c r="L202" s="84">
        <v>28.239547787354468</v>
      </c>
      <c r="M202" s="89">
        <v>30.176719871209141</v>
      </c>
      <c r="N202" s="84">
        <v>50.276075502917408</v>
      </c>
      <c r="O202" s="84">
        <v>13.332908318577196</v>
      </c>
      <c r="P202" s="84">
        <v>5.5426553833497403</v>
      </c>
      <c r="Q202" s="93">
        <v>2.3508129911000113</v>
      </c>
    </row>
    <row r="203" spans="2:17" x14ac:dyDescent="0.3">
      <c r="B203" s="292"/>
      <c r="C203" s="9" t="s">
        <v>200</v>
      </c>
      <c r="D203" s="86">
        <v>21.139196499856777</v>
      </c>
      <c r="E203" s="86">
        <v>23.09267836743637</v>
      </c>
      <c r="F203" s="88">
        <v>35.344931134728405</v>
      </c>
      <c r="G203" s="88">
        <v>50.160333500771983</v>
      </c>
      <c r="H203" s="88">
        <v>43.301658878454489</v>
      </c>
      <c r="I203" s="86">
        <v>9.8932223528805281</v>
      </c>
      <c r="J203" s="86">
        <v>24.897402035311536</v>
      </c>
      <c r="K203" s="92">
        <v>40.968973568036191</v>
      </c>
      <c r="L203" s="86">
        <v>32.463411773347026</v>
      </c>
      <c r="M203" s="88">
        <v>31.879286254047873</v>
      </c>
      <c r="N203" s="86">
        <v>61.163768228245949</v>
      </c>
      <c r="O203" s="86">
        <v>23.988482869735456</v>
      </c>
      <c r="P203" s="86">
        <v>8.260575481500549</v>
      </c>
      <c r="Q203" s="92">
        <v>3.55355079681607</v>
      </c>
    </row>
    <row r="204" spans="2:17" x14ac:dyDescent="0.3">
      <c r="B204" s="292"/>
      <c r="C204" s="9" t="s">
        <v>201</v>
      </c>
      <c r="D204" s="86">
        <v>37.749688313014381</v>
      </c>
      <c r="E204" s="86">
        <v>29.458720353913719</v>
      </c>
      <c r="F204" s="88">
        <v>35.496681454544607</v>
      </c>
      <c r="G204" s="88">
        <v>41.75203649313157</v>
      </c>
      <c r="H204" s="88">
        <v>56.201359222407291</v>
      </c>
      <c r="I204" s="86">
        <v>10.818372528785748</v>
      </c>
      <c r="J204" s="86">
        <v>20.185075442874329</v>
      </c>
      <c r="K204" s="92">
        <v>40.195199523935933</v>
      </c>
      <c r="L204" s="86">
        <v>27.577284060775391</v>
      </c>
      <c r="M204" s="88">
        <v>30.875144362809852</v>
      </c>
      <c r="N204" s="86">
        <v>52.216067322859757</v>
      </c>
      <c r="O204" s="86">
        <v>16.393877851368675</v>
      </c>
      <c r="P204" s="86">
        <v>7.0305812366689562</v>
      </c>
      <c r="Q204" s="92">
        <v>3.59734507311261</v>
      </c>
    </row>
    <row r="205" spans="2:17" x14ac:dyDescent="0.3">
      <c r="B205" s="292"/>
      <c r="C205" s="9" t="s">
        <v>202</v>
      </c>
      <c r="D205" s="86">
        <v>32.319927820125699</v>
      </c>
      <c r="E205" s="86">
        <v>23.760315166821062</v>
      </c>
      <c r="F205" s="88">
        <v>34.957415127854688</v>
      </c>
      <c r="G205" s="88">
        <v>41.394970873795607</v>
      </c>
      <c r="H205" s="88">
        <v>53.809448685748997</v>
      </c>
      <c r="I205" s="86">
        <v>9.1748259588998273</v>
      </c>
      <c r="J205" s="86">
        <v>17.973860553331548</v>
      </c>
      <c r="K205" s="92">
        <v>39.778829517134568</v>
      </c>
      <c r="L205" s="86">
        <v>29.351861077386442</v>
      </c>
      <c r="M205" s="88">
        <v>34.745282426417127</v>
      </c>
      <c r="N205" s="86">
        <v>58.167216068055282</v>
      </c>
      <c r="O205" s="86">
        <v>19.35236428201539</v>
      </c>
      <c r="P205" s="86">
        <v>8.292587991526096</v>
      </c>
      <c r="Q205" s="92">
        <v>2.5790337121801357</v>
      </c>
    </row>
    <row r="206" spans="2:17" x14ac:dyDescent="0.3">
      <c r="B206" s="295"/>
      <c r="C206" s="12" t="s">
        <v>203</v>
      </c>
      <c r="D206" s="90">
        <v>39.064194327451069</v>
      </c>
      <c r="E206" s="90">
        <v>25.512113397533842</v>
      </c>
      <c r="F206" s="91">
        <v>37.757751286886297</v>
      </c>
      <c r="G206" s="91">
        <v>41.995999772302781</v>
      </c>
      <c r="H206" s="91">
        <v>55.793493277244451</v>
      </c>
      <c r="I206" s="90">
        <v>8.2151998084512989</v>
      </c>
      <c r="J206" s="90">
        <v>21.281215575046303</v>
      </c>
      <c r="K206" s="94">
        <v>42.074754537727912</v>
      </c>
      <c r="L206" s="90">
        <v>30.211298896624385</v>
      </c>
      <c r="M206" s="91">
        <v>32.311949643325406</v>
      </c>
      <c r="N206" s="90">
        <v>54.554422535578006</v>
      </c>
      <c r="O206" s="90">
        <v>16.125854137727455</v>
      </c>
      <c r="P206" s="90">
        <v>6.7245927956680367</v>
      </c>
      <c r="Q206" s="94">
        <v>2.9040125701199044</v>
      </c>
    </row>
    <row r="207" spans="2:17" x14ac:dyDescent="0.3">
      <c r="B207" s="291" t="s">
        <v>204</v>
      </c>
      <c r="C207" s="13" t="s">
        <v>192</v>
      </c>
      <c r="D207" s="84">
        <v>41.895555288826671</v>
      </c>
      <c r="E207" s="84">
        <v>43.535004146943088</v>
      </c>
      <c r="F207" s="89">
        <v>42.369200485456759</v>
      </c>
      <c r="G207" s="89">
        <v>38.934517377877228</v>
      </c>
      <c r="H207" s="89">
        <v>55.908384206502703</v>
      </c>
      <c r="I207" s="84">
        <v>11.533550012930649</v>
      </c>
      <c r="J207" s="84">
        <v>17.597083993038542</v>
      </c>
      <c r="K207" s="93">
        <v>41.477228121383305</v>
      </c>
      <c r="L207" s="84">
        <v>28.239547787354468</v>
      </c>
      <c r="M207" s="89">
        <v>30.176719871209141</v>
      </c>
      <c r="N207" s="84">
        <v>50.276075502917408</v>
      </c>
      <c r="O207" s="84">
        <v>13.332908318577196</v>
      </c>
      <c r="P207" s="84">
        <v>5.5426553833497403</v>
      </c>
      <c r="Q207" s="93">
        <v>2.3508129911000113</v>
      </c>
    </row>
    <row r="208" spans="2:17" x14ac:dyDescent="0.3">
      <c r="B208" s="295"/>
      <c r="C208" s="12" t="s">
        <v>193</v>
      </c>
      <c r="D208" s="90">
        <v>35.967894281315033</v>
      </c>
      <c r="E208" s="90">
        <v>25.871852535233081</v>
      </c>
      <c r="F208" s="91">
        <v>36.515023519312116</v>
      </c>
      <c r="G208" s="91">
        <v>42.529190589191053</v>
      </c>
      <c r="H208" s="91">
        <v>54.443143404243656</v>
      </c>
      <c r="I208" s="90">
        <v>9.1285747257208278</v>
      </c>
      <c r="J208" s="90">
        <v>20.725331660521942</v>
      </c>
      <c r="K208" s="94">
        <v>41.124916219029522</v>
      </c>
      <c r="L208" s="90">
        <v>29.646978653177879</v>
      </c>
      <c r="M208" s="91">
        <v>32.403644593153238</v>
      </c>
      <c r="N208" s="90">
        <v>55.26649699688646</v>
      </c>
      <c r="O208" s="90">
        <v>17.464166963495067</v>
      </c>
      <c r="P208" s="90">
        <v>7.2186829247127644</v>
      </c>
      <c r="Q208" s="94">
        <v>3.0562265131950195</v>
      </c>
    </row>
    <row r="209" spans="2:17" ht="16.5" customHeight="1" x14ac:dyDescent="0.3">
      <c r="B209" s="291" t="s">
        <v>209</v>
      </c>
      <c r="C209" s="13" t="s">
        <v>205</v>
      </c>
      <c r="D209" s="84">
        <v>33.508143285265035</v>
      </c>
      <c r="E209" s="84">
        <v>32.643772317883069</v>
      </c>
      <c r="F209" s="89">
        <v>39.742093521139005</v>
      </c>
      <c r="G209" s="89">
        <v>38.150581436642049</v>
      </c>
      <c r="H209" s="89">
        <v>46.848731070236852</v>
      </c>
      <c r="I209" s="84">
        <v>10.43699403655647</v>
      </c>
      <c r="J209" s="84">
        <v>20.720666321350436</v>
      </c>
      <c r="K209" s="93">
        <v>47.577335661085399</v>
      </c>
      <c r="L209" s="84">
        <v>33.473101226718654</v>
      </c>
      <c r="M209" s="89">
        <v>32.403277807802525</v>
      </c>
      <c r="N209" s="84">
        <v>61.475170653734878</v>
      </c>
      <c r="O209" s="84">
        <v>15.0436295414552</v>
      </c>
      <c r="P209" s="84">
        <v>7.7049589593251619</v>
      </c>
      <c r="Q209" s="93">
        <v>3.3508959953819972</v>
      </c>
    </row>
    <row r="210" spans="2:17" x14ac:dyDescent="0.3">
      <c r="B210" s="292"/>
      <c r="C210" s="9" t="s">
        <v>206</v>
      </c>
      <c r="D210" s="86">
        <v>34.289209401149037</v>
      </c>
      <c r="E210" s="86">
        <v>31.464688864062683</v>
      </c>
      <c r="F210" s="88">
        <v>34.887900935885739</v>
      </c>
      <c r="G210" s="88">
        <v>42.58214560801111</v>
      </c>
      <c r="H210" s="88">
        <v>55.346941395372163</v>
      </c>
      <c r="I210" s="86">
        <v>7.3275696167957216</v>
      </c>
      <c r="J210" s="86">
        <v>22.304141532827533</v>
      </c>
      <c r="K210" s="92">
        <v>33.216044285166888</v>
      </c>
      <c r="L210" s="86">
        <v>25.638707869991688</v>
      </c>
      <c r="M210" s="88">
        <v>30.303383220487778</v>
      </c>
      <c r="N210" s="86">
        <v>54.205147888584982</v>
      </c>
      <c r="O210" s="86">
        <v>19.258087865092662</v>
      </c>
      <c r="P210" s="86">
        <v>6.0085247232759773</v>
      </c>
      <c r="Q210" s="92">
        <v>4.0953462942425238</v>
      </c>
    </row>
    <row r="211" spans="2:17" x14ac:dyDescent="0.3">
      <c r="B211" s="292"/>
      <c r="C211" s="9" t="s">
        <v>207</v>
      </c>
      <c r="D211" s="86">
        <v>41.910631265163993</v>
      </c>
      <c r="E211" s="86">
        <v>37.106737268115062</v>
      </c>
      <c r="F211" s="88">
        <v>39.73028733039105</v>
      </c>
      <c r="G211" s="88">
        <v>40.282330269844039</v>
      </c>
      <c r="H211" s="88">
        <v>56.547482619824393</v>
      </c>
      <c r="I211" s="86">
        <v>10.976581831711526</v>
      </c>
      <c r="J211" s="86">
        <v>17.819419702163216</v>
      </c>
      <c r="K211" s="92">
        <v>38.575565069793548</v>
      </c>
      <c r="L211" s="86">
        <v>28.107311963101917</v>
      </c>
      <c r="M211" s="88">
        <v>32.93340894376832</v>
      </c>
      <c r="N211" s="86">
        <v>50.485041309987743</v>
      </c>
      <c r="O211" s="86">
        <v>14.417695287633103</v>
      </c>
      <c r="P211" s="86">
        <v>5.2176164630524049</v>
      </c>
      <c r="Q211" s="92">
        <v>2.0502678467301121</v>
      </c>
    </row>
    <row r="212" spans="2:17" x14ac:dyDescent="0.3">
      <c r="B212" s="293"/>
      <c r="C212" s="25" t="s">
        <v>208</v>
      </c>
      <c r="D212" s="87">
        <v>42.202023964812824</v>
      </c>
      <c r="E212" s="87">
        <v>37.374788249023098</v>
      </c>
      <c r="F212" s="95">
        <v>42.539946119080568</v>
      </c>
      <c r="G212" s="95">
        <v>40.780385848303048</v>
      </c>
      <c r="H212" s="95">
        <v>57.768736046374592</v>
      </c>
      <c r="I212" s="87">
        <v>11.829860687310008</v>
      </c>
      <c r="J212" s="87">
        <v>17.382488599866903</v>
      </c>
      <c r="K212" s="96">
        <v>46.09109340457681</v>
      </c>
      <c r="L212" s="87">
        <v>29.568094300965825</v>
      </c>
      <c r="M212" s="95">
        <v>29.61589048949665</v>
      </c>
      <c r="N212" s="87">
        <v>49.46557316025843</v>
      </c>
      <c r="O212" s="87">
        <v>13.600395517526115</v>
      </c>
      <c r="P212" s="87">
        <v>6.9113517971958274</v>
      </c>
      <c r="Q212" s="96">
        <v>2.0656581097321682</v>
      </c>
    </row>
    <row r="215" spans="2:17" x14ac:dyDescent="0.3">
      <c r="B215" s="261" t="s">
        <v>566</v>
      </c>
      <c r="C215" s="261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1"/>
      <c r="P215" s="261"/>
    </row>
    <row r="216" spans="2:17" ht="10.5" customHeight="1" x14ac:dyDescent="0.3"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30"/>
      <c r="O216" s="30"/>
      <c r="P216" s="30" t="s">
        <v>157</v>
      </c>
    </row>
    <row r="217" spans="2:17" s="125" customFormat="1" ht="27" x14ac:dyDescent="0.3">
      <c r="B217" s="297"/>
      <c r="C217" s="297"/>
      <c r="D217" s="215" t="s">
        <v>57</v>
      </c>
      <c r="E217" s="215" t="s">
        <v>59</v>
      </c>
      <c r="F217" s="215" t="s">
        <v>126</v>
      </c>
      <c r="G217" s="215" t="s">
        <v>58</v>
      </c>
      <c r="H217" s="215" t="s">
        <v>127</v>
      </c>
      <c r="I217" s="202" t="s">
        <v>376</v>
      </c>
      <c r="J217" s="215" t="s">
        <v>60</v>
      </c>
      <c r="K217" s="215" t="s">
        <v>61</v>
      </c>
      <c r="L217" s="215" t="s">
        <v>128</v>
      </c>
      <c r="M217" s="215" t="s">
        <v>129</v>
      </c>
      <c r="N217" s="202" t="s">
        <v>377</v>
      </c>
      <c r="O217" s="215" t="s">
        <v>130</v>
      </c>
      <c r="P217" s="215" t="s">
        <v>38</v>
      </c>
      <c r="Q217" s="126"/>
    </row>
    <row r="218" spans="2:17" ht="21.75" customHeight="1" x14ac:dyDescent="0.3">
      <c r="B218" s="292" t="s">
        <v>20</v>
      </c>
      <c r="C218" s="292"/>
      <c r="D218" s="86">
        <v>40.947390261795285</v>
      </c>
      <c r="E218" s="86">
        <v>50.461642805950227</v>
      </c>
      <c r="F218" s="88">
        <v>76.141986194544941</v>
      </c>
      <c r="G218" s="86">
        <v>22.238613676691664</v>
      </c>
      <c r="H218" s="88">
        <v>38.2290118803909</v>
      </c>
      <c r="I218" s="86">
        <v>58.64328560922516</v>
      </c>
      <c r="J218" s="86">
        <v>34.549127633463137</v>
      </c>
      <c r="K218" s="86">
        <v>32.885093194997225</v>
      </c>
      <c r="L218" s="88">
        <v>50.908883878092603</v>
      </c>
      <c r="M218" s="86">
        <v>14.28795325180697</v>
      </c>
      <c r="N218" s="86">
        <v>14.379036555594555</v>
      </c>
      <c r="O218" s="86">
        <v>2.3826426879934903</v>
      </c>
      <c r="P218" s="86">
        <v>0.27419524676897677</v>
      </c>
    </row>
    <row r="219" spans="2:17" x14ac:dyDescent="0.3">
      <c r="B219" s="296" t="s">
        <v>5</v>
      </c>
      <c r="C219" s="13" t="s">
        <v>0</v>
      </c>
      <c r="D219" s="84">
        <v>39.641454466929162</v>
      </c>
      <c r="E219" s="84">
        <v>45.185410916050813</v>
      </c>
      <c r="F219" s="89">
        <v>72.629018340053932</v>
      </c>
      <c r="G219" s="84">
        <v>23.762918147791442</v>
      </c>
      <c r="H219" s="89">
        <v>37.890468037155422</v>
      </c>
      <c r="I219" s="84">
        <v>58.070226016731738</v>
      </c>
      <c r="J219" s="84">
        <v>36.063026667033796</v>
      </c>
      <c r="K219" s="84">
        <v>37.388045954938029</v>
      </c>
      <c r="L219" s="89">
        <v>51.537165329897427</v>
      </c>
      <c r="M219" s="84">
        <v>16.687213812960671</v>
      </c>
      <c r="N219" s="84">
        <v>10.259007955304398</v>
      </c>
      <c r="O219" s="84">
        <v>2.3712977419521866</v>
      </c>
      <c r="P219" s="84">
        <v>0.26092354452484301</v>
      </c>
    </row>
    <row r="220" spans="2:17" x14ac:dyDescent="0.3">
      <c r="B220" s="295"/>
      <c r="C220" s="12" t="s">
        <v>1</v>
      </c>
      <c r="D220" s="90">
        <v>42.265637343375403</v>
      </c>
      <c r="E220" s="90">
        <v>55.787614663026019</v>
      </c>
      <c r="F220" s="90">
        <v>79.68807141563839</v>
      </c>
      <c r="G220" s="90">
        <v>20.699939318910271</v>
      </c>
      <c r="H220" s="90">
        <v>38.570747236053165</v>
      </c>
      <c r="I220" s="90">
        <v>59.221747535412163</v>
      </c>
      <c r="J220" s="90">
        <v>33.020956807102301</v>
      </c>
      <c r="K220" s="90">
        <v>28.33969030641137</v>
      </c>
      <c r="L220" s="90">
        <v>50.274679506399032</v>
      </c>
      <c r="M220" s="90">
        <v>11.866074438829864</v>
      </c>
      <c r="N220" s="90">
        <v>18.537905391041924</v>
      </c>
      <c r="O220" s="90">
        <v>2.3940945848389319</v>
      </c>
      <c r="P220" s="90">
        <v>0.28759206368732454</v>
      </c>
    </row>
    <row r="221" spans="2:17" x14ac:dyDescent="0.3">
      <c r="B221" s="296" t="s">
        <v>4</v>
      </c>
      <c r="C221" s="9" t="s">
        <v>175</v>
      </c>
      <c r="D221" s="86">
        <v>54.454631777999765</v>
      </c>
      <c r="E221" s="86">
        <v>50.406834840038492</v>
      </c>
      <c r="F221" s="88">
        <v>83.175136166261325</v>
      </c>
      <c r="G221" s="86">
        <v>34.490544883202389</v>
      </c>
      <c r="H221" s="88">
        <v>29.338922851712979</v>
      </c>
      <c r="I221" s="86">
        <v>53.985824731190036</v>
      </c>
      <c r="J221" s="86">
        <v>31.316353138927127</v>
      </c>
      <c r="K221" s="86">
        <v>18.039935555176903</v>
      </c>
      <c r="L221" s="88">
        <v>43.515595060835544</v>
      </c>
      <c r="M221" s="86">
        <v>15.980381443756761</v>
      </c>
      <c r="N221" s="86">
        <v>16.758299234209765</v>
      </c>
      <c r="O221" s="86">
        <v>1.7705040136100814</v>
      </c>
      <c r="P221" s="86">
        <v>0.63938657881556271</v>
      </c>
    </row>
    <row r="222" spans="2:17" x14ac:dyDescent="0.3">
      <c r="B222" s="292"/>
      <c r="C222" s="9" t="s">
        <v>176</v>
      </c>
      <c r="D222" s="86">
        <v>48.453802889584011</v>
      </c>
      <c r="E222" s="86">
        <v>54.030880505175858</v>
      </c>
      <c r="F222" s="88">
        <v>81.78834737932597</v>
      </c>
      <c r="G222" s="86">
        <v>31.527020736639301</v>
      </c>
      <c r="H222" s="88">
        <v>36.002789971768159</v>
      </c>
      <c r="I222" s="86">
        <v>52.338546000978667</v>
      </c>
      <c r="J222" s="86">
        <v>38.514901869363179</v>
      </c>
      <c r="K222" s="86">
        <v>25.861258581412223</v>
      </c>
      <c r="L222" s="88">
        <v>50.136088805165159</v>
      </c>
      <c r="M222" s="86">
        <v>13.030255709427774</v>
      </c>
      <c r="N222" s="86">
        <v>17.278360264616481</v>
      </c>
      <c r="O222" s="86">
        <v>2.5136728227415537</v>
      </c>
      <c r="P222" s="86">
        <v>0.36751529693227708</v>
      </c>
    </row>
    <row r="223" spans="2:17" x14ac:dyDescent="0.3">
      <c r="B223" s="292"/>
      <c r="C223" s="9" t="s">
        <v>177</v>
      </c>
      <c r="D223" s="86">
        <v>41.390763025463748</v>
      </c>
      <c r="E223" s="86">
        <v>55.806040707893999</v>
      </c>
      <c r="F223" s="88">
        <v>77.369777441951427</v>
      </c>
      <c r="G223" s="86">
        <v>27.447679459290725</v>
      </c>
      <c r="H223" s="88">
        <v>41.426759104551699</v>
      </c>
      <c r="I223" s="86">
        <v>56.076030269109701</v>
      </c>
      <c r="J223" s="86">
        <v>37.27964136173361</v>
      </c>
      <c r="K223" s="86">
        <v>31.004671609935013</v>
      </c>
      <c r="L223" s="88">
        <v>50.293755620900072</v>
      </c>
      <c r="M223" s="86">
        <v>16.013212517999602</v>
      </c>
      <c r="N223" s="86">
        <v>15.64539396575074</v>
      </c>
      <c r="O223" s="86">
        <v>2.1610530109287094</v>
      </c>
      <c r="P223" s="86">
        <v>0.35132357713585688</v>
      </c>
    </row>
    <row r="224" spans="2:17" x14ac:dyDescent="0.3">
      <c r="B224" s="292"/>
      <c r="C224" s="9" t="s">
        <v>178</v>
      </c>
      <c r="D224" s="86">
        <v>37.415426288371037</v>
      </c>
      <c r="E224" s="86">
        <v>47.832509276724295</v>
      </c>
      <c r="F224" s="88">
        <v>77.264651746581464</v>
      </c>
      <c r="G224" s="86">
        <v>23.273921844894833</v>
      </c>
      <c r="H224" s="88">
        <v>40.244116489316298</v>
      </c>
      <c r="I224" s="86">
        <v>56.267905965576958</v>
      </c>
      <c r="J224" s="86">
        <v>34.428643089469077</v>
      </c>
      <c r="K224" s="86">
        <v>32.587834772227339</v>
      </c>
      <c r="L224" s="88">
        <v>53.11032813400314</v>
      </c>
      <c r="M224" s="86">
        <v>15.334191640664077</v>
      </c>
      <c r="N224" s="86">
        <v>14.689844252647379</v>
      </c>
      <c r="O224" s="86">
        <v>2.1238791981232823</v>
      </c>
      <c r="P224" s="86">
        <v>0.21030310996597765</v>
      </c>
    </row>
    <row r="225" spans="2:16" x14ac:dyDescent="0.3">
      <c r="B225" s="292"/>
      <c r="C225" s="9" t="s">
        <v>179</v>
      </c>
      <c r="D225" s="86">
        <v>36.562624027774056</v>
      </c>
      <c r="E225" s="86">
        <v>46.453052446735349</v>
      </c>
      <c r="F225" s="88">
        <v>73.502476099557938</v>
      </c>
      <c r="G225" s="86">
        <v>16.855758131398794</v>
      </c>
      <c r="H225" s="88">
        <v>38.483395039710793</v>
      </c>
      <c r="I225" s="86">
        <v>63.723686193998041</v>
      </c>
      <c r="J225" s="86">
        <v>35.037349303824463</v>
      </c>
      <c r="K225" s="86">
        <v>38.348223736994747</v>
      </c>
      <c r="L225" s="88">
        <v>52.278059355282203</v>
      </c>
      <c r="M225" s="86">
        <v>15.494629764358933</v>
      </c>
      <c r="N225" s="86">
        <v>12.616652950504745</v>
      </c>
      <c r="O225" s="86">
        <v>2.4039711143639639</v>
      </c>
      <c r="P225" s="86">
        <v>0.27063514206850259</v>
      </c>
    </row>
    <row r="226" spans="2:16" x14ac:dyDescent="0.3">
      <c r="B226" s="298"/>
      <c r="C226" s="12" t="s">
        <v>180</v>
      </c>
      <c r="D226" s="90">
        <v>39.425520832036604</v>
      </c>
      <c r="E226" s="90">
        <v>49.908798931631601</v>
      </c>
      <c r="F226" s="91">
        <v>70.235353668030982</v>
      </c>
      <c r="G226" s="90">
        <v>11.499573833628505</v>
      </c>
      <c r="H226" s="91">
        <v>37.060029063983798</v>
      </c>
      <c r="I226" s="90">
        <v>64.297406045671892</v>
      </c>
      <c r="J226" s="90">
        <v>29.102562341027149</v>
      </c>
      <c r="K226" s="90">
        <v>38.473252090762664</v>
      </c>
      <c r="L226" s="91">
        <v>50.117216492801084</v>
      </c>
      <c r="M226" s="90">
        <v>10.904571986878246</v>
      </c>
      <c r="N226" s="90">
        <v>11.822632527549105</v>
      </c>
      <c r="O226" s="90">
        <v>2.8760538879255728</v>
      </c>
      <c r="P226" s="90">
        <v>0.10449289915508619</v>
      </c>
    </row>
    <row r="227" spans="2:16" x14ac:dyDescent="0.3">
      <c r="B227" s="292" t="s">
        <v>223</v>
      </c>
      <c r="C227" s="9" t="s">
        <v>210</v>
      </c>
      <c r="D227" s="86">
        <v>57.026923026349664</v>
      </c>
      <c r="E227" s="86">
        <v>54.670723901122145</v>
      </c>
      <c r="F227" s="88">
        <v>78.590560574584089</v>
      </c>
      <c r="G227" s="86">
        <v>35.752038694255695</v>
      </c>
      <c r="H227" s="88">
        <v>30.705137745493822</v>
      </c>
      <c r="I227" s="86">
        <v>47.574760909446965</v>
      </c>
      <c r="J227" s="86">
        <v>27.832351046630695</v>
      </c>
      <c r="K227" s="86">
        <v>19.271861802715787</v>
      </c>
      <c r="L227" s="88">
        <v>37.40180845810017</v>
      </c>
      <c r="M227" s="86">
        <v>16.438968922885024</v>
      </c>
      <c r="N227" s="86">
        <v>10.220856327927246</v>
      </c>
      <c r="O227" s="86">
        <v>2.3040915527684036</v>
      </c>
      <c r="P227" s="86">
        <v>0.9344944999097422</v>
      </c>
    </row>
    <row r="228" spans="2:16" x14ac:dyDescent="0.3">
      <c r="B228" s="292"/>
      <c r="C228" s="9" t="s">
        <v>211</v>
      </c>
      <c r="D228" s="86">
        <v>47.829152000563326</v>
      </c>
      <c r="E228" s="86">
        <v>50.277547534571035</v>
      </c>
      <c r="F228" s="88">
        <v>78.714028675421844</v>
      </c>
      <c r="G228" s="86">
        <v>31.88950310632309</v>
      </c>
      <c r="H228" s="88">
        <v>34.258618276747413</v>
      </c>
      <c r="I228" s="86">
        <v>50.476002936456311</v>
      </c>
      <c r="J228" s="86">
        <v>40.420891658512289</v>
      </c>
      <c r="K228" s="86">
        <v>29.387293656312451</v>
      </c>
      <c r="L228" s="88">
        <v>47.937177187604185</v>
      </c>
      <c r="M228" s="86">
        <v>15.214709434708523</v>
      </c>
      <c r="N228" s="86">
        <v>14.87958114502117</v>
      </c>
      <c r="O228" s="86">
        <v>3.457508895118528</v>
      </c>
      <c r="P228" s="86">
        <v>0.39531359506452091</v>
      </c>
    </row>
    <row r="229" spans="2:16" x14ac:dyDescent="0.3">
      <c r="B229" s="292"/>
      <c r="C229" s="9" t="s">
        <v>212</v>
      </c>
      <c r="D229" s="86">
        <v>41.663351899118453</v>
      </c>
      <c r="E229" s="86">
        <v>52.309974545047112</v>
      </c>
      <c r="F229" s="88">
        <v>73.592019108060796</v>
      </c>
      <c r="G229" s="86">
        <v>31.665021394502425</v>
      </c>
      <c r="H229" s="88">
        <v>40.976124270633612</v>
      </c>
      <c r="I229" s="86">
        <v>54.055869004462153</v>
      </c>
      <c r="J229" s="86">
        <v>39.965435486197535</v>
      </c>
      <c r="K229" s="86">
        <v>34.910725203887353</v>
      </c>
      <c r="L229" s="88">
        <v>50.284111572784909</v>
      </c>
      <c r="M229" s="86">
        <v>18.681344503583087</v>
      </c>
      <c r="N229" s="86">
        <v>12.189451481949114</v>
      </c>
      <c r="O229" s="86">
        <v>2.0258844267067802</v>
      </c>
      <c r="P229" s="86">
        <v>0.46728677507827399</v>
      </c>
    </row>
    <row r="230" spans="2:16" x14ac:dyDescent="0.3">
      <c r="B230" s="292"/>
      <c r="C230" s="9" t="s">
        <v>213</v>
      </c>
      <c r="D230" s="86">
        <v>38.378819620865961</v>
      </c>
      <c r="E230" s="86">
        <v>41.256935601238162</v>
      </c>
      <c r="F230" s="88">
        <v>75.667275916316953</v>
      </c>
      <c r="G230" s="86">
        <v>25.39488172309396</v>
      </c>
      <c r="H230" s="88">
        <v>39.37639271661611</v>
      </c>
      <c r="I230" s="86">
        <v>54.937309502749358</v>
      </c>
      <c r="J230" s="86">
        <v>33.738612023277959</v>
      </c>
      <c r="K230" s="86">
        <v>36.1603820380858</v>
      </c>
      <c r="L230" s="88">
        <v>53.271056180640116</v>
      </c>
      <c r="M230" s="86">
        <v>18.957410840782448</v>
      </c>
      <c r="N230" s="86">
        <v>10.130691185031496</v>
      </c>
      <c r="O230" s="86">
        <v>1.4804750226542993</v>
      </c>
      <c r="P230" s="86">
        <v>9.2683476634466008E-2</v>
      </c>
    </row>
    <row r="231" spans="2:16" x14ac:dyDescent="0.3">
      <c r="B231" s="292"/>
      <c r="C231" s="9" t="s">
        <v>214</v>
      </c>
      <c r="D231" s="86">
        <v>33.876720263990748</v>
      </c>
      <c r="E231" s="86">
        <v>40.142289401719538</v>
      </c>
      <c r="F231" s="88">
        <v>68.813752438237856</v>
      </c>
      <c r="G231" s="86">
        <v>17.302288924599686</v>
      </c>
      <c r="H231" s="88">
        <v>38.922213284292226</v>
      </c>
      <c r="I231" s="86">
        <v>64.52845297744399</v>
      </c>
      <c r="J231" s="86">
        <v>37.435424087267215</v>
      </c>
      <c r="K231" s="86">
        <v>44.189544539954632</v>
      </c>
      <c r="L231" s="88">
        <v>55.135424869499147</v>
      </c>
      <c r="M231" s="86">
        <v>17.584994985939364</v>
      </c>
      <c r="N231" s="86">
        <v>8.0023150850312383</v>
      </c>
      <c r="O231" s="86">
        <v>2.6720923330080311</v>
      </c>
      <c r="P231" s="86">
        <v>0.21721192065451128</v>
      </c>
    </row>
    <row r="232" spans="2:16" x14ac:dyDescent="0.3">
      <c r="B232" s="292"/>
      <c r="C232" s="12" t="s">
        <v>215</v>
      </c>
      <c r="D232" s="90">
        <v>33.918088490494895</v>
      </c>
      <c r="E232" s="90">
        <v>41.573647802360689</v>
      </c>
      <c r="F232" s="91">
        <v>65.656655317500849</v>
      </c>
      <c r="G232" s="90">
        <v>11.30256341211699</v>
      </c>
      <c r="H232" s="91">
        <v>37.16934053341992</v>
      </c>
      <c r="I232" s="90">
        <v>67.541987514918631</v>
      </c>
      <c r="J232" s="90">
        <v>31.418716457733336</v>
      </c>
      <c r="K232" s="90">
        <v>45.168767875611245</v>
      </c>
      <c r="L232" s="91">
        <v>53.510908882503841</v>
      </c>
      <c r="M232" s="90">
        <v>12.469220577082861</v>
      </c>
      <c r="N232" s="90">
        <v>7.0105636874528932</v>
      </c>
      <c r="O232" s="90">
        <v>2.3833664272485522</v>
      </c>
      <c r="P232" s="90">
        <v>0</v>
      </c>
    </row>
    <row r="233" spans="2:16" x14ac:dyDescent="0.3">
      <c r="B233" s="292"/>
      <c r="C233" s="9" t="s">
        <v>216</v>
      </c>
      <c r="D233" s="86">
        <v>51.888703669107691</v>
      </c>
      <c r="E233" s="86">
        <v>46.153493465087074</v>
      </c>
      <c r="F233" s="88">
        <v>87.748370781731992</v>
      </c>
      <c r="G233" s="86">
        <v>33.232171660088021</v>
      </c>
      <c r="H233" s="88">
        <v>27.976087596961786</v>
      </c>
      <c r="I233" s="86">
        <v>60.381029348344015</v>
      </c>
      <c r="J233" s="86">
        <v>34.791736770464674</v>
      </c>
      <c r="K233" s="86">
        <v>16.811056753575514</v>
      </c>
      <c r="L233" s="88">
        <v>49.614257840872774</v>
      </c>
      <c r="M233" s="86">
        <v>15.522928383635387</v>
      </c>
      <c r="N233" s="86">
        <v>23.279570308886321</v>
      </c>
      <c r="O233" s="86">
        <v>1.2382364229322353</v>
      </c>
      <c r="P233" s="86">
        <v>0.34500867336724839</v>
      </c>
    </row>
    <row r="234" spans="2:16" x14ac:dyDescent="0.3">
      <c r="B234" s="292"/>
      <c r="C234" s="9" t="s">
        <v>217</v>
      </c>
      <c r="D234" s="86">
        <v>49.104021165808859</v>
      </c>
      <c r="E234" s="86">
        <v>57.937839955871652</v>
      </c>
      <c r="F234" s="88">
        <v>84.988500045965992</v>
      </c>
      <c r="G234" s="86">
        <v>31.149701716174466</v>
      </c>
      <c r="H234" s="88">
        <v>37.818351804642106</v>
      </c>
      <c r="I234" s="86">
        <v>54.277324224294986</v>
      </c>
      <c r="J234" s="86">
        <v>36.53089861732915</v>
      </c>
      <c r="K234" s="86">
        <v>22.190900484419991</v>
      </c>
      <c r="L234" s="88">
        <v>52.42500337596325</v>
      </c>
      <c r="M234" s="86">
        <v>10.756390802308033</v>
      </c>
      <c r="N234" s="86">
        <v>19.775323050714555</v>
      </c>
      <c r="O234" s="86">
        <v>1.5312048957654887</v>
      </c>
      <c r="P234" s="86">
        <v>0.33857919548547794</v>
      </c>
    </row>
    <row r="235" spans="2:16" x14ac:dyDescent="0.3">
      <c r="B235" s="292"/>
      <c r="C235" s="9" t="s">
        <v>218</v>
      </c>
      <c r="D235" s="86">
        <v>41.103084567770651</v>
      </c>
      <c r="E235" s="86">
        <v>59.495637088830186</v>
      </c>
      <c r="F235" s="88">
        <v>81.356659505253575</v>
      </c>
      <c r="G235" s="86">
        <v>22.996879955925301</v>
      </c>
      <c r="H235" s="88">
        <v>41.902339535499266</v>
      </c>
      <c r="I235" s="86">
        <v>58.208020724599287</v>
      </c>
      <c r="J235" s="86">
        <v>34.445170896937029</v>
      </c>
      <c r="K235" s="86">
        <v>26.882392301508734</v>
      </c>
      <c r="L235" s="88">
        <v>50.30393353040283</v>
      </c>
      <c r="M235" s="86">
        <v>13.197381907444095</v>
      </c>
      <c r="N235" s="86">
        <v>19.292645558545711</v>
      </c>
      <c r="O235" s="86">
        <v>2.303704063835387</v>
      </c>
      <c r="P235" s="86">
        <v>0.22894105474622939</v>
      </c>
    </row>
    <row r="236" spans="2:16" x14ac:dyDescent="0.3">
      <c r="B236" s="292"/>
      <c r="C236" s="9" t="s">
        <v>219</v>
      </c>
      <c r="D236" s="86">
        <v>36.41533020639865</v>
      </c>
      <c r="E236" s="86">
        <v>54.658594996611207</v>
      </c>
      <c r="F236" s="88">
        <v>78.922883390293933</v>
      </c>
      <c r="G236" s="86">
        <v>21.072158979549613</v>
      </c>
      <c r="H236" s="88">
        <v>41.144898253152185</v>
      </c>
      <c r="I236" s="86">
        <v>57.649194650349344</v>
      </c>
      <c r="J236" s="86">
        <v>35.144962522520046</v>
      </c>
      <c r="K236" s="86">
        <v>28.879182861595048</v>
      </c>
      <c r="L236" s="88">
        <v>52.943476771964903</v>
      </c>
      <c r="M236" s="86">
        <v>11.572937328488802</v>
      </c>
      <c r="N236" s="86">
        <v>19.422689048478997</v>
      </c>
      <c r="O236" s="86">
        <v>2.7917953786776515</v>
      </c>
      <c r="P236" s="86">
        <v>0.33240374165013692</v>
      </c>
    </row>
    <row r="237" spans="2:16" x14ac:dyDescent="0.3">
      <c r="B237" s="292"/>
      <c r="C237" s="9" t="s">
        <v>220</v>
      </c>
      <c r="D237" s="86">
        <v>39.337816475340965</v>
      </c>
      <c r="E237" s="86">
        <v>52.973606971831408</v>
      </c>
      <c r="F237" s="88">
        <v>78.347069070116987</v>
      </c>
      <c r="G237" s="86">
        <v>16.394383118040018</v>
      </c>
      <c r="H237" s="88">
        <v>38.029988966628373</v>
      </c>
      <c r="I237" s="86">
        <v>62.892166193325203</v>
      </c>
      <c r="J237" s="86">
        <v>32.559554262376963</v>
      </c>
      <c r="K237" s="86">
        <v>32.312717329516936</v>
      </c>
      <c r="L237" s="88">
        <v>49.325705178668557</v>
      </c>
      <c r="M237" s="86">
        <v>13.334773609493395</v>
      </c>
      <c r="N237" s="86">
        <v>17.384387285387724</v>
      </c>
      <c r="O237" s="86">
        <v>2.1269366237592084</v>
      </c>
      <c r="P237" s="86">
        <v>0.32583433520114824</v>
      </c>
    </row>
    <row r="238" spans="2:16" x14ac:dyDescent="0.3">
      <c r="B238" s="295"/>
      <c r="C238" s="9" t="s">
        <v>221</v>
      </c>
      <c r="D238" s="90">
        <v>44.359372034241353</v>
      </c>
      <c r="E238" s="90">
        <v>57.375871220385513</v>
      </c>
      <c r="F238" s="91">
        <v>74.337195499277826</v>
      </c>
      <c r="G238" s="90">
        <v>11.676066261449956</v>
      </c>
      <c r="H238" s="91">
        <v>36.962102028035119</v>
      </c>
      <c r="I238" s="90">
        <v>61.390737168063282</v>
      </c>
      <c r="J238" s="90">
        <v>27.027628131303221</v>
      </c>
      <c r="K238" s="90">
        <v>32.47505246599637</v>
      </c>
      <c r="L238" s="91">
        <v>47.07696611141143</v>
      </c>
      <c r="M238" s="90">
        <v>9.5028764509056955</v>
      </c>
      <c r="N238" s="90">
        <v>16.133540072017603</v>
      </c>
      <c r="O238" s="90">
        <v>3.3174295543749106</v>
      </c>
      <c r="P238" s="90">
        <v>0.19810320322173475</v>
      </c>
    </row>
    <row r="239" spans="2:16" ht="16.5" customHeight="1" x14ac:dyDescent="0.3">
      <c r="B239" s="291" t="s">
        <v>222</v>
      </c>
      <c r="C239" s="13" t="s">
        <v>226</v>
      </c>
      <c r="D239" s="80">
        <v>45.440032805544824</v>
      </c>
      <c r="E239" s="80">
        <v>49.18914493452175</v>
      </c>
      <c r="F239" s="80">
        <v>73.87431439764832</v>
      </c>
      <c r="G239" s="80">
        <v>23.910517201180987</v>
      </c>
      <c r="H239" s="80">
        <v>37.896679576787577</v>
      </c>
      <c r="I239" s="80">
        <v>53.956638351772582</v>
      </c>
      <c r="J239" s="80">
        <v>32.270584547647893</v>
      </c>
      <c r="K239" s="80">
        <v>29.021319728334849</v>
      </c>
      <c r="L239" s="80">
        <v>52.520118136038818</v>
      </c>
      <c r="M239" s="80">
        <v>11.157375956083646</v>
      </c>
      <c r="N239" s="80">
        <v>12.623018860173046</v>
      </c>
      <c r="O239" s="80">
        <v>2.8597149626612364</v>
      </c>
      <c r="P239" s="80">
        <v>0.51597064622974464</v>
      </c>
    </row>
    <row r="240" spans="2:16" x14ac:dyDescent="0.3">
      <c r="B240" s="294"/>
      <c r="C240" s="9" t="s">
        <v>227</v>
      </c>
      <c r="D240" s="79">
        <v>39.593490745152167</v>
      </c>
      <c r="E240" s="79">
        <v>49.573052355370081</v>
      </c>
      <c r="F240" s="79">
        <v>75.692742194770773</v>
      </c>
      <c r="G240" s="79">
        <v>21.97727841168394</v>
      </c>
      <c r="H240" s="79">
        <v>38.682006646605295</v>
      </c>
      <c r="I240" s="79">
        <v>58.430912284868597</v>
      </c>
      <c r="J240" s="79">
        <v>32.102806439246827</v>
      </c>
      <c r="K240" s="79">
        <v>32.067542210247133</v>
      </c>
      <c r="L240" s="79">
        <v>52.249255824479036</v>
      </c>
      <c r="M240" s="79">
        <v>13.306892514396509</v>
      </c>
      <c r="N240" s="79">
        <v>13.552842357262904</v>
      </c>
      <c r="O240" s="79">
        <v>2.3314458674417322</v>
      </c>
      <c r="P240" s="79">
        <v>0.35417297451289687</v>
      </c>
    </row>
    <row r="241" spans="2:16" x14ac:dyDescent="0.3">
      <c r="B241" s="292"/>
      <c r="C241" s="9" t="s">
        <v>228</v>
      </c>
      <c r="D241" s="79">
        <v>39.412372449382154</v>
      </c>
      <c r="E241" s="79">
        <v>51.363289173165384</v>
      </c>
      <c r="F241" s="79">
        <v>76.696630209693083</v>
      </c>
      <c r="G241" s="79">
        <v>22.73535573453729</v>
      </c>
      <c r="H241" s="79">
        <v>38.621432803213061</v>
      </c>
      <c r="I241" s="79">
        <v>59.784429507553746</v>
      </c>
      <c r="J241" s="79">
        <v>35.404465922395389</v>
      </c>
      <c r="K241" s="79">
        <v>32.645469397607776</v>
      </c>
      <c r="L241" s="79">
        <v>51.715249343397041</v>
      </c>
      <c r="M241" s="79">
        <v>15.982284742541324</v>
      </c>
      <c r="N241" s="79">
        <v>15.200038332522118</v>
      </c>
      <c r="O241" s="79">
        <v>2.0387160893168002</v>
      </c>
      <c r="P241" s="79">
        <v>0.17357858542282675</v>
      </c>
    </row>
    <row r="242" spans="2:16" x14ac:dyDescent="0.3">
      <c r="B242" s="295"/>
      <c r="C242" s="12" t="s">
        <v>229</v>
      </c>
      <c r="D242" s="81">
        <v>39.465695206311629</v>
      </c>
      <c r="E242" s="81">
        <v>51.966908507547437</v>
      </c>
      <c r="F242" s="81">
        <v>78.405689367585794</v>
      </c>
      <c r="G242" s="81">
        <v>20.480886631284232</v>
      </c>
      <c r="H242" s="81">
        <v>37.684763167395026</v>
      </c>
      <c r="I242" s="81">
        <v>62.488056588563701</v>
      </c>
      <c r="J242" s="81">
        <v>38.9011451715254</v>
      </c>
      <c r="K242" s="81">
        <v>37.826352585366344</v>
      </c>
      <c r="L242" s="81">
        <v>47.068361564132175</v>
      </c>
      <c r="M242" s="81">
        <v>17.033299898571432</v>
      </c>
      <c r="N242" s="81">
        <v>16.353641924030967</v>
      </c>
      <c r="O242" s="81">
        <v>2.2732277056006764</v>
      </c>
      <c r="P242" s="81">
        <v>3.1126045523959211E-2</v>
      </c>
    </row>
    <row r="243" spans="2:16" x14ac:dyDescent="0.3">
      <c r="B243" s="296" t="s">
        <v>199</v>
      </c>
      <c r="C243" s="13" t="s">
        <v>192</v>
      </c>
      <c r="D243" s="80">
        <v>41.278937779121861</v>
      </c>
      <c r="E243" s="80">
        <v>52.434463878980011</v>
      </c>
      <c r="F243" s="80">
        <v>76.957969497144319</v>
      </c>
      <c r="G243" s="80">
        <v>23.403528570475356</v>
      </c>
      <c r="H243" s="80">
        <v>39.078701313867185</v>
      </c>
      <c r="I243" s="80">
        <v>58.980375552696351</v>
      </c>
      <c r="J243" s="80">
        <v>36.273283010143096</v>
      </c>
      <c r="K243" s="80">
        <v>32.754932698688442</v>
      </c>
      <c r="L243" s="80">
        <v>50.003101539698847</v>
      </c>
      <c r="M243" s="80">
        <v>14.053143118948737</v>
      </c>
      <c r="N243" s="80">
        <v>14.503922460354083</v>
      </c>
      <c r="O243" s="80">
        <v>2.403571749138385</v>
      </c>
      <c r="P243" s="80">
        <v>0.28836000545914431</v>
      </c>
    </row>
    <row r="244" spans="2:16" ht="16.5" customHeight="1" x14ac:dyDescent="0.3">
      <c r="B244" s="292"/>
      <c r="C244" s="9" t="s">
        <v>200</v>
      </c>
      <c r="D244" s="79">
        <v>36.191479598197347</v>
      </c>
      <c r="E244" s="79">
        <v>43.975015601893084</v>
      </c>
      <c r="F244" s="79">
        <v>76.462659976561014</v>
      </c>
      <c r="G244" s="79">
        <v>18.137664477422394</v>
      </c>
      <c r="H244" s="79">
        <v>39.363250869885427</v>
      </c>
      <c r="I244" s="79">
        <v>59.774263558645167</v>
      </c>
      <c r="J244" s="79">
        <v>31.55628166370278</v>
      </c>
      <c r="K244" s="79">
        <v>34.13701546493462</v>
      </c>
      <c r="L244" s="79">
        <v>53.780621449455381</v>
      </c>
      <c r="M244" s="79">
        <v>13.214303144200864</v>
      </c>
      <c r="N244" s="79">
        <v>15.196994633293883</v>
      </c>
      <c r="O244" s="79">
        <v>2.4473872571322417</v>
      </c>
      <c r="P244" s="79">
        <v>0.39714433950154404</v>
      </c>
    </row>
    <row r="245" spans="2:16" ht="16.5" customHeight="1" x14ac:dyDescent="0.3">
      <c r="B245" s="292"/>
      <c r="C245" s="9" t="s">
        <v>201</v>
      </c>
      <c r="D245" s="79">
        <v>40.985358710023903</v>
      </c>
      <c r="E245" s="79">
        <v>48.275399821281688</v>
      </c>
      <c r="F245" s="79">
        <v>74.287229388511037</v>
      </c>
      <c r="G245" s="79">
        <v>21.458364097086104</v>
      </c>
      <c r="H245" s="79">
        <v>38.999516138655302</v>
      </c>
      <c r="I245" s="79">
        <v>57.637649781117574</v>
      </c>
      <c r="J245" s="79">
        <v>31.858046227005737</v>
      </c>
      <c r="K245" s="79">
        <v>32.226632373191528</v>
      </c>
      <c r="L245" s="79">
        <v>53.044530511002783</v>
      </c>
      <c r="M245" s="79">
        <v>14.976643868622928</v>
      </c>
      <c r="N245" s="79">
        <v>13.432346930281055</v>
      </c>
      <c r="O245" s="79">
        <v>2.4904005697797151</v>
      </c>
      <c r="P245" s="79">
        <v>0.57483729927450644</v>
      </c>
    </row>
    <row r="246" spans="2:16" x14ac:dyDescent="0.3">
      <c r="B246" s="292"/>
      <c r="C246" s="9" t="s">
        <v>202</v>
      </c>
      <c r="D246" s="79">
        <v>39.04244434867379</v>
      </c>
      <c r="E246" s="79">
        <v>48.969766003059192</v>
      </c>
      <c r="F246" s="79">
        <v>75.241950620161006</v>
      </c>
      <c r="G246" s="79">
        <v>20.957071516015862</v>
      </c>
      <c r="H246" s="79">
        <v>37.616896349804804</v>
      </c>
      <c r="I246" s="79">
        <v>57.063383373049135</v>
      </c>
      <c r="J246" s="79">
        <v>31.055740787660397</v>
      </c>
      <c r="K246" s="79">
        <v>33.767583539163823</v>
      </c>
      <c r="L246" s="79">
        <v>49.793522372254323</v>
      </c>
      <c r="M246" s="79">
        <v>15.916781192140784</v>
      </c>
      <c r="N246" s="79">
        <v>14.747919861153211</v>
      </c>
      <c r="O246" s="79">
        <v>2.8569505479639306</v>
      </c>
      <c r="P246" s="79">
        <v>8.2951604518927191E-2</v>
      </c>
    </row>
    <row r="247" spans="2:16" x14ac:dyDescent="0.3">
      <c r="B247" s="295"/>
      <c r="C247" s="12" t="s">
        <v>203</v>
      </c>
      <c r="D247" s="81">
        <v>41.690237958305701</v>
      </c>
      <c r="E247" s="81">
        <v>48.562432755726967</v>
      </c>
      <c r="F247" s="81">
        <v>75.377446614941306</v>
      </c>
      <c r="G247" s="81">
        <v>21.081822304443484</v>
      </c>
      <c r="H247" s="81">
        <v>35.951163384880601</v>
      </c>
      <c r="I247" s="81">
        <v>58.71537460569526</v>
      </c>
      <c r="J247" s="81">
        <v>33.600716887958477</v>
      </c>
      <c r="K247" s="81">
        <v>32.940053791241432</v>
      </c>
      <c r="L247" s="81">
        <v>51.958325826348236</v>
      </c>
      <c r="M247" s="81">
        <v>14.094993089331881</v>
      </c>
      <c r="N247" s="81">
        <v>14.241292215220632</v>
      </c>
      <c r="O247" s="81">
        <v>2.0974571137191567</v>
      </c>
      <c r="P247" s="81">
        <v>0.15563016358178944</v>
      </c>
    </row>
    <row r="248" spans="2:16" x14ac:dyDescent="0.3">
      <c r="B248" s="291" t="s">
        <v>204</v>
      </c>
      <c r="C248" s="13" t="s">
        <v>192</v>
      </c>
      <c r="D248" s="80">
        <v>41.278937779121861</v>
      </c>
      <c r="E248" s="80">
        <v>52.434463878980011</v>
      </c>
      <c r="F248" s="80">
        <v>76.957969497144319</v>
      </c>
      <c r="G248" s="80">
        <v>23.403528570475356</v>
      </c>
      <c r="H248" s="80">
        <v>39.078701313867185</v>
      </c>
      <c r="I248" s="80">
        <v>58.980375552696351</v>
      </c>
      <c r="J248" s="80">
        <v>36.273283010143096</v>
      </c>
      <c r="K248" s="80">
        <v>32.754932698688442</v>
      </c>
      <c r="L248" s="80">
        <v>50.003101539698847</v>
      </c>
      <c r="M248" s="80">
        <v>14.053143118948737</v>
      </c>
      <c r="N248" s="80">
        <v>14.503922460354083</v>
      </c>
      <c r="O248" s="80">
        <v>2.403571749138385</v>
      </c>
      <c r="P248" s="80">
        <v>0.28836000545914431</v>
      </c>
    </row>
    <row r="249" spans="2:16" x14ac:dyDescent="0.3">
      <c r="B249" s="295"/>
      <c r="C249" s="12" t="s">
        <v>193</v>
      </c>
      <c r="D249" s="81">
        <v>40.563893689452293</v>
      </c>
      <c r="E249" s="81">
        <v>48.179707095944742</v>
      </c>
      <c r="F249" s="81">
        <v>75.198149238205929</v>
      </c>
      <c r="G249" s="81">
        <v>20.891172222632502</v>
      </c>
      <c r="H249" s="81">
        <v>37.246187493946408</v>
      </c>
      <c r="I249" s="81">
        <v>58.253378186799068</v>
      </c>
      <c r="J249" s="81">
        <v>32.55482020364559</v>
      </c>
      <c r="K249" s="81">
        <v>33.035648097627522</v>
      </c>
      <c r="L249" s="81">
        <v>51.956590176310158</v>
      </c>
      <c r="M249" s="81">
        <v>14.559554987293524</v>
      </c>
      <c r="N249" s="81">
        <v>14.23458270235689</v>
      </c>
      <c r="O249" s="81">
        <v>2.3584343233037557</v>
      </c>
      <c r="P249" s="81">
        <v>0.25781106012347471</v>
      </c>
    </row>
    <row r="250" spans="2:16" x14ac:dyDescent="0.3">
      <c r="B250" s="291" t="s">
        <v>209</v>
      </c>
      <c r="C250" s="13" t="s">
        <v>205</v>
      </c>
      <c r="D250" s="80">
        <v>42.637771373419781</v>
      </c>
      <c r="E250" s="80">
        <v>47.260840275560241</v>
      </c>
      <c r="F250" s="80">
        <v>74.636229919677348</v>
      </c>
      <c r="G250" s="80">
        <v>22.805814155883255</v>
      </c>
      <c r="H250" s="80">
        <v>40.295990792954576</v>
      </c>
      <c r="I250" s="80">
        <v>58.176151815527987</v>
      </c>
      <c r="J250" s="80">
        <v>38.164447141239563</v>
      </c>
      <c r="K250" s="80">
        <v>33.581243425512064</v>
      </c>
      <c r="L250" s="80">
        <v>54.821184959518718</v>
      </c>
      <c r="M250" s="80">
        <v>14.425541158923568</v>
      </c>
      <c r="N250" s="80">
        <v>16.78140096434101</v>
      </c>
      <c r="O250" s="80">
        <v>2.6006310461612459</v>
      </c>
      <c r="P250" s="80">
        <v>0.41868396947927577</v>
      </c>
    </row>
    <row r="251" spans="2:16" x14ac:dyDescent="0.3">
      <c r="B251" s="292"/>
      <c r="C251" s="9" t="s">
        <v>206</v>
      </c>
      <c r="D251" s="79">
        <v>38.858697684500008</v>
      </c>
      <c r="E251" s="79">
        <v>50.313276932651576</v>
      </c>
      <c r="F251" s="79">
        <v>72.912044549622536</v>
      </c>
      <c r="G251" s="79">
        <v>17.154028552875126</v>
      </c>
      <c r="H251" s="79">
        <v>35.610066737833037</v>
      </c>
      <c r="I251" s="79">
        <v>60.820810883451756</v>
      </c>
      <c r="J251" s="79">
        <v>28.678737386678282</v>
      </c>
      <c r="K251" s="79">
        <v>32.266602317873399</v>
      </c>
      <c r="L251" s="79">
        <v>54.429157886816668</v>
      </c>
      <c r="M251" s="79">
        <v>11.607340148032861</v>
      </c>
      <c r="N251" s="79">
        <v>13.434532214089126</v>
      </c>
      <c r="O251" s="79">
        <v>3.1081262625541601</v>
      </c>
      <c r="P251" s="79">
        <v>0.28122952825043829</v>
      </c>
    </row>
    <row r="252" spans="2:16" x14ac:dyDescent="0.3">
      <c r="B252" s="292"/>
      <c r="C252" s="9" t="s">
        <v>207</v>
      </c>
      <c r="D252" s="79">
        <v>40.267653573224912</v>
      </c>
      <c r="E252" s="79">
        <v>52.471893526712464</v>
      </c>
      <c r="F252" s="79">
        <v>76.535299619142123</v>
      </c>
      <c r="G252" s="79">
        <v>21.136478324521665</v>
      </c>
      <c r="H252" s="79">
        <v>37.582143068524786</v>
      </c>
      <c r="I252" s="79">
        <v>57.864690178912049</v>
      </c>
      <c r="J252" s="79">
        <v>34.846504289948918</v>
      </c>
      <c r="K252" s="79">
        <v>32.582268565886125</v>
      </c>
      <c r="L252" s="79">
        <v>48.035170858768289</v>
      </c>
      <c r="M252" s="79">
        <v>15.310702601650117</v>
      </c>
      <c r="N252" s="79">
        <v>13.321354245017341</v>
      </c>
      <c r="O252" s="79">
        <v>2.0922725198448955</v>
      </c>
      <c r="P252" s="79">
        <v>0.2939319759660014</v>
      </c>
    </row>
    <row r="253" spans="2:16" x14ac:dyDescent="0.3">
      <c r="B253" s="293"/>
      <c r="C253" s="25" t="s">
        <v>208</v>
      </c>
      <c r="D253" s="82">
        <v>42.12035562303533</v>
      </c>
      <c r="E253" s="82">
        <v>50.142439479018655</v>
      </c>
      <c r="F253" s="82">
        <v>78.495216202109518</v>
      </c>
      <c r="G253" s="82">
        <v>26.205836957323335</v>
      </c>
      <c r="H253" s="82">
        <v>39.531519430305536</v>
      </c>
      <c r="I253" s="82">
        <v>58.218291944530243</v>
      </c>
      <c r="J253" s="82">
        <v>36.299952508749243</v>
      </c>
      <c r="K253" s="82">
        <v>33.237681506001465</v>
      </c>
      <c r="L253" s="82">
        <v>49.590620596853476</v>
      </c>
      <c r="M253" s="82">
        <v>14.951855841510842</v>
      </c>
      <c r="N253" s="82">
        <v>14.859811694513128</v>
      </c>
      <c r="O253" s="82">
        <v>2.0984644353871906</v>
      </c>
      <c r="P253" s="82">
        <v>0.18493895493768989</v>
      </c>
    </row>
  </sheetData>
  <mergeCells count="46">
    <mergeCell ref="D6:N6"/>
    <mergeCell ref="B101:B112"/>
    <mergeCell ref="B8:C8"/>
    <mergeCell ref="B9:B10"/>
    <mergeCell ref="B11:B16"/>
    <mergeCell ref="B17:B28"/>
    <mergeCell ref="B93:B94"/>
    <mergeCell ref="B95:B100"/>
    <mergeCell ref="B29:B32"/>
    <mergeCell ref="B33:B37"/>
    <mergeCell ref="B40:B43"/>
    <mergeCell ref="B92:C92"/>
    <mergeCell ref="B38:B39"/>
    <mergeCell ref="D47:O47"/>
    <mergeCell ref="B48:D48"/>
    <mergeCell ref="B49:C61"/>
    <mergeCell ref="K175:P175"/>
    <mergeCell ref="B218:C218"/>
    <mergeCell ref="B219:B220"/>
    <mergeCell ref="B221:B226"/>
    <mergeCell ref="B198:B201"/>
    <mergeCell ref="B202:B206"/>
    <mergeCell ref="B207:B208"/>
    <mergeCell ref="B209:B212"/>
    <mergeCell ref="D175:J175"/>
    <mergeCell ref="B250:B253"/>
    <mergeCell ref="B113:B116"/>
    <mergeCell ref="B117:B121"/>
    <mergeCell ref="B122:B123"/>
    <mergeCell ref="B124:B127"/>
    <mergeCell ref="B217:C217"/>
    <mergeCell ref="B177:C177"/>
    <mergeCell ref="B178:B179"/>
    <mergeCell ref="B180:B185"/>
    <mergeCell ref="B186:B197"/>
    <mergeCell ref="B227:B238"/>
    <mergeCell ref="B239:B242"/>
    <mergeCell ref="B243:B247"/>
    <mergeCell ref="B248:B249"/>
    <mergeCell ref="B146:C158"/>
    <mergeCell ref="B159:C171"/>
    <mergeCell ref="B62:C74"/>
    <mergeCell ref="B75:C87"/>
    <mergeCell ref="D131:O131"/>
    <mergeCell ref="B132:D132"/>
    <mergeCell ref="B133:C145"/>
  </mergeCells>
  <phoneticPr fontId="2" type="noConversion"/>
  <pageMargins left="0.70866141732283472" right="0.70866141732283472" top="1.1417322834645669" bottom="0.39370078740157483" header="0.31496062992125984" footer="0.31496062992125984"/>
  <pageSetup paperSize="9" scale="76" orientation="portrait" r:id="rId1"/>
  <headerFooter>
    <oddHeader>&amp;L&amp;P&amp;RKorea Fashion Index  2017상반기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B2:AY347"/>
  <sheetViews>
    <sheetView showGridLines="0" topLeftCell="A6" zoomScaleNormal="100" workbookViewId="0">
      <selection activeCell="B6" sqref="B6:N6"/>
    </sheetView>
  </sheetViews>
  <sheetFormatPr defaultColWidth="9" defaultRowHeight="16.5" x14ac:dyDescent="0.3"/>
  <cols>
    <col min="1" max="1" width="3.625" style="1" customWidth="1"/>
    <col min="2" max="2" width="14.375" style="1" customWidth="1"/>
    <col min="3" max="3" width="13.125" style="1" customWidth="1"/>
    <col min="4" max="16" width="12.25" style="1" customWidth="1"/>
    <col min="17" max="20" width="10.375" style="1" customWidth="1"/>
    <col min="21" max="16384" width="9" style="1"/>
  </cols>
  <sheetData>
    <row r="2" spans="2:9" customFormat="1" ht="20.25" x14ac:dyDescent="0.3">
      <c r="B2" s="278" t="s">
        <v>506</v>
      </c>
      <c r="C2" s="278"/>
      <c r="D2" s="32" t="s">
        <v>523</v>
      </c>
    </row>
    <row r="4" spans="2:9" ht="17.25" x14ac:dyDescent="0.3">
      <c r="B4" s="33" t="s">
        <v>262</v>
      </c>
      <c r="I4" s="20"/>
    </row>
    <row r="5" spans="2:9" x14ac:dyDescent="0.3">
      <c r="I5" s="21"/>
    </row>
    <row r="6" spans="2:9" ht="14.25" customHeight="1" x14ac:dyDescent="0.3">
      <c r="B6" s="1" t="s">
        <v>524</v>
      </c>
    </row>
    <row r="7" spans="2:9" ht="7.5" customHeight="1" x14ac:dyDescent="0.3"/>
    <row r="8" spans="2:9" x14ac:dyDescent="0.3">
      <c r="B8" s="216"/>
      <c r="C8" s="217" t="s">
        <v>21</v>
      </c>
      <c r="D8" s="218" t="s">
        <v>133</v>
      </c>
      <c r="E8" s="219" t="s">
        <v>13</v>
      </c>
      <c r="F8" s="220" t="s">
        <v>20</v>
      </c>
    </row>
    <row r="9" spans="2:9" x14ac:dyDescent="0.3">
      <c r="B9" s="221"/>
      <c r="C9" s="222"/>
      <c r="D9" s="223" t="s">
        <v>134</v>
      </c>
      <c r="E9" s="224" t="s">
        <v>55</v>
      </c>
      <c r="F9" s="225" t="s">
        <v>525</v>
      </c>
    </row>
    <row r="10" spans="2:9" x14ac:dyDescent="0.3">
      <c r="B10" s="221"/>
      <c r="C10" s="215" t="s">
        <v>24</v>
      </c>
      <c r="D10" s="223" t="s">
        <v>25</v>
      </c>
      <c r="E10" s="224" t="s">
        <v>26</v>
      </c>
      <c r="F10" s="225" t="s">
        <v>517</v>
      </c>
    </row>
    <row r="11" spans="2:9" ht="24" customHeight="1" x14ac:dyDescent="0.3">
      <c r="B11" s="35" t="str">
        <f>RIGHT(B4,LEN(B4)-3)&amp;" 전체"</f>
        <v>남성복(정장) 전체</v>
      </c>
      <c r="C11" s="137"/>
      <c r="D11" s="138"/>
      <c r="E11" s="139"/>
      <c r="F11" s="190">
        <f>SUM(F12:F22)</f>
        <v>72607.916579116296</v>
      </c>
      <c r="I11" s="46"/>
    </row>
    <row r="12" spans="2:9" x14ac:dyDescent="0.3">
      <c r="B12" s="34" t="s">
        <v>79</v>
      </c>
      <c r="C12" s="117">
        <v>30.538860721283285</v>
      </c>
      <c r="D12" s="101">
        <v>1.2035613255697462</v>
      </c>
      <c r="E12" s="97">
        <v>249587.31263621635</v>
      </c>
      <c r="F12" s="191">
        <v>14223.947985299241</v>
      </c>
      <c r="I12" s="46"/>
    </row>
    <row r="13" spans="2:9" x14ac:dyDescent="0.3">
      <c r="B13" s="34" t="s">
        <v>279</v>
      </c>
      <c r="C13" s="118">
        <v>27.347150424178295</v>
      </c>
      <c r="D13" s="102">
        <v>1.1334867328513121</v>
      </c>
      <c r="E13" s="98">
        <v>210054.14069848982</v>
      </c>
      <c r="F13" s="191">
        <v>10719.836111685208</v>
      </c>
      <c r="I13" s="52"/>
    </row>
    <row r="14" spans="2:9" x14ac:dyDescent="0.3">
      <c r="B14" s="34" t="s">
        <v>281</v>
      </c>
      <c r="C14" s="117">
        <v>33.624067852031857</v>
      </c>
      <c r="D14" s="101">
        <v>1.1408899400989807</v>
      </c>
      <c r="E14" s="97">
        <v>353925.44638155511</v>
      </c>
      <c r="F14" s="191">
        <v>22207.867679664021</v>
      </c>
      <c r="I14" s="46"/>
    </row>
    <row r="15" spans="2:9" x14ac:dyDescent="0.3">
      <c r="B15" s="10" t="s">
        <v>16</v>
      </c>
      <c r="C15" s="117">
        <v>22.384797164126375</v>
      </c>
      <c r="D15" s="101">
        <v>1.1408516861920788</v>
      </c>
      <c r="E15" s="97">
        <v>205562.40655994503</v>
      </c>
      <c r="F15" s="191">
        <v>8587.0042163334692</v>
      </c>
      <c r="I15" s="52"/>
    </row>
    <row r="16" spans="2:9" x14ac:dyDescent="0.3">
      <c r="B16" s="10" t="s">
        <v>14</v>
      </c>
      <c r="C16" s="117">
        <v>32.058506791699955</v>
      </c>
      <c r="D16" s="101">
        <v>1.3040351980016784</v>
      </c>
      <c r="E16" s="97">
        <v>102958.56846211171</v>
      </c>
      <c r="F16" s="191">
        <v>6159.5729751905874</v>
      </c>
      <c r="I16" s="46"/>
    </row>
    <row r="17" spans="2:14" x14ac:dyDescent="0.3">
      <c r="B17" s="10" t="s">
        <v>15</v>
      </c>
      <c r="C17" s="117">
        <v>7.9319321392416846</v>
      </c>
      <c r="D17" s="101">
        <v>1.0948589770636878</v>
      </c>
      <c r="E17" s="97">
        <v>92652.122535674003</v>
      </c>
      <c r="F17" s="191">
        <v>1371.4474841615897</v>
      </c>
      <c r="I17" s="46"/>
    </row>
    <row r="18" spans="2:14" x14ac:dyDescent="0.3">
      <c r="B18" s="10" t="s">
        <v>32</v>
      </c>
      <c r="C18" s="117">
        <v>25.260115184547704</v>
      </c>
      <c r="D18" s="101">
        <v>1.422473773990524</v>
      </c>
      <c r="E18" s="97">
        <v>78678.070601806685</v>
      </c>
      <c r="F18" s="191">
        <v>3708.8036966985414</v>
      </c>
      <c r="I18" s="46"/>
    </row>
    <row r="19" spans="2:14" x14ac:dyDescent="0.3">
      <c r="B19" s="10" t="s">
        <v>33</v>
      </c>
      <c r="C19" s="119">
        <v>9.2604262159188817</v>
      </c>
      <c r="D19" s="101">
        <v>1.2405363169236223</v>
      </c>
      <c r="E19" s="97">
        <v>115629.38916779855</v>
      </c>
      <c r="F19" s="191">
        <v>1998.2233357207347</v>
      </c>
      <c r="I19" s="52"/>
    </row>
    <row r="20" spans="2:14" x14ac:dyDescent="0.3">
      <c r="B20" s="9" t="s">
        <v>34</v>
      </c>
      <c r="C20" s="120">
        <v>7.2743463139755686</v>
      </c>
      <c r="D20" s="103">
        <v>1.17186937456853</v>
      </c>
      <c r="E20" s="99">
        <v>110416.86293645021</v>
      </c>
      <c r="F20" s="192">
        <v>1498.9053039970586</v>
      </c>
      <c r="I20" s="46"/>
    </row>
    <row r="21" spans="2:14" x14ac:dyDescent="0.3">
      <c r="B21" s="10" t="s">
        <v>131</v>
      </c>
      <c r="C21" s="118">
        <v>11.908200296026317</v>
      </c>
      <c r="D21" s="101">
        <v>1.4701102368159422</v>
      </c>
      <c r="E21" s="97">
        <v>91669.564157076835</v>
      </c>
      <c r="F21" s="191">
        <v>2037.117673647319</v>
      </c>
      <c r="I21" s="46"/>
    </row>
    <row r="22" spans="2:14" x14ac:dyDescent="0.3">
      <c r="B22" s="111" t="s">
        <v>12</v>
      </c>
      <c r="C22" s="121">
        <v>0.50426070977765558</v>
      </c>
      <c r="D22" s="104">
        <v>2.2821982955839948</v>
      </c>
      <c r="E22" s="100">
        <v>101156.06091548178</v>
      </c>
      <c r="F22" s="193">
        <v>95.190116718537979</v>
      </c>
      <c r="H22" s="3"/>
    </row>
    <row r="23" spans="2:14" x14ac:dyDescent="0.3">
      <c r="B23" s="9"/>
      <c r="C23" s="9"/>
      <c r="D23" s="9"/>
      <c r="E23" s="9"/>
      <c r="F23" s="9"/>
      <c r="G23" s="9"/>
      <c r="H23" s="9"/>
    </row>
    <row r="24" spans="2:14" x14ac:dyDescent="0.3">
      <c r="B24" s="9"/>
      <c r="C24" s="9"/>
      <c r="D24" s="9"/>
      <c r="E24" s="9"/>
      <c r="F24" s="9"/>
      <c r="G24" s="9"/>
      <c r="H24" s="9"/>
    </row>
    <row r="25" spans="2:14" ht="18.75" customHeight="1" x14ac:dyDescent="0.3">
      <c r="B25" s="1" t="s">
        <v>132</v>
      </c>
    </row>
    <row r="26" spans="2:14" ht="13.5" customHeight="1" x14ac:dyDescent="0.3">
      <c r="M26" s="30"/>
      <c r="N26" s="30" t="s">
        <v>157</v>
      </c>
    </row>
    <row r="27" spans="2:14" ht="28.5" customHeight="1" x14ac:dyDescent="0.3">
      <c r="B27" s="305"/>
      <c r="C27" s="306"/>
      <c r="D27" s="226" t="s">
        <v>35</v>
      </c>
      <c r="E27" s="226" t="s">
        <v>280</v>
      </c>
      <c r="F27" s="226" t="s">
        <v>282</v>
      </c>
      <c r="G27" s="226" t="s">
        <v>16</v>
      </c>
      <c r="H27" s="226" t="s">
        <v>14</v>
      </c>
      <c r="I27" s="226" t="s">
        <v>15</v>
      </c>
      <c r="J27" s="226" t="s">
        <v>283</v>
      </c>
      <c r="K27" s="226" t="s">
        <v>284</v>
      </c>
      <c r="L27" s="226" t="s">
        <v>285</v>
      </c>
      <c r="M27" s="227" t="s">
        <v>297</v>
      </c>
      <c r="N27" s="227" t="s">
        <v>12</v>
      </c>
    </row>
    <row r="28" spans="2:14" x14ac:dyDescent="0.3">
      <c r="B28" s="292" t="s">
        <v>20</v>
      </c>
      <c r="C28" s="292"/>
      <c r="D28" s="46">
        <v>30.538860721283285</v>
      </c>
      <c r="E28" s="46">
        <v>27.347150424178295</v>
      </c>
      <c r="F28" s="52">
        <v>33.624067852031857</v>
      </c>
      <c r="G28" s="46">
        <v>22.384797164126375</v>
      </c>
      <c r="H28" s="52">
        <v>32.058506791699955</v>
      </c>
      <c r="I28" s="46">
        <v>7.9319321392416846</v>
      </c>
      <c r="J28" s="46">
        <v>25.260115184547704</v>
      </c>
      <c r="K28" s="46">
        <v>9.2604262159188817</v>
      </c>
      <c r="L28" s="52">
        <v>7.2743463139755686</v>
      </c>
      <c r="M28" s="46">
        <v>11.908200296026317</v>
      </c>
      <c r="N28" s="46">
        <v>0.50426070977765558</v>
      </c>
    </row>
    <row r="29" spans="2:14" x14ac:dyDescent="0.3">
      <c r="B29" s="296" t="s">
        <v>5</v>
      </c>
      <c r="C29" s="13" t="s">
        <v>0</v>
      </c>
      <c r="D29" s="47">
        <v>32.604556891000271</v>
      </c>
      <c r="E29" s="47">
        <v>29.294510817084866</v>
      </c>
      <c r="F29" s="53">
        <v>33.766964918788226</v>
      </c>
      <c r="G29" s="47">
        <v>24.160337832726576</v>
      </c>
      <c r="H29" s="53">
        <v>33.220420209181626</v>
      </c>
      <c r="I29" s="47">
        <v>9.0905192769110439</v>
      </c>
      <c r="J29" s="47">
        <v>24.204530589807728</v>
      </c>
      <c r="K29" s="47">
        <v>9.7923965065759582</v>
      </c>
      <c r="L29" s="53">
        <v>7.7375448163111846</v>
      </c>
      <c r="M29" s="47">
        <v>11.999973639425001</v>
      </c>
      <c r="N29" s="47">
        <v>0.36473459754266491</v>
      </c>
    </row>
    <row r="30" spans="2:14" x14ac:dyDescent="0.3">
      <c r="B30" s="295"/>
      <c r="C30" s="12" t="s">
        <v>1</v>
      </c>
      <c r="D30" s="48">
        <v>20.550089227016009</v>
      </c>
      <c r="E30" s="48">
        <v>17.930597173563655</v>
      </c>
      <c r="F30" s="48">
        <v>32.933082329594448</v>
      </c>
      <c r="G30" s="48">
        <v>13.799086313989156</v>
      </c>
      <c r="H30" s="48">
        <v>26.440019526490243</v>
      </c>
      <c r="I30" s="48">
        <v>2.3295292573298152</v>
      </c>
      <c r="J30" s="48">
        <v>30.36444440019055</v>
      </c>
      <c r="K30" s="48">
        <v>6.6880587240236569</v>
      </c>
      <c r="L30" s="48">
        <v>5.0345280560217995</v>
      </c>
      <c r="M30" s="48">
        <v>11.464425955001264</v>
      </c>
      <c r="N30" s="48">
        <v>1.1789458222498557</v>
      </c>
    </row>
    <row r="31" spans="2:14" x14ac:dyDescent="0.3">
      <c r="B31" s="296" t="s">
        <v>4</v>
      </c>
      <c r="C31" s="9" t="s">
        <v>175</v>
      </c>
      <c r="D31" s="46">
        <v>45.456576467774028</v>
      </c>
      <c r="E31" s="46">
        <v>28.487898938933583</v>
      </c>
      <c r="F31" s="52">
        <v>16.534814392713827</v>
      </c>
      <c r="G31" s="46">
        <v>18.786535781989169</v>
      </c>
      <c r="H31" s="52">
        <v>29.677495587621767</v>
      </c>
      <c r="I31" s="46">
        <v>0</v>
      </c>
      <c r="J31" s="46">
        <v>8.7059077322928697</v>
      </c>
      <c r="K31" s="46">
        <v>8.1515619394917138</v>
      </c>
      <c r="L31" s="52">
        <v>6.4852307925300234</v>
      </c>
      <c r="M31" s="46">
        <v>6.9787109728971171</v>
      </c>
      <c r="N31" s="46">
        <v>1.5107769052980231</v>
      </c>
    </row>
    <row r="32" spans="2:14" x14ac:dyDescent="0.3">
      <c r="B32" s="292"/>
      <c r="C32" s="9" t="s">
        <v>176</v>
      </c>
      <c r="D32" s="46">
        <v>36.016568034170852</v>
      </c>
      <c r="E32" s="46">
        <v>31.916236944387204</v>
      </c>
      <c r="F32" s="52">
        <v>27.729912368926708</v>
      </c>
      <c r="G32" s="46">
        <v>22.83374738629244</v>
      </c>
      <c r="H32" s="52">
        <v>36.987887757499493</v>
      </c>
      <c r="I32" s="46">
        <v>10.130389994918451</v>
      </c>
      <c r="J32" s="46">
        <v>26.041868110531613</v>
      </c>
      <c r="K32" s="46">
        <v>14.358166716538886</v>
      </c>
      <c r="L32" s="52">
        <v>9.233056840171372</v>
      </c>
      <c r="M32" s="46">
        <v>14.746106528296753</v>
      </c>
      <c r="N32" s="46">
        <v>0.35933528214018007</v>
      </c>
    </row>
    <row r="33" spans="2:14" x14ac:dyDescent="0.3">
      <c r="B33" s="292"/>
      <c r="C33" s="9" t="s">
        <v>177</v>
      </c>
      <c r="D33" s="46">
        <v>37.130676985995805</v>
      </c>
      <c r="E33" s="46">
        <v>33.973474282180788</v>
      </c>
      <c r="F33" s="52">
        <v>38.053114772260528</v>
      </c>
      <c r="G33" s="46">
        <v>23.435108438313542</v>
      </c>
      <c r="H33" s="52">
        <v>29.343801499178596</v>
      </c>
      <c r="I33" s="46">
        <v>11.479867872556511</v>
      </c>
      <c r="J33" s="46">
        <v>27.194480058410019</v>
      </c>
      <c r="K33" s="46">
        <v>11.989231722392844</v>
      </c>
      <c r="L33" s="52">
        <v>9.322042777938611</v>
      </c>
      <c r="M33" s="46">
        <v>11.523818963474449</v>
      </c>
      <c r="N33" s="46">
        <v>0.35569374904635037</v>
      </c>
    </row>
    <row r="34" spans="2:14" x14ac:dyDescent="0.3">
      <c r="B34" s="292"/>
      <c r="C34" s="9" t="s">
        <v>178</v>
      </c>
      <c r="D34" s="46">
        <v>33.083638210492538</v>
      </c>
      <c r="E34" s="46">
        <v>20.809302274770538</v>
      </c>
      <c r="F34" s="52">
        <v>32.998650695627049</v>
      </c>
      <c r="G34" s="46">
        <v>23.427049914714544</v>
      </c>
      <c r="H34" s="52">
        <v>31.622293675886887</v>
      </c>
      <c r="I34" s="46">
        <v>8.0494880928951762</v>
      </c>
      <c r="J34" s="46">
        <v>24.981670082904177</v>
      </c>
      <c r="K34" s="46">
        <v>9.0293548264030594</v>
      </c>
      <c r="L34" s="52">
        <v>7.5050310865846281</v>
      </c>
      <c r="M34" s="46">
        <v>13.030328239453173</v>
      </c>
      <c r="N34" s="46">
        <v>0</v>
      </c>
    </row>
    <row r="35" spans="2:14" x14ac:dyDescent="0.3">
      <c r="B35" s="292"/>
      <c r="C35" s="9" t="s">
        <v>179</v>
      </c>
      <c r="D35" s="46">
        <v>20.330249403575028</v>
      </c>
      <c r="E35" s="46">
        <v>24.277135079855167</v>
      </c>
      <c r="F35" s="52">
        <v>36.231256808016163</v>
      </c>
      <c r="G35" s="46">
        <v>22.605215298633436</v>
      </c>
      <c r="H35" s="52">
        <v>33.319235529102421</v>
      </c>
      <c r="I35" s="46">
        <v>7.5065629060139276</v>
      </c>
      <c r="J35" s="46">
        <v>23.923021001120574</v>
      </c>
      <c r="K35" s="46">
        <v>5.5201518451210791</v>
      </c>
      <c r="L35" s="52">
        <v>5.8047630931150671</v>
      </c>
      <c r="M35" s="46">
        <v>10.954219912552734</v>
      </c>
      <c r="N35" s="46">
        <v>1.1399786903158304</v>
      </c>
    </row>
    <row r="36" spans="2:14" x14ac:dyDescent="0.3">
      <c r="B36" s="298"/>
      <c r="C36" s="12" t="s">
        <v>180</v>
      </c>
      <c r="D36" s="48">
        <v>21.162903948978908</v>
      </c>
      <c r="E36" s="48">
        <v>23.813699044417227</v>
      </c>
      <c r="F36" s="54">
        <v>37.150492871960438</v>
      </c>
      <c r="G36" s="48">
        <v>20.109473234048135</v>
      </c>
      <c r="H36" s="54">
        <v>29.103944191009788</v>
      </c>
      <c r="I36" s="48">
        <v>3.2745845350770013</v>
      </c>
      <c r="J36" s="48">
        <v>27.831310175670893</v>
      </c>
      <c r="K36" s="48">
        <v>4.5806110401083489</v>
      </c>
      <c r="L36" s="54">
        <v>4.0464956834456274</v>
      </c>
      <c r="M36" s="48">
        <v>10.105816323624998</v>
      </c>
      <c r="N36" s="48">
        <v>0.41950652596621135</v>
      </c>
    </row>
    <row r="37" spans="2:14" x14ac:dyDescent="0.3">
      <c r="B37" s="292" t="s">
        <v>223</v>
      </c>
      <c r="C37" s="9" t="s">
        <v>210</v>
      </c>
      <c r="D37" s="46">
        <v>45.495454955819085</v>
      </c>
      <c r="E37" s="46">
        <v>28.100082818117478</v>
      </c>
      <c r="F37" s="52">
        <v>17.00534691877823</v>
      </c>
      <c r="G37" s="46">
        <v>19.321145722418496</v>
      </c>
      <c r="H37" s="52">
        <v>29.32353191309328</v>
      </c>
      <c r="I37" s="46">
        <v>0</v>
      </c>
      <c r="J37" s="46">
        <v>8.9536524398938511</v>
      </c>
      <c r="K37" s="46">
        <v>7.9910050854200554</v>
      </c>
      <c r="L37" s="52">
        <v>6.669781520130841</v>
      </c>
      <c r="M37" s="46">
        <v>7.1773047051737651</v>
      </c>
      <c r="N37" s="46">
        <v>1.5537692036502133</v>
      </c>
    </row>
    <row r="38" spans="2:14" x14ac:dyDescent="0.3">
      <c r="B38" s="292"/>
      <c r="C38" s="9" t="s">
        <v>211</v>
      </c>
      <c r="D38" s="46">
        <v>37.306228180678019</v>
      </c>
      <c r="E38" s="46">
        <v>33.330511426292567</v>
      </c>
      <c r="F38" s="52">
        <v>28.12665058692016</v>
      </c>
      <c r="G38" s="46">
        <v>24.012969448361211</v>
      </c>
      <c r="H38" s="52">
        <v>38.375658536117825</v>
      </c>
      <c r="I38" s="46">
        <v>10.44202083760571</v>
      </c>
      <c r="J38" s="46">
        <v>27.051215747255043</v>
      </c>
      <c r="K38" s="46">
        <v>13.732550793057852</v>
      </c>
      <c r="L38" s="52">
        <v>9.4847599119105865</v>
      </c>
      <c r="M38" s="46">
        <v>15.000650160715765</v>
      </c>
      <c r="N38" s="46">
        <v>0.38333323916174644</v>
      </c>
    </row>
    <row r="39" spans="2:14" x14ac:dyDescent="0.3">
      <c r="B39" s="292"/>
      <c r="C39" s="9" t="s">
        <v>212</v>
      </c>
      <c r="D39" s="46">
        <v>38.3589207255323</v>
      </c>
      <c r="E39" s="46">
        <v>35.91068672969476</v>
      </c>
      <c r="F39" s="52">
        <v>38.99182349528192</v>
      </c>
      <c r="G39" s="46">
        <v>24.601837758257762</v>
      </c>
      <c r="H39" s="52">
        <v>30.077410413714656</v>
      </c>
      <c r="I39" s="46">
        <v>12.362420933525074</v>
      </c>
      <c r="J39" s="46">
        <v>26.72772098660862</v>
      </c>
      <c r="K39" s="46">
        <v>13.126038289035266</v>
      </c>
      <c r="L39" s="52">
        <v>9.7453805539951759</v>
      </c>
      <c r="M39" s="46">
        <v>11.797610778170501</v>
      </c>
      <c r="N39" s="46">
        <v>0</v>
      </c>
    </row>
    <row r="40" spans="2:14" x14ac:dyDescent="0.3">
      <c r="B40" s="292"/>
      <c r="C40" s="9" t="s">
        <v>213</v>
      </c>
      <c r="D40" s="46">
        <v>33.144127647663154</v>
      </c>
      <c r="E40" s="46">
        <v>22.580727222771461</v>
      </c>
      <c r="F40" s="52">
        <v>32.519809053018953</v>
      </c>
      <c r="G40" s="46">
        <v>24.809156435979446</v>
      </c>
      <c r="H40" s="52">
        <v>31.700456959049696</v>
      </c>
      <c r="I40" s="46">
        <v>9.1423020435287086</v>
      </c>
      <c r="J40" s="46">
        <v>24.098765332408895</v>
      </c>
      <c r="K40" s="46">
        <v>9.4752475505978726</v>
      </c>
      <c r="L40" s="52">
        <v>7.7959089744295982</v>
      </c>
      <c r="M40" s="46">
        <v>13.39584464999572</v>
      </c>
      <c r="N40" s="46">
        <v>0</v>
      </c>
    </row>
    <row r="41" spans="2:14" x14ac:dyDescent="0.3">
      <c r="B41" s="292"/>
      <c r="C41" s="9" t="s">
        <v>214</v>
      </c>
      <c r="D41" s="46">
        <v>23.113305657387944</v>
      </c>
      <c r="E41" s="46">
        <v>26.448376986892775</v>
      </c>
      <c r="F41" s="52">
        <v>35.649820163982525</v>
      </c>
      <c r="G41" s="46">
        <v>25.002589037980687</v>
      </c>
      <c r="H41" s="52">
        <v>34.744080563302198</v>
      </c>
      <c r="I41" s="46">
        <v>9.0560299582902832</v>
      </c>
      <c r="J41" s="46">
        <v>22.298330674526142</v>
      </c>
      <c r="K41" s="46">
        <v>4.4125365698404266</v>
      </c>
      <c r="L41" s="52">
        <v>6.4565376702900688</v>
      </c>
      <c r="M41" s="46">
        <v>10.742348976288731</v>
      </c>
      <c r="N41" s="46">
        <v>1.0817860682536473</v>
      </c>
    </row>
    <row r="42" spans="2:14" x14ac:dyDescent="0.3">
      <c r="B42" s="292"/>
      <c r="C42" s="12" t="s">
        <v>215</v>
      </c>
      <c r="D42" s="48">
        <v>22.519883300639478</v>
      </c>
      <c r="E42" s="48">
        <v>24.766546373717865</v>
      </c>
      <c r="F42" s="54">
        <v>40.168605447136905</v>
      </c>
      <c r="G42" s="48">
        <v>23.434381659127915</v>
      </c>
      <c r="H42" s="54">
        <v>30.882894606781118</v>
      </c>
      <c r="I42" s="48">
        <v>4.66216807402383</v>
      </c>
      <c r="J42" s="48">
        <v>23.500571733075841</v>
      </c>
      <c r="K42" s="48">
        <v>5.956077968317822</v>
      </c>
      <c r="L42" s="54">
        <v>3.4638068807646012</v>
      </c>
      <c r="M42" s="48">
        <v>8.7671688845603661</v>
      </c>
      <c r="N42" s="48">
        <v>0</v>
      </c>
    </row>
    <row r="43" spans="2:14" x14ac:dyDescent="0.3">
      <c r="B43" s="292"/>
      <c r="C43" s="9" t="s">
        <v>216</v>
      </c>
      <c r="D43" s="46">
        <v>44.090361492008199</v>
      </c>
      <c r="E43" s="46">
        <v>42.116005862447345</v>
      </c>
      <c r="F43" s="52">
        <v>0</v>
      </c>
      <c r="G43" s="46">
        <v>0</v>
      </c>
      <c r="H43" s="52">
        <v>42.116005862447345</v>
      </c>
      <c r="I43" s="46">
        <v>0</v>
      </c>
      <c r="J43" s="46">
        <v>0</v>
      </c>
      <c r="K43" s="46">
        <v>13.793632645544465</v>
      </c>
      <c r="L43" s="52">
        <v>0</v>
      </c>
      <c r="M43" s="46">
        <v>0</v>
      </c>
      <c r="N43" s="46">
        <v>0</v>
      </c>
    </row>
    <row r="44" spans="2:14" x14ac:dyDescent="0.3">
      <c r="B44" s="292"/>
      <c r="C44" s="9" t="s">
        <v>217</v>
      </c>
      <c r="D44" s="46">
        <v>16.705741191967924</v>
      </c>
      <c r="E44" s="46">
        <v>10.739487626834515</v>
      </c>
      <c r="F44" s="52">
        <v>21.78932170238177</v>
      </c>
      <c r="G44" s="46">
        <v>5.1765738194507271</v>
      </c>
      <c r="H44" s="52">
        <v>16.207993709328431</v>
      </c>
      <c r="I44" s="46">
        <v>5.4641612538646562</v>
      </c>
      <c r="J44" s="46">
        <v>10.928322507729312</v>
      </c>
      <c r="K44" s="46">
        <v>23.725875566647396</v>
      </c>
      <c r="L44" s="52">
        <v>5.4641612538646562</v>
      </c>
      <c r="M44" s="46">
        <v>10.93467758498833</v>
      </c>
      <c r="N44" s="46">
        <v>0</v>
      </c>
    </row>
    <row r="45" spans="2:14" x14ac:dyDescent="0.3">
      <c r="B45" s="292"/>
      <c r="C45" s="9" t="s">
        <v>218</v>
      </c>
      <c r="D45" s="46">
        <v>28.483083635641787</v>
      </c>
      <c r="E45" s="46">
        <v>20.334304026229407</v>
      </c>
      <c r="F45" s="52">
        <v>31.444026486427052</v>
      </c>
      <c r="G45" s="46">
        <v>15.22061453613413</v>
      </c>
      <c r="H45" s="52">
        <v>24.178742344473378</v>
      </c>
      <c r="I45" s="46">
        <v>5.2661500772219423</v>
      </c>
      <c r="J45" s="46">
        <v>30.480751761329692</v>
      </c>
      <c r="K45" s="46">
        <v>3.985412455994287</v>
      </c>
      <c r="L45" s="52">
        <v>6.3414837737772363</v>
      </c>
      <c r="M45" s="46">
        <v>9.5961557481582354</v>
      </c>
      <c r="N45" s="46">
        <v>2.8599970888512076</v>
      </c>
    </row>
    <row r="46" spans="2:14" x14ac:dyDescent="0.3">
      <c r="B46" s="292"/>
      <c r="C46" s="9" t="s">
        <v>219</v>
      </c>
      <c r="D46" s="46">
        <v>32.778522488222436</v>
      </c>
      <c r="E46" s="46">
        <v>11.874029808401094</v>
      </c>
      <c r="F46" s="52">
        <v>35.413983363136296</v>
      </c>
      <c r="G46" s="46">
        <v>16.455544653379931</v>
      </c>
      <c r="H46" s="52">
        <v>31.228029028822036</v>
      </c>
      <c r="I46" s="46">
        <v>2.5372080411889502</v>
      </c>
      <c r="J46" s="46">
        <v>29.435143833756726</v>
      </c>
      <c r="K46" s="46">
        <v>6.7802203169514783</v>
      </c>
      <c r="L46" s="52">
        <v>6.0378093534426442</v>
      </c>
      <c r="M46" s="46">
        <v>11.186621158996452</v>
      </c>
      <c r="N46" s="46">
        <v>0</v>
      </c>
    </row>
    <row r="47" spans="2:14" x14ac:dyDescent="0.3">
      <c r="B47" s="292"/>
      <c r="C47" s="9" t="s">
        <v>220</v>
      </c>
      <c r="D47" s="46">
        <v>9.9846697165653691</v>
      </c>
      <c r="E47" s="46">
        <v>16.205880272031077</v>
      </c>
      <c r="F47" s="52">
        <v>38.392657291946726</v>
      </c>
      <c r="G47" s="46">
        <v>13.693350500363142</v>
      </c>
      <c r="H47" s="52">
        <v>28.022595253593035</v>
      </c>
      <c r="I47" s="46">
        <v>1.7466596199201063</v>
      </c>
      <c r="J47" s="46">
        <v>29.962555134671813</v>
      </c>
      <c r="K47" s="46">
        <v>9.6375397266149516</v>
      </c>
      <c r="L47" s="52">
        <v>3.3818922593355483</v>
      </c>
      <c r="M47" s="46">
        <v>11.741817235272109</v>
      </c>
      <c r="N47" s="46">
        <v>1.3563007312072151</v>
      </c>
    </row>
    <row r="48" spans="2:14" x14ac:dyDescent="0.3">
      <c r="B48" s="295"/>
      <c r="C48" s="9" t="s">
        <v>221</v>
      </c>
      <c r="D48" s="48">
        <v>18.689343703998272</v>
      </c>
      <c r="E48" s="48">
        <v>22.076808007416695</v>
      </c>
      <c r="F48" s="54">
        <v>31.648947640857887</v>
      </c>
      <c r="G48" s="48">
        <v>14.048687350744633</v>
      </c>
      <c r="H48" s="54">
        <v>25.861196966552068</v>
      </c>
      <c r="I48" s="48">
        <v>0.74523766304953587</v>
      </c>
      <c r="J48" s="48">
        <v>35.725566215679137</v>
      </c>
      <c r="K48" s="48">
        <v>2.0733508465459298</v>
      </c>
      <c r="L48" s="54">
        <v>5.1086458596759696</v>
      </c>
      <c r="M48" s="48">
        <v>12.545960370963316</v>
      </c>
      <c r="N48" s="48">
        <v>1.1842010394605873</v>
      </c>
    </row>
    <row r="49" spans="2:14" ht="16.5" customHeight="1" x14ac:dyDescent="0.3">
      <c r="B49" s="291" t="s">
        <v>222</v>
      </c>
      <c r="C49" s="13" t="s">
        <v>226</v>
      </c>
      <c r="D49" s="47">
        <v>34.962481749975538</v>
      </c>
      <c r="E49" s="47">
        <v>27.294917621937149</v>
      </c>
      <c r="F49" s="47">
        <v>29.651950029501943</v>
      </c>
      <c r="G49" s="47">
        <v>22.098280108792085</v>
      </c>
      <c r="H49" s="47">
        <v>29.961509162175666</v>
      </c>
      <c r="I49" s="47">
        <v>7.4375857046201146</v>
      </c>
      <c r="J49" s="47">
        <v>18.949965731531957</v>
      </c>
      <c r="K49" s="47">
        <v>8.6210133546407839</v>
      </c>
      <c r="L49" s="47">
        <v>5.2144418342980305</v>
      </c>
      <c r="M49" s="47">
        <v>9.3030864598328371</v>
      </c>
      <c r="N49" s="47">
        <v>0.31300843382313398</v>
      </c>
    </row>
    <row r="50" spans="2:14" x14ac:dyDescent="0.3">
      <c r="B50" s="294"/>
      <c r="C50" s="9" t="s">
        <v>227</v>
      </c>
      <c r="D50" s="46">
        <v>29.441743731367335</v>
      </c>
      <c r="E50" s="46">
        <v>28.802444374339242</v>
      </c>
      <c r="F50" s="46">
        <v>32.261293484655518</v>
      </c>
      <c r="G50" s="46">
        <v>17.751335874359448</v>
      </c>
      <c r="H50" s="46">
        <v>30.80593147570448</v>
      </c>
      <c r="I50" s="46">
        <v>8.8934465303373766</v>
      </c>
      <c r="J50" s="46">
        <v>25.893447796820883</v>
      </c>
      <c r="K50" s="46">
        <v>8.6664244923516094</v>
      </c>
      <c r="L50" s="46">
        <v>6.8721188495723782</v>
      </c>
      <c r="M50" s="46">
        <v>11.953697185008402</v>
      </c>
      <c r="N50" s="46">
        <v>0.46620482517031325</v>
      </c>
    </row>
    <row r="51" spans="2:14" x14ac:dyDescent="0.3">
      <c r="B51" s="292"/>
      <c r="C51" s="9" t="s">
        <v>228</v>
      </c>
      <c r="D51" s="46">
        <v>25.460887023782092</v>
      </c>
      <c r="E51" s="46">
        <v>24.110766251484634</v>
      </c>
      <c r="F51" s="46">
        <v>34.410913494931059</v>
      </c>
      <c r="G51" s="46">
        <v>26.943962079432669</v>
      </c>
      <c r="H51" s="46">
        <v>36.238386669647475</v>
      </c>
      <c r="I51" s="46">
        <v>9.6069522419727864</v>
      </c>
      <c r="J51" s="46">
        <v>27.68971657017239</v>
      </c>
      <c r="K51" s="46">
        <v>9.5797911279181918</v>
      </c>
      <c r="L51" s="46">
        <v>9.8946704821162825</v>
      </c>
      <c r="M51" s="46">
        <v>11.449194514529937</v>
      </c>
      <c r="N51" s="46">
        <v>0.49209927509135915</v>
      </c>
    </row>
    <row r="52" spans="2:14" x14ac:dyDescent="0.3">
      <c r="B52" s="295"/>
      <c r="C52" s="12" t="s">
        <v>229</v>
      </c>
      <c r="D52" s="48">
        <v>32.418876922578974</v>
      </c>
      <c r="E52" s="48">
        <v>28.957922043400981</v>
      </c>
      <c r="F52" s="48">
        <v>37.883363050939998</v>
      </c>
      <c r="G52" s="48">
        <v>23.07778718533071</v>
      </c>
      <c r="H52" s="48">
        <v>31.305990594851707</v>
      </c>
      <c r="I52" s="48">
        <v>5.8232784813255343</v>
      </c>
      <c r="J52" s="48">
        <v>28.061688446172976</v>
      </c>
      <c r="K52" s="48">
        <v>10.146698840759907</v>
      </c>
      <c r="L52" s="48">
        <v>7.0894029567597077</v>
      </c>
      <c r="M52" s="48">
        <v>14.661851564900463</v>
      </c>
      <c r="N52" s="48">
        <v>0.7283586611811288</v>
      </c>
    </row>
    <row r="53" spans="2:14" x14ac:dyDescent="0.3">
      <c r="B53" s="296" t="s">
        <v>199</v>
      </c>
      <c r="C53" s="13" t="s">
        <v>192</v>
      </c>
      <c r="D53" s="47">
        <v>32.39190611312879</v>
      </c>
      <c r="E53" s="47">
        <v>28.451603251107034</v>
      </c>
      <c r="F53" s="47">
        <v>33.524768323164587</v>
      </c>
      <c r="G53" s="47">
        <v>23.107265791555278</v>
      </c>
      <c r="H53" s="47">
        <v>31.760856446463798</v>
      </c>
      <c r="I53" s="47">
        <v>8.52863389104321</v>
      </c>
      <c r="J53" s="47">
        <v>25.156762686070206</v>
      </c>
      <c r="K53" s="47">
        <v>10.394096223901464</v>
      </c>
      <c r="L53" s="47">
        <v>8.2939985152673419</v>
      </c>
      <c r="M53" s="47">
        <v>11.034656165272553</v>
      </c>
      <c r="N53" s="47">
        <v>0.60776113870937265</v>
      </c>
    </row>
    <row r="54" spans="2:14" ht="16.5" customHeight="1" x14ac:dyDescent="0.3">
      <c r="B54" s="292"/>
      <c r="C54" s="9" t="s">
        <v>200</v>
      </c>
      <c r="D54" s="46">
        <v>39.905220709670893</v>
      </c>
      <c r="E54" s="46">
        <v>33.164107184680752</v>
      </c>
      <c r="F54" s="46">
        <v>23.656098500718244</v>
      </c>
      <c r="G54" s="46">
        <v>20.45955646085568</v>
      </c>
      <c r="H54" s="46">
        <v>34.976829943107326</v>
      </c>
      <c r="I54" s="46">
        <v>7.4732996066008788</v>
      </c>
      <c r="J54" s="46">
        <v>25.675220160099421</v>
      </c>
      <c r="K54" s="46">
        <v>9.367714807401466</v>
      </c>
      <c r="L54" s="46">
        <v>5.1164721032502385</v>
      </c>
      <c r="M54" s="46">
        <v>15.987524076085336</v>
      </c>
      <c r="N54" s="46">
        <v>1.3858350063269502</v>
      </c>
    </row>
    <row r="55" spans="2:14" x14ac:dyDescent="0.3">
      <c r="B55" s="292"/>
      <c r="C55" s="9" t="s">
        <v>201</v>
      </c>
      <c r="D55" s="46">
        <v>27.378969536903135</v>
      </c>
      <c r="E55" s="46">
        <v>28.613387387969368</v>
      </c>
      <c r="F55" s="46">
        <v>30.927236833012401</v>
      </c>
      <c r="G55" s="46">
        <v>17.499813788278892</v>
      </c>
      <c r="H55" s="46">
        <v>31.294666788062415</v>
      </c>
      <c r="I55" s="46">
        <v>6.0454060931972959</v>
      </c>
      <c r="J55" s="46">
        <v>20.225089517780152</v>
      </c>
      <c r="K55" s="46">
        <v>6.1355316591243927</v>
      </c>
      <c r="L55" s="46">
        <v>4.7638062639070951</v>
      </c>
      <c r="M55" s="46">
        <v>10.312462327229399</v>
      </c>
      <c r="N55" s="46">
        <v>0</v>
      </c>
    </row>
    <row r="56" spans="2:14" x14ac:dyDescent="0.3">
      <c r="B56" s="292"/>
      <c r="C56" s="9" t="s">
        <v>202</v>
      </c>
      <c r="D56" s="46">
        <v>25.916185837679752</v>
      </c>
      <c r="E56" s="46">
        <v>24.08300405784783</v>
      </c>
      <c r="F56" s="46">
        <v>42.155925277249111</v>
      </c>
      <c r="G56" s="46">
        <v>18.351664053963741</v>
      </c>
      <c r="H56" s="46">
        <v>29.003197520108536</v>
      </c>
      <c r="I56" s="46">
        <v>9.6464241267704729</v>
      </c>
      <c r="J56" s="46">
        <v>22.45237119447032</v>
      </c>
      <c r="K56" s="46">
        <v>7.3454300160631911</v>
      </c>
      <c r="L56" s="46">
        <v>7.0900196869942089</v>
      </c>
      <c r="M56" s="46">
        <v>14.051934166932201</v>
      </c>
      <c r="N56" s="46">
        <v>0.64612139438253313</v>
      </c>
    </row>
    <row r="57" spans="2:14" x14ac:dyDescent="0.3">
      <c r="B57" s="295"/>
      <c r="C57" s="12" t="s">
        <v>203</v>
      </c>
      <c r="D57" s="48">
        <v>27.588201666216637</v>
      </c>
      <c r="E57" s="48">
        <v>24.163839593942189</v>
      </c>
      <c r="F57" s="48">
        <v>33.620799981907254</v>
      </c>
      <c r="G57" s="48">
        <v>24.804094700413234</v>
      </c>
      <c r="H57" s="48">
        <v>33.888981246852005</v>
      </c>
      <c r="I57" s="48">
        <v>6.7696566854796485</v>
      </c>
      <c r="J57" s="48">
        <v>29.041209951809897</v>
      </c>
      <c r="K57" s="48">
        <v>8.613767978584999</v>
      </c>
      <c r="L57" s="48">
        <v>6.3256126610152457</v>
      </c>
      <c r="M57" s="48">
        <v>13.491379956159449</v>
      </c>
      <c r="N57" s="48">
        <v>0.29526792263970875</v>
      </c>
    </row>
    <row r="58" spans="2:14" x14ac:dyDescent="0.3">
      <c r="B58" s="291" t="s">
        <v>204</v>
      </c>
      <c r="C58" s="13" t="s">
        <v>192</v>
      </c>
      <c r="D58" s="47">
        <v>32.39190611312879</v>
      </c>
      <c r="E58" s="47">
        <v>28.451603251107034</v>
      </c>
      <c r="F58" s="47">
        <v>33.524768323164587</v>
      </c>
      <c r="G58" s="47">
        <v>23.107265791555278</v>
      </c>
      <c r="H58" s="47">
        <v>31.760856446463798</v>
      </c>
      <c r="I58" s="47">
        <v>8.52863389104321</v>
      </c>
      <c r="J58" s="47">
        <v>25.156762686070206</v>
      </c>
      <c r="K58" s="47">
        <v>10.394096223901464</v>
      </c>
      <c r="L58" s="47">
        <v>8.2939985152673419</v>
      </c>
      <c r="M58" s="47">
        <v>11.034656165272553</v>
      </c>
      <c r="N58" s="47">
        <v>0.60776113870937265</v>
      </c>
    </row>
    <row r="59" spans="2:14" x14ac:dyDescent="0.3">
      <c r="B59" s="295"/>
      <c r="C59" s="12" t="s">
        <v>193</v>
      </c>
      <c r="D59" s="48">
        <v>28.200249837420316</v>
      </c>
      <c r="E59" s="48">
        <v>25.953290666001276</v>
      </c>
      <c r="F59" s="48">
        <v>33.749387479923257</v>
      </c>
      <c r="G59" s="48">
        <v>21.473015400554988</v>
      </c>
      <c r="H59" s="48">
        <v>32.434152385714114</v>
      </c>
      <c r="I59" s="48">
        <v>7.1788727607051346</v>
      </c>
      <c r="J59" s="48">
        <v>25.390549807940037</v>
      </c>
      <c r="K59" s="48">
        <v>7.8296933094050241</v>
      </c>
      <c r="L59" s="48">
        <v>5.9875080388909891</v>
      </c>
      <c r="M59" s="48">
        <v>13.010644856049222</v>
      </c>
      <c r="N59" s="48">
        <v>0.37363939275576019</v>
      </c>
    </row>
    <row r="60" spans="2:14" x14ac:dyDescent="0.3">
      <c r="B60" s="291" t="s">
        <v>209</v>
      </c>
      <c r="C60" s="13" t="s">
        <v>205</v>
      </c>
      <c r="D60" s="47">
        <v>35.034872721997075</v>
      </c>
      <c r="E60" s="47">
        <v>30.662404560159761</v>
      </c>
      <c r="F60" s="47">
        <v>33.942023809577705</v>
      </c>
      <c r="G60" s="47">
        <v>23.434982820143397</v>
      </c>
      <c r="H60" s="47">
        <v>32.212033777940952</v>
      </c>
      <c r="I60" s="47">
        <v>12.111425113123016</v>
      </c>
      <c r="J60" s="47">
        <v>29.60969688626443</v>
      </c>
      <c r="K60" s="47">
        <v>16.586608305733694</v>
      </c>
      <c r="L60" s="47">
        <v>6.5310172861374696</v>
      </c>
      <c r="M60" s="47">
        <v>14.684150148794458</v>
      </c>
      <c r="N60" s="47">
        <v>1.5064379913600914</v>
      </c>
    </row>
    <row r="61" spans="2:14" x14ac:dyDescent="0.3">
      <c r="B61" s="292"/>
      <c r="C61" s="9" t="s">
        <v>206</v>
      </c>
      <c r="D61" s="46">
        <v>19.973805488687649</v>
      </c>
      <c r="E61" s="46">
        <v>23.567130897475657</v>
      </c>
      <c r="F61" s="46">
        <v>32.974931543201031</v>
      </c>
      <c r="G61" s="46">
        <v>23.350504659975822</v>
      </c>
      <c r="H61" s="46">
        <v>31.289559116654203</v>
      </c>
      <c r="I61" s="46">
        <v>7.9076239716693797</v>
      </c>
      <c r="J61" s="46">
        <v>25.791467672317093</v>
      </c>
      <c r="K61" s="46">
        <v>5.647194790222045</v>
      </c>
      <c r="L61" s="46">
        <v>4.0488720388589146</v>
      </c>
      <c r="M61" s="46">
        <v>11.943471919356558</v>
      </c>
      <c r="N61" s="46">
        <v>0.31679144759216921</v>
      </c>
    </row>
    <row r="62" spans="2:14" x14ac:dyDescent="0.3">
      <c r="B62" s="292"/>
      <c r="C62" s="9" t="s">
        <v>207</v>
      </c>
      <c r="D62" s="46">
        <v>31.986590056803195</v>
      </c>
      <c r="E62" s="46">
        <v>27.67866425443863</v>
      </c>
      <c r="F62" s="46">
        <v>30.790765570155038</v>
      </c>
      <c r="G62" s="46">
        <v>20.542286292309626</v>
      </c>
      <c r="H62" s="46">
        <v>32.775916496623026</v>
      </c>
      <c r="I62" s="46">
        <v>8.7226776795583341</v>
      </c>
      <c r="J62" s="46">
        <v>22.863430844287858</v>
      </c>
      <c r="K62" s="46">
        <v>8.1421114354280508</v>
      </c>
      <c r="L62" s="46">
        <v>7.9217842184032019</v>
      </c>
      <c r="M62" s="46">
        <v>9.0888495764859822</v>
      </c>
      <c r="N62" s="46">
        <v>0</v>
      </c>
    </row>
    <row r="63" spans="2:14" x14ac:dyDescent="0.3">
      <c r="B63" s="293"/>
      <c r="C63" s="25" t="s">
        <v>208</v>
      </c>
      <c r="D63" s="49">
        <v>32.679166503526034</v>
      </c>
      <c r="E63" s="49">
        <v>27.685446428180395</v>
      </c>
      <c r="F63" s="49">
        <v>36.068721891438962</v>
      </c>
      <c r="G63" s="49">
        <v>23.058000017570158</v>
      </c>
      <c r="H63" s="49">
        <v>31.785487243133666</v>
      </c>
      <c r="I63" s="49">
        <v>5.9027484455631889</v>
      </c>
      <c r="J63" s="49">
        <v>25.458928717568764</v>
      </c>
      <c r="K63" s="49">
        <v>9.323765593914338</v>
      </c>
      <c r="L63" s="49">
        <v>8.4782571468623864</v>
      </c>
      <c r="M63" s="49">
        <v>13.200575385356961</v>
      </c>
      <c r="N63" s="49">
        <v>0.65298472950387554</v>
      </c>
    </row>
    <row r="66" spans="2:51" ht="18.75" customHeight="1" x14ac:dyDescent="0.3">
      <c r="B66" s="1" t="s">
        <v>136</v>
      </c>
      <c r="F66" s="304"/>
      <c r="G66" s="304"/>
      <c r="H66" s="304"/>
      <c r="I66" s="304"/>
      <c r="J66" s="304"/>
      <c r="K66" s="304"/>
      <c r="L66" s="304"/>
      <c r="M66" s="304"/>
      <c r="N66" s="304"/>
      <c r="O66" s="304"/>
      <c r="P66" s="304"/>
      <c r="Q66" s="304"/>
      <c r="R66" s="304"/>
      <c r="S66" s="304"/>
      <c r="T66" s="304"/>
      <c r="U66" s="304"/>
      <c r="V66" s="304"/>
      <c r="W66" s="304"/>
      <c r="X66" s="304"/>
      <c r="Y66" s="304"/>
      <c r="Z66" s="304"/>
      <c r="AA66" s="304"/>
      <c r="AB66" s="304"/>
      <c r="AC66" s="304"/>
      <c r="AD66" s="304"/>
      <c r="AE66" s="304"/>
      <c r="AF66" s="304"/>
      <c r="AG66" s="304"/>
      <c r="AH66" s="304"/>
      <c r="AI66" s="304"/>
      <c r="AJ66" s="304"/>
      <c r="AK66" s="304"/>
      <c r="AL66" s="304"/>
      <c r="AM66" s="304"/>
      <c r="AN66" s="304"/>
      <c r="AO66" s="304"/>
      <c r="AP66" s="304"/>
      <c r="AQ66" s="304"/>
      <c r="AR66" s="304"/>
      <c r="AS66" s="304"/>
      <c r="AT66" s="304"/>
      <c r="AU66" s="304"/>
      <c r="AV66" s="304"/>
      <c r="AW66" s="304"/>
      <c r="AX66" s="304"/>
      <c r="AY66" s="304"/>
    </row>
    <row r="67" spans="2:51" ht="13.5" customHeight="1" x14ac:dyDescent="0.3">
      <c r="M67" s="30"/>
      <c r="N67" s="30" t="s">
        <v>53</v>
      </c>
    </row>
    <row r="68" spans="2:51" ht="28.5" customHeight="1" x14ac:dyDescent="0.3">
      <c r="B68" s="305"/>
      <c r="C68" s="306"/>
      <c r="D68" s="226" t="s">
        <v>35</v>
      </c>
      <c r="E68" s="226" t="s">
        <v>280</v>
      </c>
      <c r="F68" s="226" t="s">
        <v>282</v>
      </c>
      <c r="G68" s="226" t="s">
        <v>16</v>
      </c>
      <c r="H68" s="226" t="s">
        <v>14</v>
      </c>
      <c r="I68" s="226" t="s">
        <v>15</v>
      </c>
      <c r="J68" s="226" t="s">
        <v>283</v>
      </c>
      <c r="K68" s="226" t="s">
        <v>284</v>
      </c>
      <c r="L68" s="226" t="s">
        <v>285</v>
      </c>
      <c r="M68" s="227" t="s">
        <v>297</v>
      </c>
      <c r="N68" s="227" t="s">
        <v>12</v>
      </c>
    </row>
    <row r="69" spans="2:51" x14ac:dyDescent="0.3">
      <c r="B69" s="292" t="s">
        <v>20</v>
      </c>
      <c r="C69" s="292"/>
      <c r="D69" s="127">
        <v>1.2035613255697462</v>
      </c>
      <c r="E69" s="127">
        <v>1.1334867328513121</v>
      </c>
      <c r="F69" s="128">
        <v>1.1408899400989807</v>
      </c>
      <c r="G69" s="127">
        <v>1.1408516861920788</v>
      </c>
      <c r="H69" s="128">
        <v>1.3040351980016784</v>
      </c>
      <c r="I69" s="127">
        <v>1.0948589770636878</v>
      </c>
      <c r="J69" s="127">
        <v>1.422473773990524</v>
      </c>
      <c r="K69" s="127">
        <v>1.2405363169236223</v>
      </c>
      <c r="L69" s="128">
        <v>1.17186937456853</v>
      </c>
      <c r="M69" s="127">
        <v>1.4701102368159422</v>
      </c>
      <c r="N69" s="127">
        <v>2.2821982955839948</v>
      </c>
    </row>
    <row r="70" spans="2:51" x14ac:dyDescent="0.3">
      <c r="B70" s="296" t="s">
        <v>5</v>
      </c>
      <c r="C70" s="13" t="s">
        <v>0</v>
      </c>
      <c r="D70" s="129">
        <v>1.1978871892277032</v>
      </c>
      <c r="E70" s="129">
        <v>1.1373411619138825</v>
      </c>
      <c r="F70" s="130">
        <v>1.1243149656169</v>
      </c>
      <c r="G70" s="129">
        <v>1.1424575416468392</v>
      </c>
      <c r="H70" s="130">
        <v>1.2648851001220676</v>
      </c>
      <c r="I70" s="129">
        <v>1.0998860163610631</v>
      </c>
      <c r="J70" s="129">
        <v>1.3646429956310133</v>
      </c>
      <c r="K70" s="129">
        <v>1.2330837901483664</v>
      </c>
      <c r="L70" s="130">
        <v>1.1393335045109974</v>
      </c>
      <c r="M70" s="129">
        <v>1.4488369122626248</v>
      </c>
      <c r="N70" s="129">
        <v>1</v>
      </c>
    </row>
    <row r="71" spans="2:51" x14ac:dyDescent="0.3">
      <c r="B71" s="295"/>
      <c r="C71" s="12" t="s">
        <v>1</v>
      </c>
      <c r="D71" s="131">
        <v>1.2470934629981436</v>
      </c>
      <c r="E71" s="131">
        <v>1.1030360393748453</v>
      </c>
      <c r="F71" s="131">
        <v>1.2230684286282638</v>
      </c>
      <c r="G71" s="131">
        <v>1.1272558865220712</v>
      </c>
      <c r="H71" s="131">
        <v>1.5418954289395999</v>
      </c>
      <c r="I71" s="131">
        <v>1</v>
      </c>
      <c r="J71" s="131">
        <v>1.645387082226478</v>
      </c>
      <c r="K71" s="131">
        <v>1.2933003630782904</v>
      </c>
      <c r="L71" s="131">
        <v>1.4136672446457161</v>
      </c>
      <c r="M71" s="131">
        <v>1.5777837734833626</v>
      </c>
      <c r="N71" s="131">
        <v>4.2003543743199998</v>
      </c>
    </row>
    <row r="72" spans="2:51" x14ac:dyDescent="0.3">
      <c r="B72" s="296" t="s">
        <v>4</v>
      </c>
      <c r="C72" s="9" t="s">
        <v>175</v>
      </c>
      <c r="D72" s="127">
        <v>1.2273991395928661</v>
      </c>
      <c r="E72" s="127">
        <v>1.1168299884855091</v>
      </c>
      <c r="F72" s="128">
        <v>1.3056906079113588</v>
      </c>
      <c r="G72" s="127">
        <v>1.2400633013318871</v>
      </c>
      <c r="H72" s="128">
        <v>1.5434130028666178</v>
      </c>
      <c r="I72" s="127">
        <v>0</v>
      </c>
      <c r="J72" s="127">
        <v>1.1506664529279778</v>
      </c>
      <c r="K72" s="127">
        <v>1.0468211392130065</v>
      </c>
      <c r="L72" s="128">
        <v>1</v>
      </c>
      <c r="M72" s="127">
        <v>1.7753592291806857</v>
      </c>
      <c r="N72" s="127">
        <v>1</v>
      </c>
    </row>
    <row r="73" spans="2:51" x14ac:dyDescent="0.3">
      <c r="B73" s="292"/>
      <c r="C73" s="9" t="s">
        <v>176</v>
      </c>
      <c r="D73" s="127">
        <v>1.2454244076026679</v>
      </c>
      <c r="E73" s="127">
        <v>1.1656598933967781</v>
      </c>
      <c r="F73" s="128">
        <v>1.1323648735071288</v>
      </c>
      <c r="G73" s="127">
        <v>1.1168082022889378</v>
      </c>
      <c r="H73" s="128">
        <v>1.2147812047168765</v>
      </c>
      <c r="I73" s="127">
        <v>1.1563712961983867</v>
      </c>
      <c r="J73" s="127">
        <v>1.2796933206396852</v>
      </c>
      <c r="K73" s="127">
        <v>1.2562479484662767</v>
      </c>
      <c r="L73" s="128">
        <v>1.0673309706540215</v>
      </c>
      <c r="M73" s="127">
        <v>1.5407742843407388</v>
      </c>
      <c r="N73" s="127">
        <v>1</v>
      </c>
    </row>
    <row r="74" spans="2:51" x14ac:dyDescent="0.3">
      <c r="B74" s="292"/>
      <c r="C74" s="9" t="s">
        <v>177</v>
      </c>
      <c r="D74" s="127">
        <v>1.2399143070285636</v>
      </c>
      <c r="E74" s="127">
        <v>1.1112550585070007</v>
      </c>
      <c r="F74" s="128">
        <v>1.1776983173983924</v>
      </c>
      <c r="G74" s="127">
        <v>1.1617948863226524</v>
      </c>
      <c r="H74" s="128">
        <v>1.320902470896929</v>
      </c>
      <c r="I74" s="127">
        <v>1.1013219080957917</v>
      </c>
      <c r="J74" s="127">
        <v>1.3614816901043358</v>
      </c>
      <c r="K74" s="127">
        <v>1.231899467725351</v>
      </c>
      <c r="L74" s="128">
        <v>1.2203430319936668</v>
      </c>
      <c r="M74" s="127">
        <v>1.6757836204208743</v>
      </c>
      <c r="N74" s="127">
        <v>1</v>
      </c>
    </row>
    <row r="75" spans="2:51" x14ac:dyDescent="0.3">
      <c r="B75" s="292"/>
      <c r="C75" s="9" t="s">
        <v>178</v>
      </c>
      <c r="D75" s="127">
        <v>1.1207039744887621</v>
      </c>
      <c r="E75" s="127">
        <v>1.1440572045844484</v>
      </c>
      <c r="F75" s="128">
        <v>1.2106496050497848</v>
      </c>
      <c r="G75" s="127">
        <v>1.1205026908350308</v>
      </c>
      <c r="H75" s="128">
        <v>1.2851305431495028</v>
      </c>
      <c r="I75" s="127">
        <v>1.0486846250608988</v>
      </c>
      <c r="J75" s="127">
        <v>1.585006815703222</v>
      </c>
      <c r="K75" s="127">
        <v>1.184876726254116</v>
      </c>
      <c r="L75" s="128">
        <v>1.1171352216911308</v>
      </c>
      <c r="M75" s="127">
        <v>1.5197233338083684</v>
      </c>
      <c r="N75" s="127">
        <v>0</v>
      </c>
    </row>
    <row r="76" spans="2:51" x14ac:dyDescent="0.3">
      <c r="B76" s="292"/>
      <c r="C76" s="9" t="s">
        <v>179</v>
      </c>
      <c r="D76" s="127">
        <v>1.159751310918727</v>
      </c>
      <c r="E76" s="127">
        <v>1.1223301809275146</v>
      </c>
      <c r="F76" s="128">
        <v>1.0625453171481059</v>
      </c>
      <c r="G76" s="127">
        <v>1.062185306821249</v>
      </c>
      <c r="H76" s="128">
        <v>1.2734961627271006</v>
      </c>
      <c r="I76" s="127">
        <v>1.0788489703266118</v>
      </c>
      <c r="J76" s="127">
        <v>1.452590212688142</v>
      </c>
      <c r="K76" s="127">
        <v>1.3904908358430592</v>
      </c>
      <c r="L76" s="128">
        <v>1.2483727688122372</v>
      </c>
      <c r="M76" s="127">
        <v>1.2334495886821821</v>
      </c>
      <c r="N76" s="127">
        <v>1</v>
      </c>
    </row>
    <row r="77" spans="2:51" x14ac:dyDescent="0.3">
      <c r="B77" s="298"/>
      <c r="C77" s="12" t="s">
        <v>180</v>
      </c>
      <c r="D77" s="131">
        <v>1.2108900852783373</v>
      </c>
      <c r="E77" s="131">
        <v>1.1288701053754888</v>
      </c>
      <c r="F77" s="132">
        <v>1.1060671581161006</v>
      </c>
      <c r="G77" s="131">
        <v>1.2456857135616828</v>
      </c>
      <c r="H77" s="132">
        <v>1.4198038632102861</v>
      </c>
      <c r="I77" s="131">
        <v>1</v>
      </c>
      <c r="J77" s="131">
        <v>1.4940461475679996</v>
      </c>
      <c r="K77" s="131">
        <v>1.2042219452908653</v>
      </c>
      <c r="L77" s="132">
        <v>1.3698323286779159</v>
      </c>
      <c r="M77" s="131">
        <v>1.2318033669607806</v>
      </c>
      <c r="N77" s="131">
        <v>10</v>
      </c>
    </row>
    <row r="78" spans="2:51" x14ac:dyDescent="0.3">
      <c r="B78" s="292" t="s">
        <v>223</v>
      </c>
      <c r="C78" s="9" t="s">
        <v>210</v>
      </c>
      <c r="D78" s="127">
        <v>1.2336703993539144</v>
      </c>
      <c r="E78" s="127">
        <v>1.1218129121849649</v>
      </c>
      <c r="F78" s="128">
        <v>1.3056906079113588</v>
      </c>
      <c r="G78" s="127">
        <v>1.2400633013318871</v>
      </c>
      <c r="H78" s="128">
        <v>1.4838800185820857</v>
      </c>
      <c r="I78" s="127">
        <v>0</v>
      </c>
      <c r="J78" s="127">
        <v>1.1506664529279778</v>
      </c>
      <c r="K78" s="127">
        <v>1</v>
      </c>
      <c r="L78" s="128">
        <v>1</v>
      </c>
      <c r="M78" s="127">
        <v>1.7753592291806857</v>
      </c>
      <c r="N78" s="127">
        <v>1</v>
      </c>
    </row>
    <row r="79" spans="2:51" x14ac:dyDescent="0.3">
      <c r="B79" s="292"/>
      <c r="C79" s="9" t="s">
        <v>211</v>
      </c>
      <c r="D79" s="127">
        <v>1.2426061066494918</v>
      </c>
      <c r="E79" s="127">
        <v>1.1692246786428617</v>
      </c>
      <c r="F79" s="128">
        <v>1.1262388375891141</v>
      </c>
      <c r="G79" s="127">
        <v>1.118489885904967</v>
      </c>
      <c r="H79" s="128">
        <v>1.1921325187271481</v>
      </c>
      <c r="I79" s="127">
        <v>1.1618360474442515</v>
      </c>
      <c r="J79" s="127">
        <v>1.2602594831534752</v>
      </c>
      <c r="K79" s="127">
        <v>1.2334968953518195</v>
      </c>
      <c r="L79" s="128">
        <v>1.0699214876767906</v>
      </c>
      <c r="M79" s="127">
        <v>1.5440537797189897</v>
      </c>
      <c r="N79" s="127">
        <v>1</v>
      </c>
    </row>
    <row r="80" spans="2:51" x14ac:dyDescent="0.3">
      <c r="B80" s="292"/>
      <c r="C80" s="9" t="s">
        <v>212</v>
      </c>
      <c r="D80" s="127">
        <v>1.2010686099474526</v>
      </c>
      <c r="E80" s="127">
        <v>1.1096286548384979</v>
      </c>
      <c r="F80" s="128">
        <v>1.1678107999189613</v>
      </c>
      <c r="G80" s="127">
        <v>1.1605773864441393</v>
      </c>
      <c r="H80" s="128">
        <v>1.253055598680251</v>
      </c>
      <c r="I80" s="127">
        <v>1.1074522170814836</v>
      </c>
      <c r="J80" s="127">
        <v>1.3025888972169424</v>
      </c>
      <c r="K80" s="127">
        <v>1.2419001276478827</v>
      </c>
      <c r="L80" s="128">
        <v>1.1482845767589254</v>
      </c>
      <c r="M80" s="127">
        <v>1.6177487853980541</v>
      </c>
      <c r="N80" s="127">
        <v>0</v>
      </c>
    </row>
    <row r="81" spans="2:14" x14ac:dyDescent="0.3">
      <c r="B81" s="292"/>
      <c r="C81" s="9" t="s">
        <v>213</v>
      </c>
      <c r="D81" s="127">
        <v>1.0891226737007824</v>
      </c>
      <c r="E81" s="127">
        <v>1.0858498858535865</v>
      </c>
      <c r="F81" s="128">
        <v>1.1421145569453943</v>
      </c>
      <c r="G81" s="127">
        <v>1.1363484103890324</v>
      </c>
      <c r="H81" s="128">
        <v>1.2464916788816347</v>
      </c>
      <c r="I81" s="127">
        <v>1.051363221579702</v>
      </c>
      <c r="J81" s="127">
        <v>1.4883793375107224</v>
      </c>
      <c r="K81" s="127">
        <v>1.1240236318326275</v>
      </c>
      <c r="L81" s="128">
        <v>1.135120414447818</v>
      </c>
      <c r="M81" s="127">
        <v>1.3632023740611543</v>
      </c>
      <c r="N81" s="127">
        <v>0</v>
      </c>
    </row>
    <row r="82" spans="2:14" x14ac:dyDescent="0.3">
      <c r="B82" s="292"/>
      <c r="C82" s="9" t="s">
        <v>214</v>
      </c>
      <c r="D82" s="127">
        <v>1.1576805377071813</v>
      </c>
      <c r="E82" s="127">
        <v>1.1424940733673836</v>
      </c>
      <c r="F82" s="128">
        <v>1.064086776226264</v>
      </c>
      <c r="G82" s="127">
        <v>1.0651120740257545</v>
      </c>
      <c r="H82" s="128">
        <v>1.2680166690555748</v>
      </c>
      <c r="I82" s="127">
        <v>1.0829400092405406</v>
      </c>
      <c r="J82" s="127">
        <v>1.424759710164633</v>
      </c>
      <c r="K82" s="127">
        <v>1.6199238255046988</v>
      </c>
      <c r="L82" s="128">
        <v>1.2833698005855625</v>
      </c>
      <c r="M82" s="127">
        <v>1.1961505614071464</v>
      </c>
      <c r="N82" s="127">
        <v>1</v>
      </c>
    </row>
    <row r="83" spans="2:14" x14ac:dyDescent="0.3">
      <c r="B83" s="292"/>
      <c r="C83" s="12" t="s">
        <v>215</v>
      </c>
      <c r="D83" s="131">
        <v>1.306904143131139</v>
      </c>
      <c r="E83" s="131">
        <v>1.19188943249912</v>
      </c>
      <c r="F83" s="132">
        <v>1.0779185203876143</v>
      </c>
      <c r="G83" s="131">
        <v>1.2464183209725712</v>
      </c>
      <c r="H83" s="132">
        <v>1.3844744988839963</v>
      </c>
      <c r="I83" s="131">
        <v>1</v>
      </c>
      <c r="J83" s="131">
        <v>1.4700091761852347</v>
      </c>
      <c r="K83" s="131">
        <v>1.1535121833210502</v>
      </c>
      <c r="L83" s="132">
        <v>1.1684782610727966</v>
      </c>
      <c r="M83" s="131">
        <v>1.2948586691579973</v>
      </c>
      <c r="N83" s="131">
        <v>0</v>
      </c>
    </row>
    <row r="84" spans="2:14" x14ac:dyDescent="0.3">
      <c r="B84" s="292"/>
      <c r="C84" s="9" t="s">
        <v>216</v>
      </c>
      <c r="D84" s="127">
        <v>1</v>
      </c>
      <c r="E84" s="127">
        <v>1</v>
      </c>
      <c r="F84" s="128">
        <v>0</v>
      </c>
      <c r="G84" s="127">
        <v>0</v>
      </c>
      <c r="H84" s="128">
        <v>3</v>
      </c>
      <c r="I84" s="127">
        <v>0</v>
      </c>
      <c r="J84" s="127">
        <v>0</v>
      </c>
      <c r="K84" s="127">
        <v>2</v>
      </c>
      <c r="L84" s="128">
        <v>0</v>
      </c>
      <c r="M84" s="127">
        <v>0</v>
      </c>
      <c r="N84" s="127">
        <v>0</v>
      </c>
    </row>
    <row r="85" spans="2:14" x14ac:dyDescent="0.3">
      <c r="B85" s="292"/>
      <c r="C85" s="9" t="s">
        <v>217</v>
      </c>
      <c r="D85" s="127">
        <v>1.3396629480180393</v>
      </c>
      <c r="E85" s="127">
        <v>1</v>
      </c>
      <c r="F85" s="128">
        <v>1.250772434704444</v>
      </c>
      <c r="G85" s="127">
        <v>1</v>
      </c>
      <c r="H85" s="128">
        <v>2.0177435554067622</v>
      </c>
      <c r="I85" s="127">
        <v>1</v>
      </c>
      <c r="J85" s="127">
        <v>2</v>
      </c>
      <c r="K85" s="127">
        <v>1.4534248602242088</v>
      </c>
      <c r="L85" s="128">
        <v>1</v>
      </c>
      <c r="M85" s="127">
        <v>1.4734089120796194</v>
      </c>
      <c r="N85" s="127">
        <v>0</v>
      </c>
    </row>
    <row r="86" spans="2:14" x14ac:dyDescent="0.3">
      <c r="B86" s="292"/>
      <c r="C86" s="9" t="s">
        <v>218</v>
      </c>
      <c r="D86" s="72">
        <v>1.6082408298671442</v>
      </c>
      <c r="E86" s="72">
        <v>1.1314774932529459</v>
      </c>
      <c r="F86" s="73">
        <v>1.2640226752642505</v>
      </c>
      <c r="G86" s="72">
        <v>1.1756501561789743</v>
      </c>
      <c r="H86" s="73">
        <v>1.9151224716060922</v>
      </c>
      <c r="I86" s="72">
        <v>1</v>
      </c>
      <c r="J86" s="72">
        <v>1.7250693251062743</v>
      </c>
      <c r="K86" s="72">
        <v>1</v>
      </c>
      <c r="L86" s="73">
        <v>2</v>
      </c>
      <c r="M86" s="72">
        <v>2.1781218490938077</v>
      </c>
      <c r="N86" s="72">
        <v>1</v>
      </c>
    </row>
    <row r="87" spans="2:14" x14ac:dyDescent="0.3">
      <c r="B87" s="292"/>
      <c r="C87" s="9" t="s">
        <v>219</v>
      </c>
      <c r="D87" s="72">
        <v>1.2817805087197192</v>
      </c>
      <c r="E87" s="72">
        <v>1.702401942242979</v>
      </c>
      <c r="F87" s="73">
        <v>1.5280964194225684</v>
      </c>
      <c r="G87" s="72">
        <v>1</v>
      </c>
      <c r="H87" s="73">
        <v>1.4829779416049225</v>
      </c>
      <c r="I87" s="72">
        <v>1</v>
      </c>
      <c r="J87" s="72">
        <v>1.9840448744493839</v>
      </c>
      <c r="K87" s="72">
        <v>1.6138344279209893</v>
      </c>
      <c r="L87" s="73">
        <v>1</v>
      </c>
      <c r="M87" s="72">
        <v>2.465151893193632</v>
      </c>
      <c r="N87" s="72">
        <v>0</v>
      </c>
    </row>
    <row r="88" spans="2:14" x14ac:dyDescent="0.3">
      <c r="B88" s="292"/>
      <c r="C88" s="9" t="s">
        <v>220</v>
      </c>
      <c r="D88" s="72">
        <v>1.1775707382440239</v>
      </c>
      <c r="E88" s="72">
        <v>1</v>
      </c>
      <c r="F88" s="73">
        <v>1.0572245529035746</v>
      </c>
      <c r="G88" s="72">
        <v>1.0423199539797863</v>
      </c>
      <c r="H88" s="73">
        <v>1.2987510680302807</v>
      </c>
      <c r="I88" s="72">
        <v>1</v>
      </c>
      <c r="J88" s="72">
        <v>1.5295825313936193</v>
      </c>
      <c r="K88" s="72">
        <v>1</v>
      </c>
      <c r="L88" s="73">
        <v>1</v>
      </c>
      <c r="M88" s="72">
        <v>1.3603007045617925</v>
      </c>
      <c r="N88" s="72">
        <v>1</v>
      </c>
    </row>
    <row r="89" spans="2:14" x14ac:dyDescent="0.3">
      <c r="B89" s="295"/>
      <c r="C89" s="9" t="s">
        <v>221</v>
      </c>
      <c r="D89" s="76">
        <v>1</v>
      </c>
      <c r="E89" s="76">
        <v>1</v>
      </c>
      <c r="F89" s="77">
        <v>1.1711901155918569</v>
      </c>
      <c r="G89" s="76">
        <v>1.2434581079065026</v>
      </c>
      <c r="H89" s="77">
        <v>1.4967088414598275</v>
      </c>
      <c r="I89" s="76">
        <v>1</v>
      </c>
      <c r="J89" s="76">
        <v>1.5228684258409779</v>
      </c>
      <c r="K89" s="76">
        <v>1.4697609975499621</v>
      </c>
      <c r="L89" s="77">
        <v>1.6186937248352338</v>
      </c>
      <c r="M89" s="76">
        <v>1.1514828813322409</v>
      </c>
      <c r="N89" s="76">
        <v>10</v>
      </c>
    </row>
    <row r="90" spans="2:14" ht="16.5" customHeight="1" x14ac:dyDescent="0.3">
      <c r="B90" s="291" t="s">
        <v>222</v>
      </c>
      <c r="C90" s="13" t="s">
        <v>226</v>
      </c>
      <c r="D90" s="74">
        <v>1.3693515062580641</v>
      </c>
      <c r="E90" s="74">
        <v>1.2054947748440814</v>
      </c>
      <c r="F90" s="74">
        <v>1.1477459770723095</v>
      </c>
      <c r="G90" s="74">
        <v>1.3128993046137205</v>
      </c>
      <c r="H90" s="74">
        <v>1.30357330443464</v>
      </c>
      <c r="I90" s="74">
        <v>1.0740002906204276</v>
      </c>
      <c r="J90" s="74">
        <v>1.294770345436191</v>
      </c>
      <c r="K90" s="74">
        <v>1.1936916149309567</v>
      </c>
      <c r="L90" s="74">
        <v>1.2368814009459961</v>
      </c>
      <c r="M90" s="74">
        <v>1.5114401691176151</v>
      </c>
      <c r="N90" s="74">
        <v>1</v>
      </c>
    </row>
    <row r="91" spans="2:14" x14ac:dyDescent="0.3">
      <c r="B91" s="294"/>
      <c r="C91" s="9" t="s">
        <v>227</v>
      </c>
      <c r="D91" s="72">
        <v>1.149591825890468</v>
      </c>
      <c r="E91" s="72">
        <v>1.1356399975981013</v>
      </c>
      <c r="F91" s="72">
        <v>1.1530055167718878</v>
      </c>
      <c r="G91" s="72">
        <v>1.0973771172842028</v>
      </c>
      <c r="H91" s="72">
        <v>1.3060618261331125</v>
      </c>
      <c r="I91" s="72">
        <v>1.1574194519123826</v>
      </c>
      <c r="J91" s="72">
        <v>1.4326323785127926</v>
      </c>
      <c r="K91" s="72">
        <v>1.2519711070514941</v>
      </c>
      <c r="L91" s="72">
        <v>1.2613880016759778</v>
      </c>
      <c r="M91" s="72">
        <v>1.3931651410427148</v>
      </c>
      <c r="N91" s="72">
        <v>1</v>
      </c>
    </row>
    <row r="92" spans="2:14" x14ac:dyDescent="0.3">
      <c r="B92" s="292"/>
      <c r="C92" s="9" t="s">
        <v>228</v>
      </c>
      <c r="D92" s="72">
        <v>1.1913506089320676</v>
      </c>
      <c r="E92" s="72">
        <v>1.076764325995764</v>
      </c>
      <c r="F92" s="72">
        <v>1.1536540736814722</v>
      </c>
      <c r="G92" s="72">
        <v>1.0899307326192182</v>
      </c>
      <c r="H92" s="72">
        <v>1.3307058767235886</v>
      </c>
      <c r="I92" s="72">
        <v>1.0880839930712116</v>
      </c>
      <c r="J92" s="72">
        <v>1.40419810238599</v>
      </c>
      <c r="K92" s="72">
        <v>1.1348799396035147</v>
      </c>
      <c r="L92" s="72">
        <v>1.0894383326278276</v>
      </c>
      <c r="M92" s="72">
        <v>1.4746900939159202</v>
      </c>
      <c r="N92" s="72">
        <v>1</v>
      </c>
    </row>
    <row r="93" spans="2:14" x14ac:dyDescent="0.3">
      <c r="B93" s="295"/>
      <c r="C93" s="12" t="s">
        <v>229</v>
      </c>
      <c r="D93" s="76">
        <v>1.1000692537452748</v>
      </c>
      <c r="E93" s="76">
        <v>1.114084540670182</v>
      </c>
      <c r="F93" s="76">
        <v>1.1145715151704525</v>
      </c>
      <c r="G93" s="76">
        <v>1.0812022972585051</v>
      </c>
      <c r="H93" s="76">
        <v>1.2733312859847656</v>
      </c>
      <c r="I93" s="76">
        <v>1.0321512548103156</v>
      </c>
      <c r="J93" s="76">
        <v>1.5082774611744945</v>
      </c>
      <c r="K93" s="76">
        <v>1.360684744792553</v>
      </c>
      <c r="L93" s="76">
        <v>1.1482404675531088</v>
      </c>
      <c r="M93" s="76">
        <v>1.5068894042020651</v>
      </c>
      <c r="N93" s="76">
        <v>4.4358318459523893</v>
      </c>
    </row>
    <row r="94" spans="2:14" x14ac:dyDescent="0.3">
      <c r="B94" s="296" t="s">
        <v>199</v>
      </c>
      <c r="C94" s="13" t="s">
        <v>192</v>
      </c>
      <c r="D94" s="74">
        <v>1.2250604579341688</v>
      </c>
      <c r="E94" s="74">
        <v>1.1298718778682091</v>
      </c>
      <c r="F94" s="74">
        <v>1.169617031352872</v>
      </c>
      <c r="G94" s="74">
        <v>1.1476152534006401</v>
      </c>
      <c r="H94" s="74">
        <v>1.2794351804512356</v>
      </c>
      <c r="I94" s="74">
        <v>1.0757006689123434</v>
      </c>
      <c r="J94" s="74">
        <v>1.3759619601310358</v>
      </c>
      <c r="K94" s="74">
        <v>1.2246386123034236</v>
      </c>
      <c r="L94" s="74">
        <v>1.1657113446392515</v>
      </c>
      <c r="M94" s="74">
        <v>1.483410644220253</v>
      </c>
      <c r="N94" s="74">
        <v>2.9067997871836222</v>
      </c>
    </row>
    <row r="95" spans="2:14" ht="16.5" customHeight="1" x14ac:dyDescent="0.3">
      <c r="B95" s="292"/>
      <c r="C95" s="9" t="s">
        <v>200</v>
      </c>
      <c r="D95" s="72">
        <v>1.238044451119817</v>
      </c>
      <c r="E95" s="72">
        <v>1.1106131626286686</v>
      </c>
      <c r="F95" s="72">
        <v>1.1033810028970561</v>
      </c>
      <c r="G95" s="72">
        <v>1.0525142101101737</v>
      </c>
      <c r="H95" s="72">
        <v>1.3909290874437967</v>
      </c>
      <c r="I95" s="72">
        <v>1.4396571188390548</v>
      </c>
      <c r="J95" s="72">
        <v>1.3504057894036665</v>
      </c>
      <c r="K95" s="72">
        <v>1.1850007162447806</v>
      </c>
      <c r="L95" s="72">
        <v>1.1641030836742616</v>
      </c>
      <c r="M95" s="72">
        <v>1.5536380348635168</v>
      </c>
      <c r="N95" s="72">
        <v>1</v>
      </c>
    </row>
    <row r="96" spans="2:14" ht="16.5" customHeight="1" x14ac:dyDescent="0.3">
      <c r="B96" s="292"/>
      <c r="C96" s="9" t="s">
        <v>201</v>
      </c>
      <c r="D96" s="72">
        <v>1.0807129015214973</v>
      </c>
      <c r="E96" s="72">
        <v>1.1568808466210474</v>
      </c>
      <c r="F96" s="72">
        <v>1.0754025871997119</v>
      </c>
      <c r="G96" s="72">
        <v>1.0555128777456659</v>
      </c>
      <c r="H96" s="72">
        <v>1.4424607411573582</v>
      </c>
      <c r="I96" s="72">
        <v>1.0843389634315703</v>
      </c>
      <c r="J96" s="72">
        <v>1.5918894462532858</v>
      </c>
      <c r="K96" s="72">
        <v>1.096045822356984</v>
      </c>
      <c r="L96" s="72">
        <v>1.1861112500990765</v>
      </c>
      <c r="M96" s="72">
        <v>1.1412179003883294</v>
      </c>
      <c r="N96" s="72">
        <v>0</v>
      </c>
    </row>
    <row r="97" spans="2:51" ht="16.5" customHeight="1" x14ac:dyDescent="0.3">
      <c r="B97" s="292"/>
      <c r="C97" s="9" t="s">
        <v>202</v>
      </c>
      <c r="D97" s="72">
        <v>1.2377847853089894</v>
      </c>
      <c r="E97" s="72">
        <v>1.1509864645360717</v>
      </c>
      <c r="F97" s="72">
        <v>1.1670911402096054</v>
      </c>
      <c r="G97" s="72">
        <v>1.2079402929284937</v>
      </c>
      <c r="H97" s="72">
        <v>1.5167887446985047</v>
      </c>
      <c r="I97" s="72">
        <v>1.1358270896235476</v>
      </c>
      <c r="J97" s="72">
        <v>1.5899443806213289</v>
      </c>
      <c r="K97" s="72">
        <v>1.2168675581664721</v>
      </c>
      <c r="L97" s="72">
        <v>1</v>
      </c>
      <c r="M97" s="72">
        <v>1.6905920630080855</v>
      </c>
      <c r="N97" s="72">
        <v>1</v>
      </c>
    </row>
    <row r="98" spans="2:51" x14ac:dyDescent="0.3">
      <c r="B98" s="295"/>
      <c r="C98" s="12" t="s">
        <v>203</v>
      </c>
      <c r="D98" s="76">
        <v>1.1795643291651063</v>
      </c>
      <c r="E98" s="76">
        <v>1.1290358163874381</v>
      </c>
      <c r="F98" s="76">
        <v>1.0892366421685318</v>
      </c>
      <c r="G98" s="76">
        <v>1.1478405018885598</v>
      </c>
      <c r="H98" s="76">
        <v>1.2162321377012446</v>
      </c>
      <c r="I98" s="76">
        <v>1.0783972093482925</v>
      </c>
      <c r="J98" s="76">
        <v>1.4284818490269524</v>
      </c>
      <c r="K98" s="76">
        <v>1.3588227642769479</v>
      </c>
      <c r="L98" s="76">
        <v>1.2608840075419341</v>
      </c>
      <c r="M98" s="76">
        <v>1.4656439199882683</v>
      </c>
      <c r="N98" s="76">
        <v>1</v>
      </c>
    </row>
    <row r="99" spans="2:51" x14ac:dyDescent="0.3">
      <c r="B99" s="291" t="s">
        <v>204</v>
      </c>
      <c r="C99" s="13" t="s">
        <v>192</v>
      </c>
      <c r="D99" s="74">
        <v>1.2250604579341688</v>
      </c>
      <c r="E99" s="74">
        <v>1.1298718778682091</v>
      </c>
      <c r="F99" s="74">
        <v>1.169617031352872</v>
      </c>
      <c r="G99" s="74">
        <v>1.1476152534006401</v>
      </c>
      <c r="H99" s="74">
        <v>1.2794351804512356</v>
      </c>
      <c r="I99" s="74">
        <v>1.0757006689123434</v>
      </c>
      <c r="J99" s="74">
        <v>1.3759619601310358</v>
      </c>
      <c r="K99" s="74">
        <v>1.2246386123034236</v>
      </c>
      <c r="L99" s="74">
        <v>1.1657113446392515</v>
      </c>
      <c r="M99" s="74">
        <v>1.483410644220253</v>
      </c>
      <c r="N99" s="74">
        <v>2.9067997871836222</v>
      </c>
    </row>
    <row r="100" spans="2:51" x14ac:dyDescent="0.3">
      <c r="B100" s="295"/>
      <c r="C100" s="12" t="s">
        <v>193</v>
      </c>
      <c r="D100" s="76">
        <v>1.172395661059296</v>
      </c>
      <c r="E100" s="76">
        <v>1.138487966003958</v>
      </c>
      <c r="F100" s="76">
        <v>1.1048765958221345</v>
      </c>
      <c r="G100" s="76">
        <v>1.131666176856827</v>
      </c>
      <c r="H100" s="76">
        <v>1.3344368355984282</v>
      </c>
      <c r="I100" s="76">
        <v>1.1235834639175799</v>
      </c>
      <c r="J100" s="76">
        <v>1.4806328948152863</v>
      </c>
      <c r="K100" s="76">
        <v>1.2671710478806086</v>
      </c>
      <c r="L100" s="76">
        <v>1.182634808693924</v>
      </c>
      <c r="M100" s="76">
        <v>1.4558739465052828</v>
      </c>
      <c r="N100" s="76">
        <v>1</v>
      </c>
    </row>
    <row r="101" spans="2:51" x14ac:dyDescent="0.3">
      <c r="B101" s="291" t="s">
        <v>209</v>
      </c>
      <c r="C101" s="13" t="s">
        <v>205</v>
      </c>
      <c r="D101" s="74">
        <v>1.1106144839183087</v>
      </c>
      <c r="E101" s="74">
        <v>1.0504444330293587</v>
      </c>
      <c r="F101" s="74">
        <v>1.1152271306886765</v>
      </c>
      <c r="G101" s="74">
        <v>1.0841784208439544</v>
      </c>
      <c r="H101" s="74">
        <v>1.2502953578882723</v>
      </c>
      <c r="I101" s="74">
        <v>1</v>
      </c>
      <c r="J101" s="74">
        <v>1.4092284234285011</v>
      </c>
      <c r="K101" s="74">
        <v>1.1628881681764884</v>
      </c>
      <c r="L101" s="74">
        <v>1</v>
      </c>
      <c r="M101" s="74">
        <v>1.4184389029583313</v>
      </c>
      <c r="N101" s="74">
        <v>1</v>
      </c>
    </row>
    <row r="102" spans="2:51" x14ac:dyDescent="0.3">
      <c r="B102" s="292"/>
      <c r="C102" s="9" t="s">
        <v>206</v>
      </c>
      <c r="D102" s="72">
        <v>1.4502797000856142</v>
      </c>
      <c r="E102" s="72">
        <v>1.2216010448819159</v>
      </c>
      <c r="F102" s="72">
        <v>1.1218467216175074</v>
      </c>
      <c r="G102" s="72">
        <v>1.2324868319316442</v>
      </c>
      <c r="H102" s="72">
        <v>1.2991611716332794</v>
      </c>
      <c r="I102" s="72">
        <v>1.1813480896550228</v>
      </c>
      <c r="J102" s="72">
        <v>1.3172905864667503</v>
      </c>
      <c r="K102" s="72">
        <v>1.0609116027146377</v>
      </c>
      <c r="L102" s="72">
        <v>1.3070060433640314</v>
      </c>
      <c r="M102" s="72">
        <v>1.3004007541557439</v>
      </c>
      <c r="N102" s="72">
        <v>1</v>
      </c>
    </row>
    <row r="103" spans="2:51" x14ac:dyDescent="0.3">
      <c r="B103" s="292"/>
      <c r="C103" s="9" t="s">
        <v>207</v>
      </c>
      <c r="D103" s="72">
        <v>1.240372576144156</v>
      </c>
      <c r="E103" s="72">
        <v>1.1072829668037478</v>
      </c>
      <c r="F103" s="72">
        <v>1.1526445381964761</v>
      </c>
      <c r="G103" s="72">
        <v>1.150981042253219</v>
      </c>
      <c r="H103" s="72">
        <v>1.3085441396473432</v>
      </c>
      <c r="I103" s="72">
        <v>1.0285745591870394</v>
      </c>
      <c r="J103" s="72">
        <v>1.4235209318111732</v>
      </c>
      <c r="K103" s="72">
        <v>1.16844382999212</v>
      </c>
      <c r="L103" s="72">
        <v>1.1982646128960039</v>
      </c>
      <c r="M103" s="72">
        <v>1.667778445462113</v>
      </c>
      <c r="N103" s="72">
        <v>0</v>
      </c>
    </row>
    <row r="104" spans="2:51" x14ac:dyDescent="0.3">
      <c r="B104" s="293"/>
      <c r="C104" s="25" t="s">
        <v>208</v>
      </c>
      <c r="D104" s="78">
        <v>1.1398340320993658</v>
      </c>
      <c r="E104" s="78">
        <v>1.151235949787546</v>
      </c>
      <c r="F104" s="78">
        <v>1.148975979468758</v>
      </c>
      <c r="G104" s="78">
        <v>1.1108505371154453</v>
      </c>
      <c r="H104" s="78">
        <v>1.3208969224494325</v>
      </c>
      <c r="I104" s="78">
        <v>1.1857942336192333</v>
      </c>
      <c r="J104" s="78">
        <v>1.4754424032475428</v>
      </c>
      <c r="K104" s="78">
        <v>1.3868284304790257</v>
      </c>
      <c r="L104" s="78">
        <v>1.1675247923529177</v>
      </c>
      <c r="M104" s="78">
        <v>1.4510372162376848</v>
      </c>
      <c r="N104" s="78">
        <v>3.5637300255998396</v>
      </c>
    </row>
    <row r="105" spans="2:51" x14ac:dyDescent="0.3">
      <c r="B105" s="60"/>
      <c r="C105" s="9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</row>
    <row r="106" spans="2:51" x14ac:dyDescent="0.3">
      <c r="B106" s="60"/>
      <c r="C106" s="9"/>
      <c r="D106" s="58"/>
      <c r="E106" s="58"/>
      <c r="F106" s="65"/>
      <c r="G106" s="58"/>
      <c r="H106" s="65"/>
      <c r="I106" s="58"/>
      <c r="J106" s="58"/>
      <c r="K106" s="58"/>
      <c r="L106" s="65"/>
      <c r="M106" s="58"/>
      <c r="N106" s="58"/>
    </row>
    <row r="107" spans="2:51" ht="18.75" customHeight="1" x14ac:dyDescent="0.3">
      <c r="B107" s="1" t="s">
        <v>135</v>
      </c>
      <c r="F107" s="304"/>
      <c r="G107" s="304"/>
      <c r="H107" s="304"/>
      <c r="I107" s="304"/>
      <c r="J107" s="304"/>
      <c r="K107" s="304"/>
      <c r="L107" s="304"/>
      <c r="M107" s="304"/>
      <c r="N107" s="304"/>
      <c r="O107" s="304"/>
      <c r="P107" s="304"/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  <c r="AA107" s="304"/>
      <c r="AB107" s="304"/>
      <c r="AC107" s="304"/>
      <c r="AD107" s="304"/>
      <c r="AE107" s="304"/>
      <c r="AF107" s="304"/>
      <c r="AG107" s="304"/>
      <c r="AH107" s="304"/>
      <c r="AI107" s="304"/>
      <c r="AJ107" s="304"/>
      <c r="AK107" s="304"/>
      <c r="AL107" s="304"/>
      <c r="AM107" s="304"/>
      <c r="AN107" s="304"/>
      <c r="AO107" s="304"/>
      <c r="AP107" s="304"/>
      <c r="AQ107" s="304"/>
      <c r="AR107" s="304"/>
      <c r="AS107" s="304"/>
      <c r="AT107" s="304"/>
      <c r="AU107" s="304"/>
      <c r="AV107" s="304"/>
      <c r="AW107" s="304"/>
      <c r="AX107" s="304"/>
      <c r="AY107" s="304"/>
    </row>
    <row r="108" spans="2:51" ht="13.5" customHeight="1" x14ac:dyDescent="0.3">
      <c r="M108" s="30"/>
      <c r="N108" s="30" t="s">
        <v>225</v>
      </c>
    </row>
    <row r="109" spans="2:51" ht="28.5" customHeight="1" x14ac:dyDescent="0.3">
      <c r="B109" s="305"/>
      <c r="C109" s="306"/>
      <c r="D109" s="226" t="s">
        <v>35</v>
      </c>
      <c r="E109" s="226" t="s">
        <v>280</v>
      </c>
      <c r="F109" s="226" t="s">
        <v>282</v>
      </c>
      <c r="G109" s="226" t="s">
        <v>16</v>
      </c>
      <c r="H109" s="226" t="s">
        <v>14</v>
      </c>
      <c r="I109" s="226" t="s">
        <v>15</v>
      </c>
      <c r="J109" s="226" t="s">
        <v>283</v>
      </c>
      <c r="K109" s="226" t="s">
        <v>284</v>
      </c>
      <c r="L109" s="226" t="s">
        <v>285</v>
      </c>
      <c r="M109" s="227" t="s">
        <v>297</v>
      </c>
      <c r="N109" s="227" t="s">
        <v>12</v>
      </c>
    </row>
    <row r="110" spans="2:51" x14ac:dyDescent="0.3">
      <c r="B110" s="292" t="s">
        <v>20</v>
      </c>
      <c r="C110" s="292"/>
      <c r="D110" s="86">
        <v>24.958731263621633</v>
      </c>
      <c r="E110" s="86">
        <v>21.005414069848982</v>
      </c>
      <c r="F110" s="88">
        <v>35.392544638155513</v>
      </c>
      <c r="G110" s="86">
        <v>20.556240655994504</v>
      </c>
      <c r="H110" s="88">
        <v>10.295856846211171</v>
      </c>
      <c r="I110" s="86">
        <v>9.2652122535674</v>
      </c>
      <c r="J110" s="86">
        <v>7.8678070601806684</v>
      </c>
      <c r="K110" s="86">
        <v>11.562938916779855</v>
      </c>
      <c r="L110" s="88">
        <v>11.041686293645022</v>
      </c>
      <c r="M110" s="86">
        <v>9.1669564157076842</v>
      </c>
      <c r="N110" s="86">
        <v>10.115606091548178</v>
      </c>
    </row>
    <row r="111" spans="2:51" x14ac:dyDescent="0.3">
      <c r="B111" s="296" t="s">
        <v>5</v>
      </c>
      <c r="C111" s="13" t="s">
        <v>0</v>
      </c>
      <c r="D111" s="84">
        <v>25.422620037207082</v>
      </c>
      <c r="E111" s="84">
        <v>21.384273276922624</v>
      </c>
      <c r="F111" s="89">
        <v>34.533823447047133</v>
      </c>
      <c r="G111" s="84">
        <v>20.425591791916656</v>
      </c>
      <c r="H111" s="89">
        <v>10.099465896257257</v>
      </c>
      <c r="I111" s="84">
        <v>9.0227434264940563</v>
      </c>
      <c r="J111" s="84">
        <v>7.1227598097527673</v>
      </c>
      <c r="K111" s="84">
        <v>10.249648636252951</v>
      </c>
      <c r="L111" s="89">
        <v>9.8448856237648901</v>
      </c>
      <c r="M111" s="84">
        <v>9.7123865709698585</v>
      </c>
      <c r="N111" s="84">
        <v>9.0952658996290694</v>
      </c>
    </row>
    <row r="112" spans="2:51" x14ac:dyDescent="0.3">
      <c r="B112" s="295"/>
      <c r="C112" s="12" t="s">
        <v>1</v>
      </c>
      <c r="D112" s="90">
        <v>21.399763232913578</v>
      </c>
      <c r="E112" s="90">
        <v>18.012357148042945</v>
      </c>
      <c r="F112" s="90">
        <v>39.650072131162808</v>
      </c>
      <c r="G112" s="90">
        <v>21.662364982346354</v>
      </c>
      <c r="H112" s="90">
        <v>11.489049181356842</v>
      </c>
      <c r="I112" s="90">
        <v>13.840538513303922</v>
      </c>
      <c r="J112" s="90">
        <v>10.739650602602392</v>
      </c>
      <c r="K112" s="90">
        <v>20.861061696595879</v>
      </c>
      <c r="L112" s="90">
        <v>19.935988255518136</v>
      </c>
      <c r="M112" s="90">
        <v>6.4062974658126954</v>
      </c>
      <c r="N112" s="90">
        <v>11.642025014618788</v>
      </c>
    </row>
    <row r="113" spans="2:14" x14ac:dyDescent="0.3">
      <c r="B113" s="296" t="s">
        <v>4</v>
      </c>
      <c r="C113" s="9" t="s">
        <v>175</v>
      </c>
      <c r="D113" s="86">
        <v>25.925232001946934</v>
      </c>
      <c r="E113" s="86">
        <v>12.628538878701697</v>
      </c>
      <c r="F113" s="88">
        <v>14.844330296977242</v>
      </c>
      <c r="G113" s="86">
        <v>22.139669537922092</v>
      </c>
      <c r="H113" s="88">
        <v>14.292972443584981</v>
      </c>
      <c r="I113" s="86">
        <v>0</v>
      </c>
      <c r="J113" s="86">
        <v>4.3609343857556233</v>
      </c>
      <c r="K113" s="86">
        <v>6.4216960537329921</v>
      </c>
      <c r="L113" s="88">
        <v>3.482828028605629</v>
      </c>
      <c r="M113" s="86">
        <v>6.1398790925926949</v>
      </c>
      <c r="N113" s="86">
        <v>26.000000000000004</v>
      </c>
    </row>
    <row r="114" spans="2:14" x14ac:dyDescent="0.3">
      <c r="B114" s="292"/>
      <c r="C114" s="9" t="s">
        <v>176</v>
      </c>
      <c r="D114" s="86">
        <v>16.650058788542626</v>
      </c>
      <c r="E114" s="86">
        <v>17.856773012554957</v>
      </c>
      <c r="F114" s="88">
        <v>27.438907886483392</v>
      </c>
      <c r="G114" s="86">
        <v>12.502037272126021</v>
      </c>
      <c r="H114" s="88">
        <v>8.6615394475884404</v>
      </c>
      <c r="I114" s="86">
        <v>8.5839681980640936</v>
      </c>
      <c r="J114" s="86">
        <v>8.5333554625638133</v>
      </c>
      <c r="K114" s="86">
        <v>10.43053740783866</v>
      </c>
      <c r="L114" s="88">
        <v>9.5499075861048954</v>
      </c>
      <c r="M114" s="86">
        <v>7.181546069970886</v>
      </c>
      <c r="N114" s="86">
        <v>4</v>
      </c>
    </row>
    <row r="115" spans="2:14" x14ac:dyDescent="0.3">
      <c r="B115" s="292"/>
      <c r="C115" s="9" t="s">
        <v>177</v>
      </c>
      <c r="D115" s="86">
        <v>28.042849019338522</v>
      </c>
      <c r="E115" s="86">
        <v>23.376534393010139</v>
      </c>
      <c r="F115" s="88">
        <v>37.370039428699073</v>
      </c>
      <c r="G115" s="86">
        <v>17.399214736122456</v>
      </c>
      <c r="H115" s="88">
        <v>9.3421054360213969</v>
      </c>
      <c r="I115" s="86">
        <v>10.707714768424971</v>
      </c>
      <c r="J115" s="86">
        <v>6.6972157237200314</v>
      </c>
      <c r="K115" s="86">
        <v>13.045030921881654</v>
      </c>
      <c r="L115" s="88">
        <v>8.9503542239611278</v>
      </c>
      <c r="M115" s="86">
        <v>9.66155667574826</v>
      </c>
      <c r="N115" s="86">
        <v>7.5</v>
      </c>
    </row>
    <row r="116" spans="2:14" x14ac:dyDescent="0.3">
      <c r="B116" s="292"/>
      <c r="C116" s="9" t="s">
        <v>178</v>
      </c>
      <c r="D116" s="86">
        <v>28.421705564677016</v>
      </c>
      <c r="E116" s="86">
        <v>23.66058534169602</v>
      </c>
      <c r="F116" s="88">
        <v>36.631717611762092</v>
      </c>
      <c r="G116" s="86">
        <v>19.862151952292759</v>
      </c>
      <c r="H116" s="88">
        <v>10.055497476060085</v>
      </c>
      <c r="I116" s="86">
        <v>7.9315922239559278</v>
      </c>
      <c r="J116" s="86">
        <v>7.9396924080200213</v>
      </c>
      <c r="K116" s="86">
        <v>10.183029501177931</v>
      </c>
      <c r="L116" s="88">
        <v>11.434836604775212</v>
      </c>
      <c r="M116" s="86">
        <v>9.6212190512491595</v>
      </c>
      <c r="N116" s="86">
        <v>0</v>
      </c>
    </row>
    <row r="117" spans="2:14" x14ac:dyDescent="0.3">
      <c r="B117" s="292"/>
      <c r="C117" s="9" t="s">
        <v>179</v>
      </c>
      <c r="D117" s="86">
        <v>29.679607764494918</v>
      </c>
      <c r="E117" s="86">
        <v>23.941339740473335</v>
      </c>
      <c r="F117" s="88">
        <v>33.556321776670529</v>
      </c>
      <c r="G117" s="86">
        <v>21.935138385089047</v>
      </c>
      <c r="H117" s="88">
        <v>11.259727957308908</v>
      </c>
      <c r="I117" s="86">
        <v>9.7754158847151409</v>
      </c>
      <c r="J117" s="86">
        <v>7.7562141983298973</v>
      </c>
      <c r="K117" s="86">
        <v>13.164640045280109</v>
      </c>
      <c r="L117" s="88">
        <v>12.210697985372946</v>
      </c>
      <c r="M117" s="86">
        <v>13.667108312878826</v>
      </c>
      <c r="N117" s="86">
        <v>11.199664078581401</v>
      </c>
    </row>
    <row r="118" spans="2:14" x14ac:dyDescent="0.3">
      <c r="B118" s="298"/>
      <c r="C118" s="12" t="s">
        <v>180</v>
      </c>
      <c r="D118" s="90">
        <v>23.933734407759957</v>
      </c>
      <c r="E118" s="90">
        <v>18.560067693078178</v>
      </c>
      <c r="F118" s="91">
        <v>43.129644580045749</v>
      </c>
      <c r="G118" s="90">
        <v>34.706644626016477</v>
      </c>
      <c r="H118" s="91">
        <v>11.975841805194253</v>
      </c>
      <c r="I118" s="90">
        <v>7.7021953587829444</v>
      </c>
      <c r="J118" s="90">
        <v>8.8330194840639891</v>
      </c>
      <c r="K118" s="90">
        <v>13.965914259423334</v>
      </c>
      <c r="L118" s="91">
        <v>21.314552108798743</v>
      </c>
      <c r="M118" s="90">
        <v>6.3198631762888864</v>
      </c>
      <c r="N118" s="90">
        <v>1.7</v>
      </c>
    </row>
    <row r="119" spans="2:14" x14ac:dyDescent="0.3">
      <c r="B119" s="292" t="s">
        <v>223</v>
      </c>
      <c r="C119" s="9" t="s">
        <v>210</v>
      </c>
      <c r="D119" s="86">
        <v>26.540921794619639</v>
      </c>
      <c r="E119" s="86">
        <v>12.535923744316866</v>
      </c>
      <c r="F119" s="88">
        <v>14.844330296977242</v>
      </c>
      <c r="G119" s="86">
        <v>22.139669537922092</v>
      </c>
      <c r="H119" s="88">
        <v>14.672790733552777</v>
      </c>
      <c r="I119" s="86">
        <v>0</v>
      </c>
      <c r="J119" s="86">
        <v>4.3609343857556233</v>
      </c>
      <c r="K119" s="86">
        <v>6.2459260339527702</v>
      </c>
      <c r="L119" s="88">
        <v>3.482828028605629</v>
      </c>
      <c r="M119" s="86">
        <v>6.1398790925926949</v>
      </c>
      <c r="N119" s="86">
        <v>26.000000000000004</v>
      </c>
    </row>
    <row r="120" spans="2:14" x14ac:dyDescent="0.3">
      <c r="B120" s="292"/>
      <c r="C120" s="9" t="s">
        <v>211</v>
      </c>
      <c r="D120" s="86">
        <v>16.78648295608571</v>
      </c>
      <c r="E120" s="86">
        <v>17.884807838067694</v>
      </c>
      <c r="F120" s="88">
        <v>27.813007002410817</v>
      </c>
      <c r="G120" s="86">
        <v>12.556775070181075</v>
      </c>
      <c r="H120" s="88">
        <v>7.7499446821747613</v>
      </c>
      <c r="I120" s="86">
        <v>8.1850089547173148</v>
      </c>
      <c r="J120" s="86">
        <v>6.6861288835346331</v>
      </c>
      <c r="K120" s="86">
        <v>7.4314265769386409</v>
      </c>
      <c r="L120" s="88">
        <v>7.9936155565539186</v>
      </c>
      <c r="M120" s="86">
        <v>7.3390197983266869</v>
      </c>
      <c r="N120" s="86">
        <v>4</v>
      </c>
    </row>
    <row r="121" spans="2:14" x14ac:dyDescent="0.3">
      <c r="B121" s="292"/>
      <c r="C121" s="9" t="s">
        <v>212</v>
      </c>
      <c r="D121" s="86">
        <v>28.977987179192965</v>
      </c>
      <c r="E121" s="86">
        <v>24.105487678228766</v>
      </c>
      <c r="F121" s="88">
        <v>37.331774136302293</v>
      </c>
      <c r="G121" s="86">
        <v>17.277202759352136</v>
      </c>
      <c r="H121" s="88">
        <v>9.4102657679495163</v>
      </c>
      <c r="I121" s="86">
        <v>10.421946094865326</v>
      </c>
      <c r="J121" s="86">
        <v>6.427834515235598</v>
      </c>
      <c r="K121" s="86">
        <v>13.262597779810582</v>
      </c>
      <c r="L121" s="88">
        <v>8.8369765398631639</v>
      </c>
      <c r="M121" s="86">
        <v>10.036105769394835</v>
      </c>
      <c r="N121" s="86">
        <v>0</v>
      </c>
    </row>
    <row r="122" spans="2:14" x14ac:dyDescent="0.3">
      <c r="B122" s="292"/>
      <c r="C122" s="9" t="s">
        <v>213</v>
      </c>
      <c r="D122" s="86">
        <v>27.733612990095981</v>
      </c>
      <c r="E122" s="86">
        <v>24.001852020298955</v>
      </c>
      <c r="F122" s="88">
        <v>35.389378519403493</v>
      </c>
      <c r="G122" s="86">
        <v>19.566978963655341</v>
      </c>
      <c r="H122" s="88">
        <v>10.006721888653962</v>
      </c>
      <c r="I122" s="86">
        <v>7.5426930090865909</v>
      </c>
      <c r="J122" s="86">
        <v>7.5468367751013785</v>
      </c>
      <c r="K122" s="86">
        <v>9.5652584662972568</v>
      </c>
      <c r="L122" s="88">
        <v>11.559789383052149</v>
      </c>
      <c r="M122" s="86">
        <v>9.555134319668257</v>
      </c>
      <c r="N122" s="86">
        <v>0</v>
      </c>
    </row>
    <row r="123" spans="2:14" x14ac:dyDescent="0.3">
      <c r="B123" s="292"/>
      <c r="C123" s="9" t="s">
        <v>214</v>
      </c>
      <c r="D123" s="86">
        <v>27.922705523034988</v>
      </c>
      <c r="E123" s="86">
        <v>22.145252546191433</v>
      </c>
      <c r="F123" s="88">
        <v>30.241086387727684</v>
      </c>
      <c r="G123" s="86">
        <v>20.872862906532646</v>
      </c>
      <c r="H123" s="88">
        <v>10.98109240365541</v>
      </c>
      <c r="I123" s="86">
        <v>9.9026872501195644</v>
      </c>
      <c r="J123" s="86">
        <v>7.1473545119558652</v>
      </c>
      <c r="K123" s="86">
        <v>14.169597729922261</v>
      </c>
      <c r="L123" s="88">
        <v>11.277211814362349</v>
      </c>
      <c r="M123" s="86">
        <v>15.519029868857064</v>
      </c>
      <c r="N123" s="86">
        <v>4.8588155964889124</v>
      </c>
    </row>
    <row r="124" spans="2:14" x14ac:dyDescent="0.3">
      <c r="B124" s="292"/>
      <c r="C124" s="12" t="s">
        <v>215</v>
      </c>
      <c r="D124" s="90">
        <v>31.216493150620401</v>
      </c>
      <c r="E124" s="90">
        <v>22.376180774516612</v>
      </c>
      <c r="F124" s="91">
        <v>45.598799005488274</v>
      </c>
      <c r="G124" s="90">
        <v>39.933036478812518</v>
      </c>
      <c r="H124" s="91">
        <v>13.427793153500104</v>
      </c>
      <c r="I124" s="90">
        <v>7.6848495684027744</v>
      </c>
      <c r="J124" s="90">
        <v>9.0742356306098255</v>
      </c>
      <c r="K124" s="90">
        <v>9.9552314093745053</v>
      </c>
      <c r="L124" s="91">
        <v>18.967708698021891</v>
      </c>
      <c r="M124" s="90">
        <v>7.6138780993049275</v>
      </c>
      <c r="N124" s="90">
        <v>0</v>
      </c>
    </row>
    <row r="125" spans="2:14" x14ac:dyDescent="0.3">
      <c r="B125" s="292"/>
      <c r="C125" s="9" t="s">
        <v>216</v>
      </c>
      <c r="D125" s="86">
        <v>3.6</v>
      </c>
      <c r="E125" s="86">
        <v>14.800000000000002</v>
      </c>
      <c r="F125" s="88">
        <v>0</v>
      </c>
      <c r="G125" s="86">
        <v>0</v>
      </c>
      <c r="H125" s="88">
        <v>5</v>
      </c>
      <c r="I125" s="86">
        <v>0</v>
      </c>
      <c r="J125" s="86">
        <v>0</v>
      </c>
      <c r="K125" s="86">
        <v>10</v>
      </c>
      <c r="L125" s="88">
        <v>0</v>
      </c>
      <c r="M125" s="86">
        <v>0</v>
      </c>
      <c r="N125" s="86">
        <v>0</v>
      </c>
    </row>
    <row r="126" spans="2:14" x14ac:dyDescent="0.3">
      <c r="B126" s="292"/>
      <c r="C126" s="9" t="s">
        <v>217</v>
      </c>
      <c r="D126" s="86">
        <v>12.088298124851651</v>
      </c>
      <c r="E126" s="86">
        <v>16.553960673175094</v>
      </c>
      <c r="F126" s="88">
        <v>20.208104059039293</v>
      </c>
      <c r="G126" s="86">
        <v>8.6999999999999993</v>
      </c>
      <c r="H126" s="88">
        <v>40.980247740207567</v>
      </c>
      <c r="I126" s="86">
        <v>20</v>
      </c>
      <c r="J126" s="86">
        <v>77</v>
      </c>
      <c r="K126" s="86">
        <v>36.422978666781603</v>
      </c>
      <c r="L126" s="88">
        <v>50</v>
      </c>
      <c r="M126" s="86">
        <v>3.9468178241592393</v>
      </c>
      <c r="N126" s="86">
        <v>0</v>
      </c>
    </row>
    <row r="127" spans="2:14" x14ac:dyDescent="0.3">
      <c r="B127" s="292"/>
      <c r="C127" s="9" t="s">
        <v>218</v>
      </c>
      <c r="D127" s="86">
        <v>19.176070645567787</v>
      </c>
      <c r="E127" s="86">
        <v>14.312849571919799</v>
      </c>
      <c r="F127" s="88">
        <v>37.704119929853512</v>
      </c>
      <c r="G127" s="86">
        <v>18.787723181741452</v>
      </c>
      <c r="H127" s="88">
        <v>8.7451400761841018</v>
      </c>
      <c r="I127" s="86">
        <v>15.430906918550914</v>
      </c>
      <c r="J127" s="86">
        <v>8.3602999774095039</v>
      </c>
      <c r="K127" s="86">
        <v>8</v>
      </c>
      <c r="L127" s="88">
        <v>10.1770763502603</v>
      </c>
      <c r="M127" s="86">
        <v>6.4195326710364444</v>
      </c>
      <c r="N127" s="86">
        <v>7.5</v>
      </c>
    </row>
    <row r="128" spans="2:14" x14ac:dyDescent="0.3">
      <c r="B128" s="292"/>
      <c r="C128" s="9" t="s">
        <v>219</v>
      </c>
      <c r="D128" s="86">
        <v>31.931236976560879</v>
      </c>
      <c r="E128" s="86">
        <v>20.387037301849116</v>
      </c>
      <c r="F128" s="88">
        <v>42.386095818943183</v>
      </c>
      <c r="G128" s="86">
        <v>22.106867900433052</v>
      </c>
      <c r="H128" s="88">
        <v>10.305249202962214</v>
      </c>
      <c r="I128" s="86">
        <v>15</v>
      </c>
      <c r="J128" s="86">
        <v>9.5620502720537477</v>
      </c>
      <c r="K128" s="86">
        <v>14.53774056062413</v>
      </c>
      <c r="L128" s="88">
        <v>10.621035408291002</v>
      </c>
      <c r="M128" s="86">
        <v>10.020388546994642</v>
      </c>
      <c r="N128" s="86">
        <v>0</v>
      </c>
    </row>
    <row r="129" spans="2:14" x14ac:dyDescent="0.3">
      <c r="B129" s="292"/>
      <c r="C129" s="9" t="s">
        <v>220</v>
      </c>
      <c r="D129" s="86">
        <v>44.798111149991925</v>
      </c>
      <c r="E129" s="86">
        <v>34.837830688007855</v>
      </c>
      <c r="F129" s="88">
        <v>44.999756227596791</v>
      </c>
      <c r="G129" s="86">
        <v>29.145304319663232</v>
      </c>
      <c r="H129" s="88">
        <v>12.543955103730548</v>
      </c>
      <c r="I129" s="86">
        <v>7.3224409007730511</v>
      </c>
      <c r="J129" s="86">
        <v>9.4406077510740083</v>
      </c>
      <c r="K129" s="86">
        <v>11.454220079774904</v>
      </c>
      <c r="L129" s="88">
        <v>18.835618248426591</v>
      </c>
      <c r="M129" s="86">
        <v>7.3688658904934066</v>
      </c>
      <c r="N129" s="86">
        <v>30</v>
      </c>
    </row>
    <row r="130" spans="2:14" x14ac:dyDescent="0.3">
      <c r="B130" s="295"/>
      <c r="C130" s="9" t="s">
        <v>221</v>
      </c>
      <c r="D130" s="90">
        <v>7.937518367208904</v>
      </c>
      <c r="E130" s="90">
        <v>10.75638400783399</v>
      </c>
      <c r="F130" s="91">
        <v>37.417160722028193</v>
      </c>
      <c r="G130" s="90">
        <v>18.814995327300323</v>
      </c>
      <c r="H130" s="91">
        <v>8.8152333711000637</v>
      </c>
      <c r="I130" s="90">
        <v>7.9</v>
      </c>
      <c r="J130" s="90">
        <v>8.5437817598528536</v>
      </c>
      <c r="K130" s="90">
        <v>34.967648078401204</v>
      </c>
      <c r="L130" s="91">
        <v>24.215108003770297</v>
      </c>
      <c r="M130" s="90">
        <v>4.6715337986554504</v>
      </c>
      <c r="N130" s="90">
        <v>1.7</v>
      </c>
    </row>
    <row r="131" spans="2:14" ht="16.5" customHeight="1" x14ac:dyDescent="0.3">
      <c r="B131" s="291" t="s">
        <v>222</v>
      </c>
      <c r="C131" s="13" t="s">
        <v>226</v>
      </c>
      <c r="D131" s="80">
        <v>18.863207967142948</v>
      </c>
      <c r="E131" s="80">
        <v>13.474573728806449</v>
      </c>
      <c r="F131" s="80">
        <v>21.467694125702955</v>
      </c>
      <c r="G131" s="80">
        <v>21.396816872606248</v>
      </c>
      <c r="H131" s="80">
        <v>7.262955144700256</v>
      </c>
      <c r="I131" s="80">
        <v>8.6209208119071121</v>
      </c>
      <c r="J131" s="80">
        <v>6.6523613973808118</v>
      </c>
      <c r="K131" s="80">
        <v>8.0962431136912407</v>
      </c>
      <c r="L131" s="80">
        <v>6.6802424172521446</v>
      </c>
      <c r="M131" s="80">
        <v>4.6183336669900923</v>
      </c>
      <c r="N131" s="80">
        <v>4</v>
      </c>
    </row>
    <row r="132" spans="2:14" ht="16.5" customHeight="1" x14ac:dyDescent="0.3">
      <c r="B132" s="294"/>
      <c r="C132" s="9" t="s">
        <v>227</v>
      </c>
      <c r="D132" s="79">
        <v>23.667832114593491</v>
      </c>
      <c r="E132" s="79">
        <v>20.804055925688008</v>
      </c>
      <c r="F132" s="79">
        <v>34.422724001521473</v>
      </c>
      <c r="G132" s="79">
        <v>15.508164283772201</v>
      </c>
      <c r="H132" s="79">
        <v>9.8830555040988148</v>
      </c>
      <c r="I132" s="79">
        <v>7.3857001529246098</v>
      </c>
      <c r="J132" s="79">
        <v>8.2148502087108142</v>
      </c>
      <c r="K132" s="79">
        <v>11.820558574203167</v>
      </c>
      <c r="L132" s="79">
        <v>10.446551122205285</v>
      </c>
      <c r="M132" s="79">
        <v>8.8171711069898819</v>
      </c>
      <c r="N132" s="79">
        <v>8.4879223489195166</v>
      </c>
    </row>
    <row r="133" spans="2:14" ht="16.5" customHeight="1" x14ac:dyDescent="0.3">
      <c r="B133" s="292"/>
      <c r="C133" s="9" t="s">
        <v>228</v>
      </c>
      <c r="D133" s="79">
        <v>29.415027177626285</v>
      </c>
      <c r="E133" s="79">
        <v>21.626376984589253</v>
      </c>
      <c r="F133" s="79">
        <v>36.196740141127357</v>
      </c>
      <c r="G133" s="79">
        <v>20.236708163848974</v>
      </c>
      <c r="H133" s="79">
        <v>11.351664466595496</v>
      </c>
      <c r="I133" s="79">
        <v>9.3556969022925642</v>
      </c>
      <c r="J133" s="79">
        <v>8.3773696306402439</v>
      </c>
      <c r="K133" s="79">
        <v>8.034078081684175</v>
      </c>
      <c r="L133" s="79">
        <v>10.628841554748227</v>
      </c>
      <c r="M133" s="79">
        <v>11.879090765145786</v>
      </c>
      <c r="N133" s="79">
        <v>15.29635846067084</v>
      </c>
    </row>
    <row r="134" spans="2:14" ht="16.5" customHeight="1" x14ac:dyDescent="0.3">
      <c r="B134" s="295"/>
      <c r="C134" s="12" t="s">
        <v>229</v>
      </c>
      <c r="D134" s="81">
        <v>28.833765081101753</v>
      </c>
      <c r="E134" s="81">
        <v>27.174620586387682</v>
      </c>
      <c r="F134" s="81">
        <v>45.453481783796143</v>
      </c>
      <c r="G134" s="81">
        <v>24.136267397354139</v>
      </c>
      <c r="H134" s="81">
        <v>12.197559602216558</v>
      </c>
      <c r="I134" s="81">
        <v>12.800205884341727</v>
      </c>
      <c r="J134" s="81">
        <v>7.8137488909354698</v>
      </c>
      <c r="K134" s="81">
        <v>17.153003369832348</v>
      </c>
      <c r="L134" s="81">
        <v>15.088424207642325</v>
      </c>
      <c r="M134" s="81">
        <v>10.086764631233686</v>
      </c>
      <c r="N134" s="81">
        <v>10.270903170690886</v>
      </c>
    </row>
    <row r="135" spans="2:14" x14ac:dyDescent="0.3">
      <c r="B135" s="296" t="s">
        <v>199</v>
      </c>
      <c r="C135" s="13" t="s">
        <v>192</v>
      </c>
      <c r="D135" s="80">
        <v>25.736248134577405</v>
      </c>
      <c r="E135" s="80">
        <v>21.215097362175694</v>
      </c>
      <c r="F135" s="80">
        <v>35.866788682992144</v>
      </c>
      <c r="G135" s="80">
        <v>21.206444934187456</v>
      </c>
      <c r="H135" s="80">
        <v>10.18949580489053</v>
      </c>
      <c r="I135" s="80">
        <v>9.1398630038023914</v>
      </c>
      <c r="J135" s="80">
        <v>7.957293581716014</v>
      </c>
      <c r="K135" s="80">
        <v>12.226230957685965</v>
      </c>
      <c r="L135" s="80">
        <v>9.7621790078356927</v>
      </c>
      <c r="M135" s="80">
        <v>9.508660587354715</v>
      </c>
      <c r="N135" s="80">
        <v>12.676363811745652</v>
      </c>
    </row>
    <row r="136" spans="2:14" x14ac:dyDescent="0.3">
      <c r="B136" s="292"/>
      <c r="C136" s="9" t="s">
        <v>200</v>
      </c>
      <c r="D136" s="79">
        <v>19.910123694122905</v>
      </c>
      <c r="E136" s="79">
        <v>16.995017981069449</v>
      </c>
      <c r="F136" s="79">
        <v>37.42859937223038</v>
      </c>
      <c r="G136" s="79">
        <v>21.365796963654773</v>
      </c>
      <c r="H136" s="79">
        <v>8.6830805527816448</v>
      </c>
      <c r="I136" s="79">
        <v>12.4052705082503</v>
      </c>
      <c r="J136" s="79">
        <v>5.9260817381462809</v>
      </c>
      <c r="K136" s="79">
        <v>6.5149117251057724</v>
      </c>
      <c r="L136" s="79">
        <v>22.145615163959778</v>
      </c>
      <c r="M136" s="79">
        <v>12.779464032904245</v>
      </c>
      <c r="N136" s="79">
        <v>10.009</v>
      </c>
    </row>
    <row r="137" spans="2:14" x14ac:dyDescent="0.3">
      <c r="B137" s="292"/>
      <c r="C137" s="9" t="s">
        <v>201</v>
      </c>
      <c r="D137" s="79">
        <v>33.009012729221915</v>
      </c>
      <c r="E137" s="79">
        <v>30.631816918812817</v>
      </c>
      <c r="F137" s="79">
        <v>40.983433978244676</v>
      </c>
      <c r="G137" s="79">
        <v>21.350021858666096</v>
      </c>
      <c r="H137" s="79">
        <v>11.091726765233892</v>
      </c>
      <c r="I137" s="79">
        <v>9.9563843118437596</v>
      </c>
      <c r="J137" s="79">
        <v>8.2867388767999923</v>
      </c>
      <c r="K137" s="79">
        <v>10.894164925388395</v>
      </c>
      <c r="L137" s="79">
        <v>19.384109620206488</v>
      </c>
      <c r="M137" s="79">
        <v>6.2700707824476876</v>
      </c>
      <c r="N137" s="79">
        <v>0</v>
      </c>
    </row>
    <row r="138" spans="2:14" x14ac:dyDescent="0.3">
      <c r="B138" s="292"/>
      <c r="C138" s="9" t="s">
        <v>202</v>
      </c>
      <c r="D138" s="79">
        <v>23.660487076454459</v>
      </c>
      <c r="E138" s="79">
        <v>21.409901305859488</v>
      </c>
      <c r="F138" s="79">
        <v>34.068260638355973</v>
      </c>
      <c r="G138" s="79">
        <v>18.255830841214543</v>
      </c>
      <c r="H138" s="79">
        <v>11.598616409128374</v>
      </c>
      <c r="I138" s="79">
        <v>11.112594746016432</v>
      </c>
      <c r="J138" s="79">
        <v>8.5793441397687182</v>
      </c>
      <c r="K138" s="79">
        <v>12.245514113136048</v>
      </c>
      <c r="L138" s="79">
        <v>11.802995212645392</v>
      </c>
      <c r="M138" s="79">
        <v>14.617852449265385</v>
      </c>
      <c r="N138" s="79">
        <v>3</v>
      </c>
    </row>
    <row r="139" spans="2:14" ht="16.5" customHeight="1" x14ac:dyDescent="0.3">
      <c r="B139" s="295"/>
      <c r="C139" s="12" t="s">
        <v>203</v>
      </c>
      <c r="D139" s="81">
        <v>20.240218416023076</v>
      </c>
      <c r="E139" s="81">
        <v>15.390587069767335</v>
      </c>
      <c r="F139" s="81">
        <v>31.992835711396559</v>
      </c>
      <c r="G139" s="81">
        <v>19.250656385689663</v>
      </c>
      <c r="H139" s="81">
        <v>10.031796905010323</v>
      </c>
      <c r="I139" s="81">
        <v>7.812027607282543</v>
      </c>
      <c r="J139" s="81">
        <v>7.5911457583679045</v>
      </c>
      <c r="K139" s="81">
        <v>10.406478976465412</v>
      </c>
      <c r="L139" s="81">
        <v>10.442286015892874</v>
      </c>
      <c r="M139" s="81">
        <v>6.7287470703870831</v>
      </c>
      <c r="N139" s="81">
        <v>2.5</v>
      </c>
    </row>
    <row r="140" spans="2:14" x14ac:dyDescent="0.3">
      <c r="B140" s="291" t="s">
        <v>204</v>
      </c>
      <c r="C140" s="13" t="s">
        <v>192</v>
      </c>
      <c r="D140" s="80">
        <v>25.736248134577405</v>
      </c>
      <c r="E140" s="80">
        <v>21.215097362175694</v>
      </c>
      <c r="F140" s="80">
        <v>35.866788682992144</v>
      </c>
      <c r="G140" s="80">
        <v>21.206444934187456</v>
      </c>
      <c r="H140" s="80">
        <v>10.18949580489053</v>
      </c>
      <c r="I140" s="80">
        <v>9.1398630038023914</v>
      </c>
      <c r="J140" s="80">
        <v>7.957293581716014</v>
      </c>
      <c r="K140" s="80">
        <v>12.226230957685965</v>
      </c>
      <c r="L140" s="80">
        <v>9.7621790078356927</v>
      </c>
      <c r="M140" s="80">
        <v>9.508660587354715</v>
      </c>
      <c r="N140" s="80">
        <v>12.676363811745652</v>
      </c>
    </row>
    <row r="141" spans="2:14" x14ac:dyDescent="0.3">
      <c r="B141" s="295"/>
      <c r="C141" s="12" t="s">
        <v>193</v>
      </c>
      <c r="D141" s="81">
        <v>23.831623920837661</v>
      </c>
      <c r="E141" s="81">
        <v>20.715312519982572</v>
      </c>
      <c r="F141" s="81">
        <v>34.798014760173785</v>
      </c>
      <c r="G141" s="81">
        <v>19.673207001859911</v>
      </c>
      <c r="H141" s="81">
        <v>10.427301867582088</v>
      </c>
      <c r="I141" s="81">
        <v>9.453151232759943</v>
      </c>
      <c r="J141" s="81">
        <v>7.7559116730455431</v>
      </c>
      <c r="K141" s="81">
        <v>10.451671254088581</v>
      </c>
      <c r="L141" s="81">
        <v>13.278513908406994</v>
      </c>
      <c r="M141" s="81">
        <v>8.8012082367192708</v>
      </c>
      <c r="N141" s="81">
        <v>4.8588155964889124</v>
      </c>
    </row>
    <row r="142" spans="2:14" x14ac:dyDescent="0.3">
      <c r="B142" s="291" t="s">
        <v>209</v>
      </c>
      <c r="C142" s="13" t="s">
        <v>205</v>
      </c>
      <c r="D142" s="80">
        <v>24.315240350665537</v>
      </c>
      <c r="E142" s="80">
        <v>17.250575042013413</v>
      </c>
      <c r="F142" s="80">
        <v>31.946467632906373</v>
      </c>
      <c r="G142" s="80">
        <v>16.132241041006829</v>
      </c>
      <c r="H142" s="80">
        <v>9.4009416760634839</v>
      </c>
      <c r="I142" s="80">
        <v>7.0162924106778251</v>
      </c>
      <c r="J142" s="80">
        <v>10.604440593853209</v>
      </c>
      <c r="K142" s="80">
        <v>12.092134576859966</v>
      </c>
      <c r="L142" s="80">
        <v>7.729794707953995</v>
      </c>
      <c r="M142" s="80">
        <v>9.8683743515091553</v>
      </c>
      <c r="N142" s="80">
        <v>6.8078942929568598</v>
      </c>
    </row>
    <row r="143" spans="2:14" x14ac:dyDescent="0.3">
      <c r="B143" s="292"/>
      <c r="C143" s="9" t="s">
        <v>206</v>
      </c>
      <c r="D143" s="79">
        <v>28.778558768197694</v>
      </c>
      <c r="E143" s="79">
        <v>25.100960244443272</v>
      </c>
      <c r="F143" s="79">
        <v>47.588746458194969</v>
      </c>
      <c r="G143" s="79">
        <v>27.363269430581077</v>
      </c>
      <c r="H143" s="79">
        <v>10.975512110310554</v>
      </c>
      <c r="I143" s="79">
        <v>10.447042177863247</v>
      </c>
      <c r="J143" s="79">
        <v>7.1859713660911178</v>
      </c>
      <c r="K143" s="79">
        <v>9.0151820104226665</v>
      </c>
      <c r="L143" s="79">
        <v>10.370049500191888</v>
      </c>
      <c r="M143" s="79">
        <v>12.530148273406358</v>
      </c>
      <c r="N143" s="79">
        <v>30</v>
      </c>
    </row>
    <row r="144" spans="2:14" x14ac:dyDescent="0.3">
      <c r="B144" s="292"/>
      <c r="C144" s="9" t="s">
        <v>207</v>
      </c>
      <c r="D144" s="79">
        <v>25.045767109359261</v>
      </c>
      <c r="E144" s="79">
        <v>21.618643436270936</v>
      </c>
      <c r="F144" s="79">
        <v>33.695050793969997</v>
      </c>
      <c r="G144" s="79">
        <v>21.481665537697609</v>
      </c>
      <c r="H144" s="79">
        <v>9.1330767533462982</v>
      </c>
      <c r="I144" s="79">
        <v>9.4018255243383173</v>
      </c>
      <c r="J144" s="79">
        <v>7.7842507319144891</v>
      </c>
      <c r="K144" s="79">
        <v>14.161993173488492</v>
      </c>
      <c r="L144" s="79">
        <v>12.923435103142065</v>
      </c>
      <c r="M144" s="79">
        <v>8.066563591630743</v>
      </c>
      <c r="N144" s="79">
        <v>0</v>
      </c>
    </row>
    <row r="145" spans="2:21" x14ac:dyDescent="0.3">
      <c r="B145" s="293"/>
      <c r="C145" s="25" t="s">
        <v>208</v>
      </c>
      <c r="D145" s="82">
        <v>24.060644691757197</v>
      </c>
      <c r="E145" s="82">
        <v>20.333206320070499</v>
      </c>
      <c r="F145" s="82">
        <v>32.564041816458236</v>
      </c>
      <c r="G145" s="82">
        <v>18.278339547566418</v>
      </c>
      <c r="H145" s="82">
        <v>11.252161877820445</v>
      </c>
      <c r="I145" s="82">
        <v>9.9408347380106736</v>
      </c>
      <c r="J145" s="82">
        <v>7.1679304728468587</v>
      </c>
      <c r="K145" s="82">
        <v>10.140337585203865</v>
      </c>
      <c r="L145" s="82">
        <v>10.648507073283511</v>
      </c>
      <c r="M145" s="82">
        <v>8.1214761576888126</v>
      </c>
      <c r="N145" s="82">
        <v>8.2984495976422963</v>
      </c>
    </row>
    <row r="146" spans="2:21" x14ac:dyDescent="0.3">
      <c r="B146" s="60"/>
      <c r="C146" s="9"/>
      <c r="D146" s="58"/>
      <c r="E146" s="58"/>
      <c r="F146" s="50"/>
      <c r="G146" s="58"/>
      <c r="H146" s="50"/>
      <c r="I146" s="58"/>
      <c r="J146" s="58"/>
      <c r="K146" s="58"/>
      <c r="L146" s="50"/>
      <c r="M146" s="58"/>
      <c r="N146" s="58"/>
    </row>
    <row r="147" spans="2:21" x14ac:dyDescent="0.3">
      <c r="B147" s="60"/>
      <c r="C147" s="9"/>
      <c r="D147" s="58"/>
      <c r="E147" s="58"/>
      <c r="F147" s="50"/>
      <c r="G147" s="58"/>
      <c r="H147" s="50"/>
      <c r="I147" s="58"/>
      <c r="J147" s="58"/>
      <c r="K147" s="58"/>
      <c r="L147" s="50"/>
      <c r="M147" s="58"/>
      <c r="N147" s="58"/>
    </row>
    <row r="148" spans="2:21" ht="17.25" customHeight="1" x14ac:dyDescent="0.3">
      <c r="B148" s="1" t="s">
        <v>487</v>
      </c>
      <c r="D148" s="59"/>
      <c r="E148" s="59"/>
      <c r="F148" s="304"/>
      <c r="G148" s="304"/>
      <c r="H148" s="304"/>
      <c r="I148" s="304"/>
      <c r="J148" s="304"/>
      <c r="K148" s="304"/>
      <c r="L148" s="304"/>
      <c r="M148" s="304"/>
      <c r="N148" s="304"/>
      <c r="O148" s="304"/>
      <c r="P148" s="304"/>
      <c r="Q148" s="304"/>
      <c r="R148" s="304"/>
      <c r="S148" s="304"/>
      <c r="T148" s="304"/>
      <c r="U148" s="304"/>
    </row>
    <row r="149" spans="2:21" ht="10.5" customHeight="1" x14ac:dyDescent="0.3"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30"/>
      <c r="P149" s="30"/>
      <c r="Q149" s="30" t="s">
        <v>52</v>
      </c>
    </row>
    <row r="150" spans="2:21" s="22" customFormat="1" ht="20.25" customHeight="1" x14ac:dyDescent="0.3">
      <c r="B150" s="307"/>
      <c r="C150" s="307"/>
      <c r="D150" s="300" t="s">
        <v>120</v>
      </c>
      <c r="E150" s="300"/>
      <c r="F150" s="300"/>
      <c r="G150" s="300"/>
      <c r="H150" s="300"/>
      <c r="I150" s="300"/>
      <c r="J150" s="301"/>
      <c r="K150" s="299" t="s">
        <v>125</v>
      </c>
      <c r="L150" s="300"/>
      <c r="M150" s="300"/>
      <c r="N150" s="300"/>
      <c r="O150" s="300"/>
      <c r="P150" s="301"/>
      <c r="Q150" s="212" t="s">
        <v>38</v>
      </c>
    </row>
    <row r="151" spans="2:21" s="125" customFormat="1" ht="27" x14ac:dyDescent="0.3">
      <c r="B151" s="300"/>
      <c r="C151" s="300"/>
      <c r="D151" s="202" t="s">
        <v>39</v>
      </c>
      <c r="E151" s="202" t="s">
        <v>40</v>
      </c>
      <c r="F151" s="202" t="s">
        <v>116</v>
      </c>
      <c r="G151" s="202" t="s">
        <v>117</v>
      </c>
      <c r="H151" s="202" t="s">
        <v>115</v>
      </c>
      <c r="I151" s="202" t="s">
        <v>119</v>
      </c>
      <c r="J151" s="202" t="s">
        <v>300</v>
      </c>
      <c r="K151" s="214" t="s">
        <v>298</v>
      </c>
      <c r="L151" s="202" t="s">
        <v>299</v>
      </c>
      <c r="M151" s="202" t="s">
        <v>121</v>
      </c>
      <c r="N151" s="202" t="s">
        <v>118</v>
      </c>
      <c r="O151" s="202" t="s">
        <v>122</v>
      </c>
      <c r="P151" s="202" t="s">
        <v>124</v>
      </c>
      <c r="Q151" s="214" t="s">
        <v>38</v>
      </c>
    </row>
    <row r="152" spans="2:21" ht="21.75" customHeight="1" x14ac:dyDescent="0.3">
      <c r="B152" s="292" t="s">
        <v>20</v>
      </c>
      <c r="C152" s="292"/>
      <c r="D152" s="86">
        <v>38.054370892032736</v>
      </c>
      <c r="E152" s="86">
        <v>10.864691518728998</v>
      </c>
      <c r="F152" s="88">
        <v>9.7872904174115547</v>
      </c>
      <c r="G152" s="88">
        <v>8.5667241559728708</v>
      </c>
      <c r="H152" s="88">
        <v>13.275149671143547</v>
      </c>
      <c r="I152" s="86">
        <v>0.82423748517814888</v>
      </c>
      <c r="J152" s="86">
        <v>0.74722020681393941</v>
      </c>
      <c r="K152" s="92">
        <v>4.6301883105976627</v>
      </c>
      <c r="L152" s="86">
        <v>2.2525043134809866</v>
      </c>
      <c r="M152" s="88">
        <v>1.2253423901794487</v>
      </c>
      <c r="N152" s="86">
        <v>7.6680743001384579</v>
      </c>
      <c r="O152" s="86">
        <v>0.7027597407378755</v>
      </c>
      <c r="P152" s="86">
        <v>1.2618469037494462</v>
      </c>
      <c r="Q152" s="92">
        <v>0.13959969383450804</v>
      </c>
    </row>
    <row r="153" spans="2:21" x14ac:dyDescent="0.3">
      <c r="B153" s="296" t="s">
        <v>5</v>
      </c>
      <c r="C153" s="13" t="s">
        <v>0</v>
      </c>
      <c r="D153" s="84">
        <v>38.09164680618656</v>
      </c>
      <c r="E153" s="84">
        <v>10.777379600830024</v>
      </c>
      <c r="F153" s="89">
        <v>9.7968774947655071</v>
      </c>
      <c r="G153" s="89">
        <v>8.5751156354989302</v>
      </c>
      <c r="H153" s="89">
        <v>13.28815325858754</v>
      </c>
      <c r="I153" s="84">
        <v>0.825044861703359</v>
      </c>
      <c r="J153" s="84">
        <v>0.74795214155968059</v>
      </c>
      <c r="K153" s="93">
        <v>4.6347237817652598</v>
      </c>
      <c r="L153" s="84">
        <v>2.2547107395879546</v>
      </c>
      <c r="M153" s="89">
        <v>1.2265426664335211</v>
      </c>
      <c r="N153" s="84">
        <v>7.6755855129804225</v>
      </c>
      <c r="O153" s="84">
        <v>0.70344812452014405</v>
      </c>
      <c r="P153" s="84">
        <v>1.2630829377649047</v>
      </c>
      <c r="Q153" s="93">
        <v>0.13973643781637649</v>
      </c>
    </row>
    <row r="154" spans="2:21" x14ac:dyDescent="0.3">
      <c r="B154" s="295"/>
      <c r="C154" s="12" t="s">
        <v>1</v>
      </c>
      <c r="D154" s="90">
        <v>0</v>
      </c>
      <c r="E154" s="90">
        <v>0</v>
      </c>
      <c r="F154" s="91">
        <v>0</v>
      </c>
      <c r="G154" s="91">
        <v>0</v>
      </c>
      <c r="H154" s="91">
        <v>0</v>
      </c>
      <c r="I154" s="90">
        <v>0</v>
      </c>
      <c r="J154" s="90">
        <v>0</v>
      </c>
      <c r="K154" s="94">
        <v>0</v>
      </c>
      <c r="L154" s="90">
        <v>0</v>
      </c>
      <c r="M154" s="91">
        <v>0</v>
      </c>
      <c r="N154" s="90">
        <v>0</v>
      </c>
      <c r="O154" s="90">
        <v>0</v>
      </c>
      <c r="P154" s="90">
        <v>0</v>
      </c>
      <c r="Q154" s="94">
        <v>0</v>
      </c>
    </row>
    <row r="155" spans="2:21" x14ac:dyDescent="0.3">
      <c r="B155" s="296" t="s">
        <v>4</v>
      </c>
      <c r="C155" s="9" t="s">
        <v>175</v>
      </c>
      <c r="D155" s="86">
        <v>55.7238132648598</v>
      </c>
      <c r="E155" s="86">
        <v>8.0390735866077794</v>
      </c>
      <c r="F155" s="88">
        <v>5.7353872213996997</v>
      </c>
      <c r="G155" s="88">
        <v>3.2018098531270254</v>
      </c>
      <c r="H155" s="88">
        <v>2.846053202779578</v>
      </c>
      <c r="I155" s="86">
        <v>0</v>
      </c>
      <c r="J155" s="86">
        <v>0</v>
      </c>
      <c r="K155" s="92">
        <v>17.699641744970496</v>
      </c>
      <c r="L155" s="86">
        <v>5.1672514568065866</v>
      </c>
      <c r="M155" s="88">
        <v>0</v>
      </c>
      <c r="N155" s="86">
        <v>0</v>
      </c>
      <c r="O155" s="86">
        <v>0</v>
      </c>
      <c r="P155" s="86">
        <v>1.5869696694490398</v>
      </c>
      <c r="Q155" s="92">
        <v>0</v>
      </c>
    </row>
    <row r="156" spans="2:21" x14ac:dyDescent="0.3">
      <c r="B156" s="292"/>
      <c r="C156" s="9" t="s">
        <v>176</v>
      </c>
      <c r="D156" s="86">
        <v>45.062491252083674</v>
      </c>
      <c r="E156" s="86">
        <v>7.6137167307415519</v>
      </c>
      <c r="F156" s="88">
        <v>11.172884444220399</v>
      </c>
      <c r="G156" s="88">
        <v>7.7643237631914221</v>
      </c>
      <c r="H156" s="88">
        <v>4.4863782962925498</v>
      </c>
      <c r="I156" s="86">
        <v>2.0541184661640464</v>
      </c>
      <c r="J156" s="86">
        <v>1.8432628007553811</v>
      </c>
      <c r="K156" s="92">
        <v>7.5135986438699289</v>
      </c>
      <c r="L156" s="86">
        <v>0.49150474416254353</v>
      </c>
      <c r="M156" s="88">
        <v>1.8850442924542359</v>
      </c>
      <c r="N156" s="86">
        <v>7.7965803164689609</v>
      </c>
      <c r="O156" s="86">
        <v>0</v>
      </c>
      <c r="P156" s="86">
        <v>2.3160962495952586</v>
      </c>
      <c r="Q156" s="92">
        <v>0</v>
      </c>
    </row>
    <row r="157" spans="2:21" x14ac:dyDescent="0.3">
      <c r="B157" s="292"/>
      <c r="C157" s="9" t="s">
        <v>177</v>
      </c>
      <c r="D157" s="86">
        <v>43.290556122098309</v>
      </c>
      <c r="E157" s="86">
        <v>10.883867623912918</v>
      </c>
      <c r="F157" s="88">
        <v>9.8938061659274243</v>
      </c>
      <c r="G157" s="88">
        <v>7.9588640188061861</v>
      </c>
      <c r="H157" s="88">
        <v>11.230357427524213</v>
      </c>
      <c r="I157" s="86">
        <v>1.617565982661769</v>
      </c>
      <c r="J157" s="86">
        <v>0</v>
      </c>
      <c r="K157" s="92">
        <v>2.9553652782117341</v>
      </c>
      <c r="L157" s="86">
        <v>2.2931165862099268</v>
      </c>
      <c r="M157" s="88">
        <v>1.5754406959837579</v>
      </c>
      <c r="N157" s="86">
        <v>5.119950875875916</v>
      </c>
      <c r="O157" s="86">
        <v>1.554214420906914</v>
      </c>
      <c r="P157" s="86">
        <v>1.6268948018809859</v>
      </c>
      <c r="Q157" s="92">
        <v>0</v>
      </c>
    </row>
    <row r="158" spans="2:21" x14ac:dyDescent="0.3">
      <c r="B158" s="292"/>
      <c r="C158" s="9" t="s">
        <v>178</v>
      </c>
      <c r="D158" s="86">
        <v>37.04998328100568</v>
      </c>
      <c r="E158" s="86">
        <v>13.348999309585812</v>
      </c>
      <c r="F158" s="88">
        <v>5.5922690310834442</v>
      </c>
      <c r="G158" s="88">
        <v>9.7000536796310328</v>
      </c>
      <c r="H158" s="88">
        <v>17.603632303027769</v>
      </c>
      <c r="I158" s="86">
        <v>0</v>
      </c>
      <c r="J158" s="86">
        <v>1.2883283844638236</v>
      </c>
      <c r="K158" s="92">
        <v>2.6758679750330931</v>
      </c>
      <c r="L158" s="86">
        <v>1.5377719254415054</v>
      </c>
      <c r="M158" s="88">
        <v>1.1579480901908401</v>
      </c>
      <c r="N158" s="86">
        <v>9.2908690994576606</v>
      </c>
      <c r="O158" s="86">
        <v>0</v>
      </c>
      <c r="P158" s="86">
        <v>0</v>
      </c>
      <c r="Q158" s="92">
        <v>0.75427692107944067</v>
      </c>
    </row>
    <row r="159" spans="2:21" x14ac:dyDescent="0.3">
      <c r="B159" s="292"/>
      <c r="C159" s="9" t="s">
        <v>179</v>
      </c>
      <c r="D159" s="86">
        <v>26.374159928956338</v>
      </c>
      <c r="E159" s="86">
        <v>14.784505725371044</v>
      </c>
      <c r="F159" s="88">
        <v>8.6114023545413172</v>
      </c>
      <c r="G159" s="88">
        <v>8.0680429570560275</v>
      </c>
      <c r="H159" s="88">
        <v>20.629671178877256</v>
      </c>
      <c r="I159" s="86">
        <v>0</v>
      </c>
      <c r="J159" s="86">
        <v>0.51204470716596562</v>
      </c>
      <c r="K159" s="92">
        <v>3.2657532670781935</v>
      </c>
      <c r="L159" s="86">
        <v>3.8549860304659433</v>
      </c>
      <c r="M159" s="88">
        <v>1.2801116953630705</v>
      </c>
      <c r="N159" s="86">
        <v>10.478726472784752</v>
      </c>
      <c r="O159" s="86">
        <v>0.53570910046598186</v>
      </c>
      <c r="P159" s="86">
        <v>1.6048865818741338</v>
      </c>
      <c r="Q159" s="92">
        <v>0</v>
      </c>
    </row>
    <row r="160" spans="2:21" x14ac:dyDescent="0.3">
      <c r="B160" s="298"/>
      <c r="C160" s="12" t="s">
        <v>180</v>
      </c>
      <c r="D160" s="90">
        <v>27.76536938584767</v>
      </c>
      <c r="E160" s="90">
        <v>8.5583789542727704</v>
      </c>
      <c r="F160" s="91">
        <v>16.410143073972659</v>
      </c>
      <c r="G160" s="91">
        <v>12.217562918729961</v>
      </c>
      <c r="H160" s="91">
        <v>19.639123069867004</v>
      </c>
      <c r="I160" s="90">
        <v>0</v>
      </c>
      <c r="J160" s="90">
        <v>0</v>
      </c>
      <c r="K160" s="94">
        <v>1.9930775356016488</v>
      </c>
      <c r="L160" s="90">
        <v>2.8204564738456117</v>
      </c>
      <c r="M160" s="91">
        <v>0</v>
      </c>
      <c r="N160" s="90">
        <v>8.6317560509624354</v>
      </c>
      <c r="O160" s="90">
        <v>1.9641325369002181</v>
      </c>
      <c r="P160" s="90">
        <v>0</v>
      </c>
      <c r="Q160" s="94">
        <v>0</v>
      </c>
    </row>
    <row r="161" spans="2:17" x14ac:dyDescent="0.3">
      <c r="B161" s="292" t="s">
        <v>223</v>
      </c>
      <c r="C161" s="9" t="s">
        <v>210</v>
      </c>
      <c r="D161" s="86">
        <v>55.7238132648598</v>
      </c>
      <c r="E161" s="86">
        <v>8.0390735866077794</v>
      </c>
      <c r="F161" s="88">
        <v>5.7353872213996997</v>
      </c>
      <c r="G161" s="88">
        <v>3.2018098531270254</v>
      </c>
      <c r="H161" s="88">
        <v>2.846053202779578</v>
      </c>
      <c r="I161" s="86">
        <v>0</v>
      </c>
      <c r="J161" s="86">
        <v>0</v>
      </c>
      <c r="K161" s="92">
        <v>17.699641744970496</v>
      </c>
      <c r="L161" s="86">
        <v>5.1672514568065866</v>
      </c>
      <c r="M161" s="88">
        <v>0</v>
      </c>
      <c r="N161" s="86">
        <v>0</v>
      </c>
      <c r="O161" s="86">
        <v>0</v>
      </c>
      <c r="P161" s="86">
        <v>1.5869696694490398</v>
      </c>
      <c r="Q161" s="92">
        <v>0</v>
      </c>
    </row>
    <row r="162" spans="2:17" x14ac:dyDescent="0.3">
      <c r="B162" s="292"/>
      <c r="C162" s="9" t="s">
        <v>211</v>
      </c>
      <c r="D162" s="86">
        <v>45.062491252083674</v>
      </c>
      <c r="E162" s="86">
        <v>7.6137167307415519</v>
      </c>
      <c r="F162" s="88">
        <v>11.172884444220399</v>
      </c>
      <c r="G162" s="88">
        <v>7.7643237631914221</v>
      </c>
      <c r="H162" s="88">
        <v>4.4863782962925498</v>
      </c>
      <c r="I162" s="86">
        <v>2.0541184661640464</v>
      </c>
      <c r="J162" s="86">
        <v>1.8432628007553811</v>
      </c>
      <c r="K162" s="92">
        <v>7.5135986438699289</v>
      </c>
      <c r="L162" s="86">
        <v>0.49150474416254353</v>
      </c>
      <c r="M162" s="88">
        <v>1.8850442924542359</v>
      </c>
      <c r="N162" s="86">
        <v>7.7965803164689609</v>
      </c>
      <c r="O162" s="86">
        <v>0</v>
      </c>
      <c r="P162" s="86">
        <v>2.3160962495952586</v>
      </c>
      <c r="Q162" s="92">
        <v>0</v>
      </c>
    </row>
    <row r="163" spans="2:17" x14ac:dyDescent="0.3">
      <c r="B163" s="292"/>
      <c r="C163" s="9" t="s">
        <v>212</v>
      </c>
      <c r="D163" s="86">
        <v>43.290556122098309</v>
      </c>
      <c r="E163" s="86">
        <v>10.883867623912918</v>
      </c>
      <c r="F163" s="88">
        <v>9.8938061659274243</v>
      </c>
      <c r="G163" s="88">
        <v>7.9588640188061861</v>
      </c>
      <c r="H163" s="88">
        <v>11.230357427524213</v>
      </c>
      <c r="I163" s="86">
        <v>1.617565982661769</v>
      </c>
      <c r="J163" s="86">
        <v>0</v>
      </c>
      <c r="K163" s="92">
        <v>2.9553652782117341</v>
      </c>
      <c r="L163" s="86">
        <v>2.2931165862099268</v>
      </c>
      <c r="M163" s="88">
        <v>1.5754406959837579</v>
      </c>
      <c r="N163" s="86">
        <v>5.119950875875916</v>
      </c>
      <c r="O163" s="86">
        <v>1.554214420906914</v>
      </c>
      <c r="P163" s="86">
        <v>1.6268948018809859</v>
      </c>
      <c r="Q163" s="92">
        <v>0</v>
      </c>
    </row>
    <row r="164" spans="2:17" x14ac:dyDescent="0.3">
      <c r="B164" s="292"/>
      <c r="C164" s="9" t="s">
        <v>213</v>
      </c>
      <c r="D164" s="86">
        <v>37.04998328100568</v>
      </c>
      <c r="E164" s="86">
        <v>13.348999309585812</v>
      </c>
      <c r="F164" s="88">
        <v>5.5922690310834442</v>
      </c>
      <c r="G164" s="88">
        <v>9.7000536796310328</v>
      </c>
      <c r="H164" s="88">
        <v>17.603632303027769</v>
      </c>
      <c r="I164" s="86">
        <v>0</v>
      </c>
      <c r="J164" s="86">
        <v>1.2883283844638236</v>
      </c>
      <c r="K164" s="92">
        <v>2.6758679750330931</v>
      </c>
      <c r="L164" s="86">
        <v>1.5377719254415054</v>
      </c>
      <c r="M164" s="88">
        <v>1.1579480901908401</v>
      </c>
      <c r="N164" s="86">
        <v>9.2908690994576606</v>
      </c>
      <c r="O164" s="86">
        <v>0</v>
      </c>
      <c r="P164" s="86">
        <v>0</v>
      </c>
      <c r="Q164" s="92">
        <v>0.75427692107944067</v>
      </c>
    </row>
    <row r="165" spans="2:17" x14ac:dyDescent="0.3">
      <c r="B165" s="292"/>
      <c r="C165" s="9" t="s">
        <v>214</v>
      </c>
      <c r="D165" s="86">
        <v>26.515937268093648</v>
      </c>
      <c r="E165" s="86">
        <v>14.326420005709387</v>
      </c>
      <c r="F165" s="88">
        <v>8.6576939412821403</v>
      </c>
      <c r="G165" s="88">
        <v>8.1114136526754574</v>
      </c>
      <c r="H165" s="88">
        <v>20.740568356072568</v>
      </c>
      <c r="I165" s="86">
        <v>0</v>
      </c>
      <c r="J165" s="86">
        <v>0.51479726255718505</v>
      </c>
      <c r="K165" s="92">
        <v>3.2833087004922823</v>
      </c>
      <c r="L165" s="86">
        <v>3.8757089525716411</v>
      </c>
      <c r="M165" s="88">
        <v>1.2869930834511083</v>
      </c>
      <c r="N165" s="86">
        <v>10.535056075731765</v>
      </c>
      <c r="O165" s="86">
        <v>0.53858886653323479</v>
      </c>
      <c r="P165" s="86">
        <v>1.6135138348296096</v>
      </c>
      <c r="Q165" s="92">
        <v>0</v>
      </c>
    </row>
    <row r="166" spans="2:17" x14ac:dyDescent="0.3">
      <c r="B166" s="292"/>
      <c r="C166" s="12" t="s">
        <v>215</v>
      </c>
      <c r="D166" s="90">
        <v>27.76536938584767</v>
      </c>
      <c r="E166" s="90">
        <v>8.5583789542727704</v>
      </c>
      <c r="F166" s="91">
        <v>16.410143073972659</v>
      </c>
      <c r="G166" s="91">
        <v>12.217562918729961</v>
      </c>
      <c r="H166" s="91">
        <v>19.639123069867004</v>
      </c>
      <c r="I166" s="90">
        <v>0</v>
      </c>
      <c r="J166" s="90">
        <v>0</v>
      </c>
      <c r="K166" s="94">
        <v>1.9930775356016488</v>
      </c>
      <c r="L166" s="90">
        <v>2.8204564738456117</v>
      </c>
      <c r="M166" s="91">
        <v>0</v>
      </c>
      <c r="N166" s="90">
        <v>8.6317560509624354</v>
      </c>
      <c r="O166" s="90">
        <v>1.9641325369002181</v>
      </c>
      <c r="P166" s="90">
        <v>0</v>
      </c>
      <c r="Q166" s="94">
        <v>0</v>
      </c>
    </row>
    <row r="167" spans="2:17" x14ac:dyDescent="0.3">
      <c r="B167" s="292"/>
      <c r="C167" s="9" t="s">
        <v>216</v>
      </c>
      <c r="D167" s="86">
        <v>0</v>
      </c>
      <c r="E167" s="86">
        <v>0</v>
      </c>
      <c r="F167" s="88">
        <v>0</v>
      </c>
      <c r="G167" s="88">
        <v>0</v>
      </c>
      <c r="H167" s="88">
        <v>0</v>
      </c>
      <c r="I167" s="86">
        <v>0</v>
      </c>
      <c r="J167" s="86">
        <v>0</v>
      </c>
      <c r="K167" s="92">
        <v>0</v>
      </c>
      <c r="L167" s="86">
        <v>0</v>
      </c>
      <c r="M167" s="88">
        <v>0</v>
      </c>
      <c r="N167" s="86">
        <v>0</v>
      </c>
      <c r="O167" s="86">
        <v>0</v>
      </c>
      <c r="P167" s="86">
        <v>0</v>
      </c>
      <c r="Q167" s="92">
        <v>0</v>
      </c>
    </row>
    <row r="168" spans="2:17" x14ac:dyDescent="0.3">
      <c r="B168" s="292"/>
      <c r="C168" s="9" t="s">
        <v>217</v>
      </c>
      <c r="D168" s="86">
        <v>0</v>
      </c>
      <c r="E168" s="86">
        <v>0</v>
      </c>
      <c r="F168" s="88">
        <v>0</v>
      </c>
      <c r="G168" s="88">
        <v>0</v>
      </c>
      <c r="H168" s="88">
        <v>0</v>
      </c>
      <c r="I168" s="86">
        <v>0</v>
      </c>
      <c r="J168" s="86">
        <v>0</v>
      </c>
      <c r="K168" s="92">
        <v>0</v>
      </c>
      <c r="L168" s="86">
        <v>0</v>
      </c>
      <c r="M168" s="88">
        <v>0</v>
      </c>
      <c r="N168" s="86">
        <v>0</v>
      </c>
      <c r="O168" s="86">
        <v>0</v>
      </c>
      <c r="P168" s="86">
        <v>0</v>
      </c>
      <c r="Q168" s="92">
        <v>0</v>
      </c>
    </row>
    <row r="169" spans="2:17" x14ac:dyDescent="0.3">
      <c r="B169" s="292"/>
      <c r="C169" s="9" t="s">
        <v>218</v>
      </c>
      <c r="D169" s="86">
        <v>0</v>
      </c>
      <c r="E169" s="86">
        <v>0</v>
      </c>
      <c r="F169" s="88">
        <v>0</v>
      </c>
      <c r="G169" s="88">
        <v>0</v>
      </c>
      <c r="H169" s="88">
        <v>0</v>
      </c>
      <c r="I169" s="86">
        <v>0</v>
      </c>
      <c r="J169" s="86">
        <v>0</v>
      </c>
      <c r="K169" s="92">
        <v>0</v>
      </c>
      <c r="L169" s="86">
        <v>0</v>
      </c>
      <c r="M169" s="88">
        <v>0</v>
      </c>
      <c r="N169" s="86">
        <v>0</v>
      </c>
      <c r="O169" s="86">
        <v>0</v>
      </c>
      <c r="P169" s="86">
        <v>0</v>
      </c>
      <c r="Q169" s="92">
        <v>0</v>
      </c>
    </row>
    <row r="170" spans="2:17" x14ac:dyDescent="0.3">
      <c r="B170" s="292"/>
      <c r="C170" s="9" t="s">
        <v>219</v>
      </c>
      <c r="D170" s="86">
        <v>0</v>
      </c>
      <c r="E170" s="86">
        <v>0</v>
      </c>
      <c r="F170" s="88">
        <v>0</v>
      </c>
      <c r="G170" s="88">
        <v>0</v>
      </c>
      <c r="H170" s="88">
        <v>0</v>
      </c>
      <c r="I170" s="86">
        <v>0</v>
      </c>
      <c r="J170" s="86">
        <v>0</v>
      </c>
      <c r="K170" s="92">
        <v>0</v>
      </c>
      <c r="L170" s="86">
        <v>0</v>
      </c>
      <c r="M170" s="88">
        <v>0</v>
      </c>
      <c r="N170" s="86">
        <v>0</v>
      </c>
      <c r="O170" s="86">
        <v>0</v>
      </c>
      <c r="P170" s="86">
        <v>0</v>
      </c>
      <c r="Q170" s="92">
        <v>0</v>
      </c>
    </row>
    <row r="171" spans="2:17" x14ac:dyDescent="0.3">
      <c r="B171" s="292"/>
      <c r="C171" s="9" t="s">
        <v>220</v>
      </c>
      <c r="D171" s="86">
        <v>0</v>
      </c>
      <c r="E171" s="86">
        <v>0</v>
      </c>
      <c r="F171" s="88">
        <v>0</v>
      </c>
      <c r="G171" s="88">
        <v>0</v>
      </c>
      <c r="H171" s="88">
        <v>0</v>
      </c>
      <c r="I171" s="86">
        <v>0</v>
      </c>
      <c r="J171" s="86">
        <v>0</v>
      </c>
      <c r="K171" s="92">
        <v>0</v>
      </c>
      <c r="L171" s="86">
        <v>0</v>
      </c>
      <c r="M171" s="88">
        <v>0</v>
      </c>
      <c r="N171" s="86">
        <v>0</v>
      </c>
      <c r="O171" s="86">
        <v>0</v>
      </c>
      <c r="P171" s="86">
        <v>0</v>
      </c>
      <c r="Q171" s="92">
        <v>0</v>
      </c>
    </row>
    <row r="172" spans="2:17" x14ac:dyDescent="0.3">
      <c r="B172" s="295"/>
      <c r="C172" s="9" t="s">
        <v>221</v>
      </c>
      <c r="D172" s="86">
        <v>0</v>
      </c>
      <c r="E172" s="86">
        <v>0</v>
      </c>
      <c r="F172" s="88">
        <v>0</v>
      </c>
      <c r="G172" s="88">
        <v>0</v>
      </c>
      <c r="H172" s="88">
        <v>0</v>
      </c>
      <c r="I172" s="86">
        <v>0</v>
      </c>
      <c r="J172" s="86">
        <v>0</v>
      </c>
      <c r="K172" s="92">
        <v>0</v>
      </c>
      <c r="L172" s="86">
        <v>0</v>
      </c>
      <c r="M172" s="88">
        <v>0</v>
      </c>
      <c r="N172" s="86">
        <v>0</v>
      </c>
      <c r="O172" s="86">
        <v>0</v>
      </c>
      <c r="P172" s="86">
        <v>0</v>
      </c>
      <c r="Q172" s="92">
        <v>0</v>
      </c>
    </row>
    <row r="173" spans="2:17" ht="16.5" customHeight="1" x14ac:dyDescent="0.3">
      <c r="B173" s="291" t="s">
        <v>222</v>
      </c>
      <c r="C173" s="13" t="s">
        <v>226</v>
      </c>
      <c r="D173" s="84">
        <v>37.255717489948154</v>
      </c>
      <c r="E173" s="84">
        <v>10.0264527832763</v>
      </c>
      <c r="F173" s="89">
        <v>11.558704702683235</v>
      </c>
      <c r="G173" s="89">
        <v>10.341080945854513</v>
      </c>
      <c r="H173" s="89">
        <v>7.0269626624119299</v>
      </c>
      <c r="I173" s="84">
        <v>1.9000706397561078</v>
      </c>
      <c r="J173" s="84">
        <v>1.1908057814327884</v>
      </c>
      <c r="K173" s="93">
        <v>3.6519558308577378</v>
      </c>
      <c r="L173" s="84">
        <v>0.99630621088405369</v>
      </c>
      <c r="M173" s="89">
        <v>2.3766746058223585</v>
      </c>
      <c r="N173" s="84">
        <v>9.2798297249403845</v>
      </c>
      <c r="O173" s="84">
        <v>1.4457418883314457</v>
      </c>
      <c r="P173" s="84">
        <v>2.9496967338010616</v>
      </c>
      <c r="Q173" s="93">
        <v>0</v>
      </c>
    </row>
    <row r="174" spans="2:17" ht="16.5" customHeight="1" x14ac:dyDescent="0.3">
      <c r="B174" s="294"/>
      <c r="C174" s="9" t="s">
        <v>227</v>
      </c>
      <c r="D174" s="86">
        <v>34.58354835927652</v>
      </c>
      <c r="E174" s="86">
        <v>11.050102079235788</v>
      </c>
      <c r="F174" s="88">
        <v>9.380690497420737</v>
      </c>
      <c r="G174" s="88">
        <v>11.566688316197785</v>
      </c>
      <c r="H174" s="88">
        <v>12.328012566163686</v>
      </c>
      <c r="I174" s="86">
        <v>0.97881224052416105</v>
      </c>
      <c r="J174" s="86">
        <v>0.72153919283914603</v>
      </c>
      <c r="K174" s="92">
        <v>6.3141753193392116</v>
      </c>
      <c r="L174" s="86">
        <v>2.4658488797249558</v>
      </c>
      <c r="M174" s="88">
        <v>1.4981758731621271</v>
      </c>
      <c r="N174" s="86">
        <v>8.1935789409305624</v>
      </c>
      <c r="O174" s="86">
        <v>0.41096937969243269</v>
      </c>
      <c r="P174" s="86">
        <v>0</v>
      </c>
      <c r="Q174" s="92">
        <v>0.50785835549285596</v>
      </c>
    </row>
    <row r="175" spans="2:17" x14ac:dyDescent="0.3">
      <c r="B175" s="292"/>
      <c r="C175" s="9" t="s">
        <v>228</v>
      </c>
      <c r="D175" s="86">
        <v>36.105260676597993</v>
      </c>
      <c r="E175" s="86">
        <v>12.1023836033566</v>
      </c>
      <c r="F175" s="88">
        <v>10.226477269790347</v>
      </c>
      <c r="G175" s="88">
        <v>8.0257882748804352</v>
      </c>
      <c r="H175" s="88">
        <v>18.475073692225379</v>
      </c>
      <c r="I175" s="86">
        <v>0.50457973831780334</v>
      </c>
      <c r="J175" s="86">
        <v>0</v>
      </c>
      <c r="K175" s="92">
        <v>4.2322966600921266</v>
      </c>
      <c r="L175" s="86">
        <v>2.2611326108265062</v>
      </c>
      <c r="M175" s="88">
        <v>0.57461214904549784</v>
      </c>
      <c r="N175" s="86">
        <v>5.9200532370353356</v>
      </c>
      <c r="O175" s="86">
        <v>1.0992457712416663</v>
      </c>
      <c r="P175" s="86">
        <v>0.47309631659029411</v>
      </c>
      <c r="Q175" s="92">
        <v>0</v>
      </c>
    </row>
    <row r="176" spans="2:17" x14ac:dyDescent="0.3">
      <c r="B176" s="295"/>
      <c r="C176" s="12" t="s">
        <v>229</v>
      </c>
      <c r="D176" s="90">
        <v>44.158749631615251</v>
      </c>
      <c r="E176" s="90">
        <v>10.298991178413926</v>
      </c>
      <c r="F176" s="91">
        <v>8.2609557616307399</v>
      </c>
      <c r="G176" s="91">
        <v>4.3296757249696967</v>
      </c>
      <c r="H176" s="91">
        <v>15.118089611607289</v>
      </c>
      <c r="I176" s="90">
        <v>0</v>
      </c>
      <c r="J176" s="90">
        <v>1.0529860206966672</v>
      </c>
      <c r="K176" s="94">
        <v>4.0757971502583388</v>
      </c>
      <c r="L176" s="90">
        <v>3.12703727187272</v>
      </c>
      <c r="M176" s="91">
        <v>0.50675295575525869</v>
      </c>
      <c r="N176" s="90">
        <v>7.2610658337206369</v>
      </c>
      <c r="O176" s="90">
        <v>0</v>
      </c>
      <c r="P176" s="90">
        <v>1.8098988594594474</v>
      </c>
      <c r="Q176" s="94">
        <v>0</v>
      </c>
    </row>
    <row r="177" spans="2:21" x14ac:dyDescent="0.3">
      <c r="B177" s="296" t="s">
        <v>199</v>
      </c>
      <c r="C177" s="13" t="s">
        <v>192</v>
      </c>
      <c r="D177" s="84">
        <v>41.264308502487822</v>
      </c>
      <c r="E177" s="84">
        <v>11.652150005179719</v>
      </c>
      <c r="F177" s="89">
        <v>10.182607058727754</v>
      </c>
      <c r="G177" s="89">
        <v>7.2237401102125096</v>
      </c>
      <c r="H177" s="89">
        <v>11.425057396739511</v>
      </c>
      <c r="I177" s="84">
        <v>0.71417318620111825</v>
      </c>
      <c r="J177" s="84">
        <v>0.72143061237835915</v>
      </c>
      <c r="K177" s="93">
        <v>4.4417863844910377</v>
      </c>
      <c r="L177" s="84">
        <v>2.4517136467280163</v>
      </c>
      <c r="M177" s="89">
        <v>1.5686120792791618</v>
      </c>
      <c r="N177" s="84">
        <v>6.1888058191244202</v>
      </c>
      <c r="O177" s="84">
        <v>0.68986758276587445</v>
      </c>
      <c r="P177" s="84">
        <v>1.2296228046245479</v>
      </c>
      <c r="Q177" s="93">
        <v>0.24612481106025649</v>
      </c>
    </row>
    <row r="178" spans="2:21" x14ac:dyDescent="0.3">
      <c r="B178" s="292"/>
      <c r="C178" s="9" t="s">
        <v>200</v>
      </c>
      <c r="D178" s="86">
        <v>24.953800538973674</v>
      </c>
      <c r="E178" s="86">
        <v>8.9835935706202665</v>
      </c>
      <c r="F178" s="88">
        <v>10.929204882341613</v>
      </c>
      <c r="G178" s="88">
        <v>14.279075348694892</v>
      </c>
      <c r="H178" s="88">
        <v>13.503159567040338</v>
      </c>
      <c r="I178" s="86">
        <v>0</v>
      </c>
      <c r="J178" s="86">
        <v>1.7195300013836421</v>
      </c>
      <c r="K178" s="92">
        <v>4.2048813230953952</v>
      </c>
      <c r="L178" s="86">
        <v>0</v>
      </c>
      <c r="M178" s="88">
        <v>0</v>
      </c>
      <c r="N178" s="86">
        <v>21.426754767850209</v>
      </c>
      <c r="O178" s="86">
        <v>0</v>
      </c>
      <c r="P178" s="86">
        <v>0</v>
      </c>
      <c r="Q178" s="92">
        <v>0</v>
      </c>
    </row>
    <row r="179" spans="2:21" x14ac:dyDescent="0.3">
      <c r="B179" s="292"/>
      <c r="C179" s="9" t="s">
        <v>201</v>
      </c>
      <c r="D179" s="86">
        <v>37.143920300955102</v>
      </c>
      <c r="E179" s="86">
        <v>8.3203101289302648</v>
      </c>
      <c r="F179" s="88">
        <v>6.1712239761379211</v>
      </c>
      <c r="G179" s="88">
        <v>10.499954582977779</v>
      </c>
      <c r="H179" s="88">
        <v>13.127126533146846</v>
      </c>
      <c r="I179" s="86">
        <v>1.934620976672029</v>
      </c>
      <c r="J179" s="86">
        <v>1.8310729627659477</v>
      </c>
      <c r="K179" s="92">
        <v>6.4413625484953485</v>
      </c>
      <c r="L179" s="86">
        <v>2.3365403158557871</v>
      </c>
      <c r="M179" s="88">
        <v>0.85280016184421592</v>
      </c>
      <c r="N179" s="86">
        <v>7.6335678562417675</v>
      </c>
      <c r="O179" s="86">
        <v>0</v>
      </c>
      <c r="P179" s="86">
        <v>3.7074996559770179</v>
      </c>
      <c r="Q179" s="92">
        <v>0</v>
      </c>
    </row>
    <row r="180" spans="2:21" x14ac:dyDescent="0.3">
      <c r="B180" s="292"/>
      <c r="C180" s="9" t="s">
        <v>202</v>
      </c>
      <c r="D180" s="86">
        <v>25.607323120586688</v>
      </c>
      <c r="E180" s="86">
        <v>9.5137238418890568</v>
      </c>
      <c r="F180" s="88">
        <v>15.737328832327787</v>
      </c>
      <c r="G180" s="88">
        <v>10.783716705235211</v>
      </c>
      <c r="H180" s="88">
        <v>14.295235132863871</v>
      </c>
      <c r="I180" s="86">
        <v>0</v>
      </c>
      <c r="J180" s="86">
        <v>1.0902015537975933</v>
      </c>
      <c r="K180" s="92">
        <v>4.2783258927084864</v>
      </c>
      <c r="L180" s="86">
        <v>2.1301926615487909</v>
      </c>
      <c r="M180" s="88">
        <v>0</v>
      </c>
      <c r="N180" s="86">
        <v>13.04827599698887</v>
      </c>
      <c r="O180" s="86">
        <v>2.4828537374033419</v>
      </c>
      <c r="P180" s="86">
        <v>1.0328225246503513</v>
      </c>
      <c r="Q180" s="92">
        <v>0</v>
      </c>
    </row>
    <row r="181" spans="2:21" x14ac:dyDescent="0.3">
      <c r="B181" s="295"/>
      <c r="C181" s="12" t="s">
        <v>203</v>
      </c>
      <c r="D181" s="90">
        <v>37.235571504898815</v>
      </c>
      <c r="E181" s="90">
        <v>10.817534176713501</v>
      </c>
      <c r="F181" s="91">
        <v>7.7873088499776868</v>
      </c>
      <c r="G181" s="91">
        <v>9.3623288166197316</v>
      </c>
      <c r="H181" s="91">
        <v>17.858338683118525</v>
      </c>
      <c r="I181" s="90">
        <v>1.083266769531182</v>
      </c>
      <c r="J181" s="90">
        <v>0</v>
      </c>
      <c r="K181" s="94">
        <v>4.5102415329582817</v>
      </c>
      <c r="L181" s="90">
        <v>2.125532235598397</v>
      </c>
      <c r="M181" s="91">
        <v>1.1920205283461927</v>
      </c>
      <c r="N181" s="90">
        <v>7.0392971364663079</v>
      </c>
      <c r="O181" s="90">
        <v>0.46433990681826509</v>
      </c>
      <c r="P181" s="90">
        <v>0.52421985895308887</v>
      </c>
      <c r="Q181" s="94">
        <v>0</v>
      </c>
    </row>
    <row r="182" spans="2:21" x14ac:dyDescent="0.3">
      <c r="B182" s="291" t="s">
        <v>204</v>
      </c>
      <c r="C182" s="13" t="s">
        <v>192</v>
      </c>
      <c r="D182" s="84">
        <v>41.264308502487822</v>
      </c>
      <c r="E182" s="84">
        <v>11.652150005179719</v>
      </c>
      <c r="F182" s="89">
        <v>10.182607058727754</v>
      </c>
      <c r="G182" s="89">
        <v>7.2237401102125096</v>
      </c>
      <c r="H182" s="89">
        <v>11.425057396739511</v>
      </c>
      <c r="I182" s="84">
        <v>0.71417318620111825</v>
      </c>
      <c r="J182" s="84">
        <v>0.72143061237835915</v>
      </c>
      <c r="K182" s="93">
        <v>4.4417863844910377</v>
      </c>
      <c r="L182" s="84">
        <v>2.4517136467280163</v>
      </c>
      <c r="M182" s="89">
        <v>1.5686120792791618</v>
      </c>
      <c r="N182" s="84">
        <v>6.1888058191244202</v>
      </c>
      <c r="O182" s="84">
        <v>0.68986758276587445</v>
      </c>
      <c r="P182" s="84">
        <v>1.2296228046245479</v>
      </c>
      <c r="Q182" s="93">
        <v>0.24612481106025649</v>
      </c>
    </row>
    <row r="183" spans="2:21" x14ac:dyDescent="0.3">
      <c r="B183" s="295"/>
      <c r="C183" s="12" t="s">
        <v>193</v>
      </c>
      <c r="D183" s="90">
        <v>33.847792018265451</v>
      </c>
      <c r="E183" s="90">
        <v>9.8327380557448052</v>
      </c>
      <c r="F183" s="91">
        <v>9.269233422660923</v>
      </c>
      <c r="G183" s="91">
        <v>10.326686186481261</v>
      </c>
      <c r="H183" s="91">
        <v>15.699670026517174</v>
      </c>
      <c r="I183" s="90">
        <v>0.96847522778247297</v>
      </c>
      <c r="J183" s="90">
        <v>0.78101711388228179</v>
      </c>
      <c r="K183" s="94">
        <v>4.8770864308464121</v>
      </c>
      <c r="L183" s="90">
        <v>1.991443235544518</v>
      </c>
      <c r="M183" s="91">
        <v>0.77549220696459276</v>
      </c>
      <c r="N183" s="90">
        <v>9.6066351994517021</v>
      </c>
      <c r="O183" s="90">
        <v>0.71965473557691617</v>
      </c>
      <c r="P183" s="90">
        <v>1.3040761402814749</v>
      </c>
      <c r="Q183" s="94">
        <v>0</v>
      </c>
    </row>
    <row r="184" spans="2:21" ht="16.5" customHeight="1" x14ac:dyDescent="0.3">
      <c r="B184" s="291" t="s">
        <v>209</v>
      </c>
      <c r="C184" s="13" t="s">
        <v>205</v>
      </c>
      <c r="D184" s="84">
        <v>36.066082413599155</v>
      </c>
      <c r="E184" s="84">
        <v>6.1802666571611535</v>
      </c>
      <c r="F184" s="89">
        <v>12.648911290297631</v>
      </c>
      <c r="G184" s="89">
        <v>8.5304544014428334</v>
      </c>
      <c r="H184" s="89">
        <v>12.619377515816673</v>
      </c>
      <c r="I184" s="84">
        <v>0.79675722498874002</v>
      </c>
      <c r="J184" s="84">
        <v>1.335417575025972</v>
      </c>
      <c r="K184" s="93">
        <v>6.3549081942407799</v>
      </c>
      <c r="L184" s="84">
        <v>0.78551829514794602</v>
      </c>
      <c r="M184" s="89">
        <v>2.6922490930286638</v>
      </c>
      <c r="N184" s="84">
        <v>9.1607480111088044</v>
      </c>
      <c r="O184" s="84">
        <v>2.02157989672639</v>
      </c>
      <c r="P184" s="84">
        <v>0.80772943141525433</v>
      </c>
      <c r="Q184" s="93">
        <v>0</v>
      </c>
    </row>
    <row r="185" spans="2:21" x14ac:dyDescent="0.3">
      <c r="B185" s="292"/>
      <c r="C185" s="9" t="s">
        <v>206</v>
      </c>
      <c r="D185" s="86">
        <v>34.076131899309793</v>
      </c>
      <c r="E185" s="86">
        <v>13.589554395658137</v>
      </c>
      <c r="F185" s="88">
        <v>12.01843734655318</v>
      </c>
      <c r="G185" s="88">
        <v>6.5081113038991907</v>
      </c>
      <c r="H185" s="88">
        <v>17.28670637125677</v>
      </c>
      <c r="I185" s="86">
        <v>0</v>
      </c>
      <c r="J185" s="86">
        <v>0.56754896277781874</v>
      </c>
      <c r="K185" s="92">
        <v>4.9246076045547209</v>
      </c>
      <c r="L185" s="86">
        <v>1.7189595866189475</v>
      </c>
      <c r="M185" s="88">
        <v>0.83557173850180277</v>
      </c>
      <c r="N185" s="86">
        <v>4.6427015760656758</v>
      </c>
      <c r="O185" s="86">
        <v>1.4457809366663297</v>
      </c>
      <c r="P185" s="86">
        <v>1.5042844075070501</v>
      </c>
      <c r="Q185" s="92">
        <v>0.88160387063064194</v>
      </c>
    </row>
    <row r="186" spans="2:21" x14ac:dyDescent="0.3">
      <c r="B186" s="292"/>
      <c r="C186" s="9" t="s">
        <v>207</v>
      </c>
      <c r="D186" s="86">
        <v>39.573236428531509</v>
      </c>
      <c r="E186" s="86">
        <v>10.460072026904681</v>
      </c>
      <c r="F186" s="88">
        <v>9.0563070676568298</v>
      </c>
      <c r="G186" s="88">
        <v>8.4897865787777729</v>
      </c>
      <c r="H186" s="88">
        <v>13.53927835247665</v>
      </c>
      <c r="I186" s="86">
        <v>1.6397161817882806</v>
      </c>
      <c r="J186" s="86">
        <v>0.68898738059784703</v>
      </c>
      <c r="K186" s="92">
        <v>3.929415233916393</v>
      </c>
      <c r="L186" s="86">
        <v>2.2839462292782624</v>
      </c>
      <c r="M186" s="88">
        <v>1.7078585322328568</v>
      </c>
      <c r="N186" s="86">
        <v>6.8243376890020677</v>
      </c>
      <c r="O186" s="86">
        <v>0.46445783320132206</v>
      </c>
      <c r="P186" s="86">
        <v>1.3426004656355368</v>
      </c>
      <c r="Q186" s="92">
        <v>0</v>
      </c>
    </row>
    <row r="187" spans="2:21" x14ac:dyDescent="0.3">
      <c r="B187" s="293"/>
      <c r="C187" s="25" t="s">
        <v>208</v>
      </c>
      <c r="D187" s="87">
        <v>39.44704840255924</v>
      </c>
      <c r="E187" s="87">
        <v>12.084430626126395</v>
      </c>
      <c r="F187" s="95">
        <v>8.1640871029798205</v>
      </c>
      <c r="G187" s="95">
        <v>9.4643289394741377</v>
      </c>
      <c r="H187" s="95">
        <v>11.760557606976739</v>
      </c>
      <c r="I187" s="87">
        <v>0.59371570929849304</v>
      </c>
      <c r="J187" s="87">
        <v>0.60546541511132479</v>
      </c>
      <c r="K187" s="96">
        <v>4.2572921935722814</v>
      </c>
      <c r="L187" s="87">
        <v>3.0808310168228057</v>
      </c>
      <c r="M187" s="95">
        <v>0.40663283607111883</v>
      </c>
      <c r="N187" s="87">
        <v>8.8312157411933807</v>
      </c>
      <c r="O187" s="87">
        <v>0</v>
      </c>
      <c r="P187" s="87">
        <v>1.3043944098142937</v>
      </c>
      <c r="Q187" s="96">
        <v>0</v>
      </c>
    </row>
    <row r="188" spans="2:21" s="60" customFormat="1" ht="13.5" x14ac:dyDescent="0.3"/>
    <row r="189" spans="2:21" x14ac:dyDescent="0.3">
      <c r="B189" s="60"/>
      <c r="C189" s="9"/>
      <c r="D189" s="58"/>
      <c r="E189" s="58"/>
      <c r="F189" s="50"/>
      <c r="G189" s="58"/>
      <c r="H189" s="50"/>
      <c r="I189" s="58"/>
      <c r="J189" s="58"/>
      <c r="K189" s="58"/>
      <c r="L189" s="50"/>
      <c r="M189" s="58"/>
      <c r="N189" s="58"/>
    </row>
    <row r="190" spans="2:21" ht="17.25" customHeight="1" x14ac:dyDescent="0.3">
      <c r="B190" s="1" t="s">
        <v>488</v>
      </c>
      <c r="D190" s="59"/>
      <c r="E190" s="59"/>
      <c r="F190" s="304"/>
      <c r="G190" s="304"/>
      <c r="H190" s="304"/>
      <c r="I190" s="304"/>
      <c r="J190" s="304"/>
      <c r="K190" s="304"/>
      <c r="L190" s="304"/>
      <c r="M190" s="304"/>
      <c r="N190" s="304"/>
      <c r="O190" s="304"/>
      <c r="P190" s="304"/>
      <c r="Q190" s="304"/>
      <c r="R190" s="304"/>
      <c r="S190" s="304"/>
      <c r="T190" s="304"/>
      <c r="U190" s="304"/>
    </row>
    <row r="191" spans="2:21" ht="10.5" customHeight="1" x14ac:dyDescent="0.3"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30"/>
      <c r="P191" s="30"/>
      <c r="Q191" s="30" t="s">
        <v>157</v>
      </c>
    </row>
    <row r="192" spans="2:21" s="22" customFormat="1" ht="20.25" customHeight="1" x14ac:dyDescent="0.3">
      <c r="B192" s="307"/>
      <c r="C192" s="307"/>
      <c r="D192" s="300" t="s">
        <v>120</v>
      </c>
      <c r="E192" s="300"/>
      <c r="F192" s="300"/>
      <c r="G192" s="300"/>
      <c r="H192" s="300"/>
      <c r="I192" s="300"/>
      <c r="J192" s="301"/>
      <c r="K192" s="299" t="s">
        <v>125</v>
      </c>
      <c r="L192" s="300"/>
      <c r="M192" s="300"/>
      <c r="N192" s="300"/>
      <c r="O192" s="300"/>
      <c r="P192" s="301"/>
      <c r="Q192" s="212" t="s">
        <v>38</v>
      </c>
    </row>
    <row r="193" spans="2:17" s="125" customFormat="1" ht="27" x14ac:dyDescent="0.3">
      <c r="B193" s="300"/>
      <c r="C193" s="300"/>
      <c r="D193" s="202" t="s">
        <v>39</v>
      </c>
      <c r="E193" s="202" t="s">
        <v>40</v>
      </c>
      <c r="F193" s="202" t="s">
        <v>116</v>
      </c>
      <c r="G193" s="202" t="s">
        <v>117</v>
      </c>
      <c r="H193" s="202" t="s">
        <v>115</v>
      </c>
      <c r="I193" s="202" t="s">
        <v>119</v>
      </c>
      <c r="J193" s="202" t="s">
        <v>300</v>
      </c>
      <c r="K193" s="214" t="s">
        <v>298</v>
      </c>
      <c r="L193" s="202" t="s">
        <v>299</v>
      </c>
      <c r="M193" s="202" t="s">
        <v>121</v>
      </c>
      <c r="N193" s="202" t="s">
        <v>118</v>
      </c>
      <c r="O193" s="202" t="s">
        <v>122</v>
      </c>
      <c r="P193" s="202" t="s">
        <v>124</v>
      </c>
      <c r="Q193" s="214" t="s">
        <v>38</v>
      </c>
    </row>
    <row r="194" spans="2:17" ht="21.75" customHeight="1" x14ac:dyDescent="0.3">
      <c r="B194" s="292" t="s">
        <v>20</v>
      </c>
      <c r="C194" s="292"/>
      <c r="D194" s="86">
        <v>52.587918409034152</v>
      </c>
      <c r="E194" s="86">
        <v>35.296964723450145</v>
      </c>
      <c r="F194" s="88">
        <v>36.078843576230916</v>
      </c>
      <c r="G194" s="88">
        <v>29.994154803881372</v>
      </c>
      <c r="H194" s="88">
        <v>45.726610591771156</v>
      </c>
      <c r="I194" s="86">
        <v>8.1971718777595424</v>
      </c>
      <c r="J194" s="86">
        <v>10.151557992063688</v>
      </c>
      <c r="K194" s="92">
        <v>20.055320481919441</v>
      </c>
      <c r="L194" s="86">
        <v>15.248288360813259</v>
      </c>
      <c r="M194" s="88">
        <v>13.202106111473194</v>
      </c>
      <c r="N194" s="86">
        <v>23.190097045094028</v>
      </c>
      <c r="O194" s="86">
        <v>5.3341406177987594</v>
      </c>
      <c r="P194" s="86">
        <v>4.3196667352784939</v>
      </c>
      <c r="Q194" s="92">
        <v>0.61715867343234554</v>
      </c>
    </row>
    <row r="195" spans="2:17" x14ac:dyDescent="0.3">
      <c r="B195" s="296" t="s">
        <v>5</v>
      </c>
      <c r="C195" s="13" t="s">
        <v>0</v>
      </c>
      <c r="D195" s="84">
        <v>52.639430566144959</v>
      </c>
      <c r="E195" s="84">
        <v>35.233585281564132</v>
      </c>
      <c r="F195" s="89">
        <v>36.114184375313691</v>
      </c>
      <c r="G195" s="89">
        <v>29.925581028658549</v>
      </c>
      <c r="H195" s="89">
        <v>45.673447442387925</v>
      </c>
      <c r="I195" s="84">
        <v>8.2052013647292874</v>
      </c>
      <c r="J195" s="84">
        <v>10.161501885376584</v>
      </c>
      <c r="K195" s="93">
        <v>20.074965542055434</v>
      </c>
      <c r="L195" s="84">
        <v>15.263224723564939</v>
      </c>
      <c r="M195" s="89">
        <v>13.215038149568297</v>
      </c>
      <c r="N195" s="84">
        <v>23.212812755442368</v>
      </c>
      <c r="O195" s="84">
        <v>5.3393656409194312</v>
      </c>
      <c r="P195" s="84">
        <v>4.3238980370349775</v>
      </c>
      <c r="Q195" s="93">
        <v>0.6177632072399184</v>
      </c>
    </row>
    <row r="196" spans="2:17" x14ac:dyDescent="0.3">
      <c r="B196" s="295"/>
      <c r="C196" s="12" t="s">
        <v>1</v>
      </c>
      <c r="D196" s="90">
        <v>0</v>
      </c>
      <c r="E196" s="90">
        <v>0</v>
      </c>
      <c r="F196" s="91">
        <v>0</v>
      </c>
      <c r="G196" s="91">
        <v>0</v>
      </c>
      <c r="H196" s="91">
        <v>0</v>
      </c>
      <c r="I196" s="90">
        <v>0</v>
      </c>
      <c r="J196" s="90">
        <v>0</v>
      </c>
      <c r="K196" s="94">
        <v>0</v>
      </c>
      <c r="L196" s="90">
        <v>0</v>
      </c>
      <c r="M196" s="91">
        <v>0</v>
      </c>
      <c r="N196" s="90">
        <v>0</v>
      </c>
      <c r="O196" s="90">
        <v>0</v>
      </c>
      <c r="P196" s="90">
        <v>0</v>
      </c>
      <c r="Q196" s="94">
        <v>0</v>
      </c>
    </row>
    <row r="197" spans="2:17" x14ac:dyDescent="0.3">
      <c r="B197" s="296" t="s">
        <v>4</v>
      </c>
      <c r="C197" s="9" t="s">
        <v>175</v>
      </c>
      <c r="D197" s="86">
        <v>66.164671903873852</v>
      </c>
      <c r="E197" s="86">
        <v>38.724434098142261</v>
      </c>
      <c r="F197" s="88">
        <v>25.315549317523711</v>
      </c>
      <c r="G197" s="88">
        <v>22.767076813648842</v>
      </c>
      <c r="H197" s="88">
        <v>37.573292711410538</v>
      </c>
      <c r="I197" s="86">
        <v>17.538000271198687</v>
      </c>
      <c r="J197" s="86">
        <v>7.4562627116027649</v>
      </c>
      <c r="K197" s="92">
        <v>37.356681029922136</v>
      </c>
      <c r="L197" s="86">
        <v>18.684581334832068</v>
      </c>
      <c r="M197" s="88">
        <v>3.2018098531270254</v>
      </c>
      <c r="N197" s="86">
        <v>10.44323075138902</v>
      </c>
      <c r="O197" s="86">
        <v>1.5869696694490398</v>
      </c>
      <c r="P197" s="86">
        <v>13.187439533880058</v>
      </c>
      <c r="Q197" s="92">
        <v>0</v>
      </c>
    </row>
    <row r="198" spans="2:17" x14ac:dyDescent="0.3">
      <c r="B198" s="292"/>
      <c r="C198" s="9" t="s">
        <v>176</v>
      </c>
      <c r="D198" s="86">
        <v>56.145330574655326</v>
      </c>
      <c r="E198" s="86">
        <v>41.270640078769127</v>
      </c>
      <c r="F198" s="88">
        <v>39.971790901602738</v>
      </c>
      <c r="G198" s="88">
        <v>27.178987399843429</v>
      </c>
      <c r="H198" s="88">
        <v>31.381713647542998</v>
      </c>
      <c r="I198" s="86">
        <v>10.358980641707504</v>
      </c>
      <c r="J198" s="86">
        <v>9.4798085671086874</v>
      </c>
      <c r="K198" s="92">
        <v>22.06486567793268</v>
      </c>
      <c r="L198" s="86">
        <v>17.185194887158051</v>
      </c>
      <c r="M198" s="88">
        <v>11.504256445305188</v>
      </c>
      <c r="N198" s="86">
        <v>23.214565957739563</v>
      </c>
      <c r="O198" s="86">
        <v>2.7256331297993994</v>
      </c>
      <c r="P198" s="86">
        <v>6.9219995196047348</v>
      </c>
      <c r="Q198" s="92">
        <v>0.59623257123046414</v>
      </c>
    </row>
    <row r="199" spans="2:17" x14ac:dyDescent="0.3">
      <c r="B199" s="292"/>
      <c r="C199" s="9" t="s">
        <v>177</v>
      </c>
      <c r="D199" s="86">
        <v>57.777004372187534</v>
      </c>
      <c r="E199" s="86">
        <v>38.204073807301256</v>
      </c>
      <c r="F199" s="88">
        <v>40.973057791596602</v>
      </c>
      <c r="G199" s="88">
        <v>26.287967951686923</v>
      </c>
      <c r="H199" s="88">
        <v>43.345632494244398</v>
      </c>
      <c r="I199" s="86">
        <v>7.93923068521792</v>
      </c>
      <c r="J199" s="86">
        <v>11.439890148464606</v>
      </c>
      <c r="K199" s="92">
        <v>20.63476965176498</v>
      </c>
      <c r="L199" s="86">
        <v>12.703699495696513</v>
      </c>
      <c r="M199" s="88">
        <v>8.8597467780271533</v>
      </c>
      <c r="N199" s="86">
        <v>22.635528981084395</v>
      </c>
      <c r="O199" s="86">
        <v>4.3611871651640186</v>
      </c>
      <c r="P199" s="86">
        <v>4.838210677563854</v>
      </c>
      <c r="Q199" s="92">
        <v>0</v>
      </c>
    </row>
    <row r="200" spans="2:17" x14ac:dyDescent="0.3">
      <c r="B200" s="292"/>
      <c r="C200" s="9" t="s">
        <v>178</v>
      </c>
      <c r="D200" s="86">
        <v>53.697070101149855</v>
      </c>
      <c r="E200" s="86">
        <v>32.729164045413206</v>
      </c>
      <c r="F200" s="88">
        <v>33.909824746919782</v>
      </c>
      <c r="G200" s="88">
        <v>34.762762277758384</v>
      </c>
      <c r="H200" s="88">
        <v>50.226196956770096</v>
      </c>
      <c r="I200" s="86">
        <v>6.6982433913144508</v>
      </c>
      <c r="J200" s="86">
        <v>10.320410980991097</v>
      </c>
      <c r="K200" s="92">
        <v>15.247915756713848</v>
      </c>
      <c r="L200" s="86">
        <v>15.001518934873628</v>
      </c>
      <c r="M200" s="88">
        <v>16.830208241770865</v>
      </c>
      <c r="N200" s="86">
        <v>24.398718870647233</v>
      </c>
      <c r="O200" s="86">
        <v>2.3262217717515403</v>
      </c>
      <c r="P200" s="86">
        <v>1.9367384407965764</v>
      </c>
      <c r="Q200" s="92">
        <v>1.915005483129762</v>
      </c>
    </row>
    <row r="201" spans="2:17" x14ac:dyDescent="0.3">
      <c r="B201" s="292"/>
      <c r="C201" s="9" t="s">
        <v>179</v>
      </c>
      <c r="D201" s="86">
        <v>40.812405552365973</v>
      </c>
      <c r="E201" s="86">
        <v>30.683012048749543</v>
      </c>
      <c r="F201" s="88">
        <v>27.897364467612125</v>
      </c>
      <c r="G201" s="88">
        <v>32.325723349535238</v>
      </c>
      <c r="H201" s="88">
        <v>56.365628705598667</v>
      </c>
      <c r="I201" s="86">
        <v>6.4565040180280242</v>
      </c>
      <c r="J201" s="86">
        <v>7.3925491277421109</v>
      </c>
      <c r="K201" s="92">
        <v>21.987628772360772</v>
      </c>
      <c r="L201" s="86">
        <v>17.53413821113994</v>
      </c>
      <c r="M201" s="88">
        <v>18.814315628082177</v>
      </c>
      <c r="N201" s="86">
        <v>26.423497493407698</v>
      </c>
      <c r="O201" s="86">
        <v>10.455733817518146</v>
      </c>
      <c r="P201" s="86">
        <v>2.8514988078596497</v>
      </c>
      <c r="Q201" s="92">
        <v>0</v>
      </c>
    </row>
    <row r="202" spans="2:17" x14ac:dyDescent="0.3">
      <c r="B202" s="298"/>
      <c r="C202" s="12" t="s">
        <v>180</v>
      </c>
      <c r="D202" s="90">
        <v>47.090210909286476</v>
      </c>
      <c r="E202" s="90">
        <v>28.772426694415078</v>
      </c>
      <c r="F202" s="91">
        <v>39.816735822390321</v>
      </c>
      <c r="G202" s="91">
        <v>34.045103599262539</v>
      </c>
      <c r="H202" s="91">
        <v>56.479971880953251</v>
      </c>
      <c r="I202" s="90">
        <v>5.7494515199533849</v>
      </c>
      <c r="J202" s="90">
        <v>13.798420162221376</v>
      </c>
      <c r="K202" s="94">
        <v>12.809874223825576</v>
      </c>
      <c r="L202" s="90">
        <v>12.047188406721327</v>
      </c>
      <c r="M202" s="91">
        <v>14.549667773167824</v>
      </c>
      <c r="N202" s="90">
        <v>22.946734655598817</v>
      </c>
      <c r="O202" s="90">
        <v>10.067537076026181</v>
      </c>
      <c r="P202" s="90">
        <v>0.8455205089586223</v>
      </c>
      <c r="Q202" s="94">
        <v>0.98115676721914835</v>
      </c>
    </row>
    <row r="203" spans="2:17" x14ac:dyDescent="0.3">
      <c r="B203" s="292" t="s">
        <v>223</v>
      </c>
      <c r="C203" s="9" t="s">
        <v>210</v>
      </c>
      <c r="D203" s="86">
        <v>66.164671903873852</v>
      </c>
      <c r="E203" s="86">
        <v>38.724434098142261</v>
      </c>
      <c r="F203" s="88">
        <v>25.315549317523711</v>
      </c>
      <c r="G203" s="88">
        <v>22.767076813648842</v>
      </c>
      <c r="H203" s="88">
        <v>37.573292711410538</v>
      </c>
      <c r="I203" s="86">
        <v>17.538000271198687</v>
      </c>
      <c r="J203" s="86">
        <v>7.4562627116027649</v>
      </c>
      <c r="K203" s="92">
        <v>37.356681029922136</v>
      </c>
      <c r="L203" s="86">
        <v>18.684581334832068</v>
      </c>
      <c r="M203" s="88">
        <v>3.2018098531270254</v>
      </c>
      <c r="N203" s="86">
        <v>10.44323075138902</v>
      </c>
      <c r="O203" s="86">
        <v>1.5869696694490398</v>
      </c>
      <c r="P203" s="86">
        <v>13.187439533880058</v>
      </c>
      <c r="Q203" s="92">
        <v>0</v>
      </c>
    </row>
    <row r="204" spans="2:17" x14ac:dyDescent="0.3">
      <c r="B204" s="292"/>
      <c r="C204" s="9" t="s">
        <v>211</v>
      </c>
      <c r="D204" s="86">
        <v>56.145330574655326</v>
      </c>
      <c r="E204" s="86">
        <v>41.270640078769127</v>
      </c>
      <c r="F204" s="88">
        <v>39.971790901602738</v>
      </c>
      <c r="G204" s="88">
        <v>27.178987399843429</v>
      </c>
      <c r="H204" s="88">
        <v>31.381713647542998</v>
      </c>
      <c r="I204" s="86">
        <v>10.358980641707504</v>
      </c>
      <c r="J204" s="86">
        <v>9.4798085671086874</v>
      </c>
      <c r="K204" s="92">
        <v>22.06486567793268</v>
      </c>
      <c r="L204" s="86">
        <v>17.185194887158051</v>
      </c>
      <c r="M204" s="88">
        <v>11.504256445305188</v>
      </c>
      <c r="N204" s="86">
        <v>23.214565957739563</v>
      </c>
      <c r="O204" s="86">
        <v>2.7256331297993994</v>
      </c>
      <c r="P204" s="86">
        <v>6.9219995196047348</v>
      </c>
      <c r="Q204" s="92">
        <v>0.59623257123046414</v>
      </c>
    </row>
    <row r="205" spans="2:17" x14ac:dyDescent="0.3">
      <c r="B205" s="292"/>
      <c r="C205" s="9" t="s">
        <v>212</v>
      </c>
      <c r="D205" s="86">
        <v>57.777004372187534</v>
      </c>
      <c r="E205" s="86">
        <v>38.204073807301256</v>
      </c>
      <c r="F205" s="88">
        <v>40.973057791596602</v>
      </c>
      <c r="G205" s="88">
        <v>26.287967951686923</v>
      </c>
      <c r="H205" s="88">
        <v>43.345632494244398</v>
      </c>
      <c r="I205" s="86">
        <v>7.93923068521792</v>
      </c>
      <c r="J205" s="86">
        <v>11.439890148464606</v>
      </c>
      <c r="K205" s="92">
        <v>20.63476965176498</v>
      </c>
      <c r="L205" s="86">
        <v>12.703699495696513</v>
      </c>
      <c r="M205" s="88">
        <v>8.8597467780271533</v>
      </c>
      <c r="N205" s="86">
        <v>22.635528981084395</v>
      </c>
      <c r="O205" s="86">
        <v>4.3611871651640186</v>
      </c>
      <c r="P205" s="86">
        <v>4.838210677563854</v>
      </c>
      <c r="Q205" s="92">
        <v>0</v>
      </c>
    </row>
    <row r="206" spans="2:17" x14ac:dyDescent="0.3">
      <c r="B206" s="292"/>
      <c r="C206" s="9" t="s">
        <v>213</v>
      </c>
      <c r="D206" s="86">
        <v>53.697070101149855</v>
      </c>
      <c r="E206" s="86">
        <v>32.729164045413206</v>
      </c>
      <c r="F206" s="88">
        <v>33.909824746919782</v>
      </c>
      <c r="G206" s="88">
        <v>34.762762277758384</v>
      </c>
      <c r="H206" s="88">
        <v>50.226196956770096</v>
      </c>
      <c r="I206" s="86">
        <v>6.6982433913144508</v>
      </c>
      <c r="J206" s="86">
        <v>10.320410980991097</v>
      </c>
      <c r="K206" s="92">
        <v>15.247915756713848</v>
      </c>
      <c r="L206" s="86">
        <v>15.001518934873628</v>
      </c>
      <c r="M206" s="88">
        <v>16.830208241770865</v>
      </c>
      <c r="N206" s="86">
        <v>24.398718870647233</v>
      </c>
      <c r="O206" s="86">
        <v>2.3262217717515403</v>
      </c>
      <c r="P206" s="86">
        <v>1.9367384407965764</v>
      </c>
      <c r="Q206" s="92">
        <v>1.915005483129762</v>
      </c>
    </row>
    <row r="207" spans="2:17" x14ac:dyDescent="0.3">
      <c r="B207" s="292"/>
      <c r="C207" s="9" t="s">
        <v>214</v>
      </c>
      <c r="D207" s="86">
        <v>41.031797346402016</v>
      </c>
      <c r="E207" s="86">
        <v>30.310390583830326</v>
      </c>
      <c r="F207" s="88">
        <v>28.04732996845901</v>
      </c>
      <c r="G207" s="88">
        <v>31.961932468711346</v>
      </c>
      <c r="H207" s="88">
        <v>56.131067109183327</v>
      </c>
      <c r="I207" s="86">
        <v>6.4912117001787024</v>
      </c>
      <c r="J207" s="86">
        <v>7.4322886283592444</v>
      </c>
      <c r="K207" s="92">
        <v>22.10582580724952</v>
      </c>
      <c r="L207" s="86">
        <v>17.628394993776343</v>
      </c>
      <c r="M207" s="88">
        <v>18.915454152100548</v>
      </c>
      <c r="N207" s="86">
        <v>26.565540052314145</v>
      </c>
      <c r="O207" s="86">
        <v>10.511939820794414</v>
      </c>
      <c r="P207" s="86">
        <v>2.8668273686411325</v>
      </c>
      <c r="Q207" s="92">
        <v>0</v>
      </c>
    </row>
    <row r="208" spans="2:17" x14ac:dyDescent="0.3">
      <c r="B208" s="292"/>
      <c r="C208" s="12" t="s">
        <v>215</v>
      </c>
      <c r="D208" s="90">
        <v>47.090210909286476</v>
      </c>
      <c r="E208" s="90">
        <v>28.772426694415078</v>
      </c>
      <c r="F208" s="91">
        <v>39.816735822390321</v>
      </c>
      <c r="G208" s="91">
        <v>34.045103599262539</v>
      </c>
      <c r="H208" s="91">
        <v>56.479971880953251</v>
      </c>
      <c r="I208" s="90">
        <v>5.7494515199533849</v>
      </c>
      <c r="J208" s="90">
        <v>13.798420162221376</v>
      </c>
      <c r="K208" s="94">
        <v>12.809874223825576</v>
      </c>
      <c r="L208" s="90">
        <v>12.047188406721327</v>
      </c>
      <c r="M208" s="91">
        <v>14.549667773167824</v>
      </c>
      <c r="N208" s="90">
        <v>22.946734655598817</v>
      </c>
      <c r="O208" s="90">
        <v>10.067537076026181</v>
      </c>
      <c r="P208" s="90">
        <v>0.8455205089586223</v>
      </c>
      <c r="Q208" s="94">
        <v>0.98115676721914835</v>
      </c>
    </row>
    <row r="209" spans="2:17" x14ac:dyDescent="0.3">
      <c r="B209" s="292"/>
      <c r="C209" s="9" t="s">
        <v>216</v>
      </c>
      <c r="D209" s="86">
        <v>0</v>
      </c>
      <c r="E209" s="86">
        <v>0</v>
      </c>
      <c r="F209" s="88">
        <v>0</v>
      </c>
      <c r="G209" s="88">
        <v>0</v>
      </c>
      <c r="H209" s="88">
        <v>0</v>
      </c>
      <c r="I209" s="86">
        <v>0</v>
      </c>
      <c r="J209" s="86">
        <v>0</v>
      </c>
      <c r="K209" s="92">
        <v>0</v>
      </c>
      <c r="L209" s="86">
        <v>0</v>
      </c>
      <c r="M209" s="88">
        <v>0</v>
      </c>
      <c r="N209" s="86">
        <v>0</v>
      </c>
      <c r="O209" s="86">
        <v>0</v>
      </c>
      <c r="P209" s="86">
        <v>0</v>
      </c>
      <c r="Q209" s="92">
        <v>0</v>
      </c>
    </row>
    <row r="210" spans="2:17" x14ac:dyDescent="0.3">
      <c r="B210" s="292"/>
      <c r="C210" s="9" t="s">
        <v>217</v>
      </c>
      <c r="D210" s="86">
        <v>0</v>
      </c>
      <c r="E210" s="86">
        <v>0</v>
      </c>
      <c r="F210" s="88">
        <v>0</v>
      </c>
      <c r="G210" s="88">
        <v>0</v>
      </c>
      <c r="H210" s="88">
        <v>0</v>
      </c>
      <c r="I210" s="86">
        <v>0</v>
      </c>
      <c r="J210" s="86">
        <v>0</v>
      </c>
      <c r="K210" s="92">
        <v>0</v>
      </c>
      <c r="L210" s="86">
        <v>0</v>
      </c>
      <c r="M210" s="88">
        <v>0</v>
      </c>
      <c r="N210" s="86">
        <v>0</v>
      </c>
      <c r="O210" s="86">
        <v>0</v>
      </c>
      <c r="P210" s="86">
        <v>0</v>
      </c>
      <c r="Q210" s="92">
        <v>0</v>
      </c>
    </row>
    <row r="211" spans="2:17" x14ac:dyDescent="0.3">
      <c r="B211" s="292"/>
      <c r="C211" s="9" t="s">
        <v>218</v>
      </c>
      <c r="D211" s="86">
        <v>0</v>
      </c>
      <c r="E211" s="86">
        <v>0</v>
      </c>
      <c r="F211" s="88">
        <v>0</v>
      </c>
      <c r="G211" s="88">
        <v>0</v>
      </c>
      <c r="H211" s="88">
        <v>0</v>
      </c>
      <c r="I211" s="86">
        <v>0</v>
      </c>
      <c r="J211" s="86">
        <v>0</v>
      </c>
      <c r="K211" s="92">
        <v>0</v>
      </c>
      <c r="L211" s="86">
        <v>0</v>
      </c>
      <c r="M211" s="88">
        <v>0</v>
      </c>
      <c r="N211" s="86">
        <v>0</v>
      </c>
      <c r="O211" s="86">
        <v>0</v>
      </c>
      <c r="P211" s="86">
        <v>0</v>
      </c>
      <c r="Q211" s="92">
        <v>0</v>
      </c>
    </row>
    <row r="212" spans="2:17" x14ac:dyDescent="0.3">
      <c r="B212" s="292"/>
      <c r="C212" s="9" t="s">
        <v>219</v>
      </c>
      <c r="D212" s="86">
        <v>0</v>
      </c>
      <c r="E212" s="86">
        <v>0</v>
      </c>
      <c r="F212" s="88">
        <v>0</v>
      </c>
      <c r="G212" s="88">
        <v>0</v>
      </c>
      <c r="H212" s="88">
        <v>0</v>
      </c>
      <c r="I212" s="86">
        <v>0</v>
      </c>
      <c r="J212" s="86">
        <v>0</v>
      </c>
      <c r="K212" s="92">
        <v>0</v>
      </c>
      <c r="L212" s="86">
        <v>0</v>
      </c>
      <c r="M212" s="88">
        <v>0</v>
      </c>
      <c r="N212" s="86">
        <v>0</v>
      </c>
      <c r="O212" s="86">
        <v>0</v>
      </c>
      <c r="P212" s="86">
        <v>0</v>
      </c>
      <c r="Q212" s="92">
        <v>0</v>
      </c>
    </row>
    <row r="213" spans="2:17" x14ac:dyDescent="0.3">
      <c r="B213" s="292"/>
      <c r="C213" s="9" t="s">
        <v>220</v>
      </c>
      <c r="D213" s="86">
        <v>0</v>
      </c>
      <c r="E213" s="86">
        <v>100</v>
      </c>
      <c r="F213" s="88">
        <v>0</v>
      </c>
      <c r="G213" s="88">
        <v>100</v>
      </c>
      <c r="H213" s="88">
        <v>100</v>
      </c>
      <c r="I213" s="86">
        <v>0</v>
      </c>
      <c r="J213" s="86">
        <v>0</v>
      </c>
      <c r="K213" s="92">
        <v>0</v>
      </c>
      <c r="L213" s="86">
        <v>0</v>
      </c>
      <c r="M213" s="88">
        <v>0</v>
      </c>
      <c r="N213" s="86">
        <v>0</v>
      </c>
      <c r="O213" s="86">
        <v>0</v>
      </c>
      <c r="P213" s="86">
        <v>0</v>
      </c>
      <c r="Q213" s="92">
        <v>0</v>
      </c>
    </row>
    <row r="214" spans="2:17" x14ac:dyDescent="0.3">
      <c r="B214" s="295"/>
      <c r="C214" s="9" t="s">
        <v>221</v>
      </c>
      <c r="D214" s="86">
        <v>0</v>
      </c>
      <c r="E214" s="86">
        <v>0</v>
      </c>
      <c r="F214" s="88">
        <v>0</v>
      </c>
      <c r="G214" s="88">
        <v>0</v>
      </c>
      <c r="H214" s="88">
        <v>0</v>
      </c>
      <c r="I214" s="86">
        <v>0</v>
      </c>
      <c r="J214" s="86">
        <v>0</v>
      </c>
      <c r="K214" s="92">
        <v>0</v>
      </c>
      <c r="L214" s="86">
        <v>0</v>
      </c>
      <c r="M214" s="88">
        <v>0</v>
      </c>
      <c r="N214" s="86">
        <v>0</v>
      </c>
      <c r="O214" s="86">
        <v>0</v>
      </c>
      <c r="P214" s="86">
        <v>0</v>
      </c>
      <c r="Q214" s="92">
        <v>0</v>
      </c>
    </row>
    <row r="215" spans="2:17" ht="16.5" customHeight="1" x14ac:dyDescent="0.3">
      <c r="B215" s="291" t="s">
        <v>222</v>
      </c>
      <c r="C215" s="13" t="s">
        <v>226</v>
      </c>
      <c r="D215" s="84">
        <v>51.510015860495372</v>
      </c>
      <c r="E215" s="84">
        <v>37.100685570505675</v>
      </c>
      <c r="F215" s="89">
        <v>44.298984547106343</v>
      </c>
      <c r="G215" s="89">
        <v>33.242777223042559</v>
      </c>
      <c r="H215" s="89">
        <v>32.349278920301053</v>
      </c>
      <c r="I215" s="84">
        <v>12.460051333334734</v>
      </c>
      <c r="J215" s="84">
        <v>11.329526733657186</v>
      </c>
      <c r="K215" s="93">
        <v>16.318026943634536</v>
      </c>
      <c r="L215" s="84">
        <v>11.799075345051412</v>
      </c>
      <c r="M215" s="89">
        <v>9.3682849723132513</v>
      </c>
      <c r="N215" s="84">
        <v>24.09294656768628</v>
      </c>
      <c r="O215" s="84">
        <v>6.483942636875506</v>
      </c>
      <c r="P215" s="84">
        <v>8.5763385508379599</v>
      </c>
      <c r="Q215" s="93">
        <v>1.0700647951583071</v>
      </c>
    </row>
    <row r="216" spans="2:17" ht="16.5" customHeight="1" x14ac:dyDescent="0.3">
      <c r="B216" s="294"/>
      <c r="C216" s="9" t="s">
        <v>227</v>
      </c>
      <c r="D216" s="86">
        <v>48.997261544502066</v>
      </c>
      <c r="E216" s="86">
        <v>30.818424524416017</v>
      </c>
      <c r="F216" s="88">
        <v>34.584489225775286</v>
      </c>
      <c r="G216" s="88">
        <v>35.743158639549712</v>
      </c>
      <c r="H216" s="88">
        <v>44.470449003202738</v>
      </c>
      <c r="I216" s="86">
        <v>7.2373733019173558</v>
      </c>
      <c r="J216" s="86">
        <v>13.507888194077122</v>
      </c>
      <c r="K216" s="92">
        <v>24.521306408797667</v>
      </c>
      <c r="L216" s="86">
        <v>15.982914632371891</v>
      </c>
      <c r="M216" s="88">
        <v>13.047897923736992</v>
      </c>
      <c r="N216" s="86">
        <v>25.446562708457439</v>
      </c>
      <c r="O216" s="86">
        <v>3.552479246440913</v>
      </c>
      <c r="P216" s="86">
        <v>1.5819362912618442</v>
      </c>
      <c r="Q216" s="92">
        <v>0.50785835549285596</v>
      </c>
    </row>
    <row r="217" spans="2:17" x14ac:dyDescent="0.3">
      <c r="B217" s="292"/>
      <c r="C217" s="9" t="s">
        <v>228</v>
      </c>
      <c r="D217" s="86">
        <v>48.978421685091689</v>
      </c>
      <c r="E217" s="86">
        <v>32.705247067741659</v>
      </c>
      <c r="F217" s="88">
        <v>33.368413912198989</v>
      </c>
      <c r="G217" s="88">
        <v>33.258266078813001</v>
      </c>
      <c r="H217" s="88">
        <v>53.590033147787409</v>
      </c>
      <c r="I217" s="86">
        <v>8.9481854003629095</v>
      </c>
      <c r="J217" s="86">
        <v>9.0675642286361722</v>
      </c>
      <c r="K217" s="92">
        <v>20.547161665896756</v>
      </c>
      <c r="L217" s="86">
        <v>17.870516657248253</v>
      </c>
      <c r="M217" s="88">
        <v>12.703325719104669</v>
      </c>
      <c r="N217" s="86">
        <v>19.433624089361171</v>
      </c>
      <c r="O217" s="86">
        <v>6.2216413855222665</v>
      </c>
      <c r="P217" s="86">
        <v>2.8677652024049651</v>
      </c>
      <c r="Q217" s="92">
        <v>0.43983375983004341</v>
      </c>
    </row>
    <row r="218" spans="2:17" x14ac:dyDescent="0.3">
      <c r="B218" s="295"/>
      <c r="C218" s="12" t="s">
        <v>229</v>
      </c>
      <c r="D218" s="90">
        <v>60.552387404647945</v>
      </c>
      <c r="E218" s="90">
        <v>40.745076504437797</v>
      </c>
      <c r="F218" s="91">
        <v>32.837905776025821</v>
      </c>
      <c r="G218" s="91">
        <v>18.154206898087459</v>
      </c>
      <c r="H218" s="91">
        <v>51.789821369458124</v>
      </c>
      <c r="I218" s="90">
        <v>4.7785107197617682</v>
      </c>
      <c r="J218" s="90">
        <v>6.5514593386234932</v>
      </c>
      <c r="K218" s="94">
        <v>18.205855350863359</v>
      </c>
      <c r="L218" s="90">
        <v>15.16429737804371</v>
      </c>
      <c r="M218" s="91">
        <v>17.189504748062848</v>
      </c>
      <c r="N218" s="90">
        <v>23.385157417852302</v>
      </c>
      <c r="O218" s="90">
        <v>5.4014483947356844</v>
      </c>
      <c r="P218" s="90">
        <v>4.7523069344383195</v>
      </c>
      <c r="Q218" s="94">
        <v>0.49206176496124032</v>
      </c>
    </row>
    <row r="219" spans="2:17" x14ac:dyDescent="0.3">
      <c r="B219" s="296" t="s">
        <v>199</v>
      </c>
      <c r="C219" s="13" t="s">
        <v>192</v>
      </c>
      <c r="D219" s="84">
        <v>54.519521828069387</v>
      </c>
      <c r="E219" s="84">
        <v>40.212323101742811</v>
      </c>
      <c r="F219" s="89">
        <v>37.615179491379656</v>
      </c>
      <c r="G219" s="89">
        <v>27.713181718541442</v>
      </c>
      <c r="H219" s="89">
        <v>43.685141046824661</v>
      </c>
      <c r="I219" s="84">
        <v>8.3268411308985115</v>
      </c>
      <c r="J219" s="84">
        <v>10.616353308739285</v>
      </c>
      <c r="K219" s="93">
        <v>20.317772393486681</v>
      </c>
      <c r="L219" s="84">
        <v>14.805772953637433</v>
      </c>
      <c r="M219" s="89">
        <v>13.050864100861526</v>
      </c>
      <c r="N219" s="84">
        <v>19.803226527539376</v>
      </c>
      <c r="O219" s="84">
        <v>4.7759777405127775</v>
      </c>
      <c r="P219" s="84">
        <v>3.6670670287070259</v>
      </c>
      <c r="Q219" s="93">
        <v>0.89077762905970037</v>
      </c>
    </row>
    <row r="220" spans="2:17" x14ac:dyDescent="0.3">
      <c r="B220" s="292"/>
      <c r="C220" s="9" t="s">
        <v>200</v>
      </c>
      <c r="D220" s="86">
        <v>31.793691076197895</v>
      </c>
      <c r="E220" s="86">
        <v>28.48148415967421</v>
      </c>
      <c r="F220" s="88">
        <v>32.9853970567953</v>
      </c>
      <c r="G220" s="88">
        <v>32.481787892151544</v>
      </c>
      <c r="H220" s="88">
        <v>39.763816257300682</v>
      </c>
      <c r="I220" s="86">
        <v>12.423650741643435</v>
      </c>
      <c r="J220" s="86">
        <v>19.516776793956485</v>
      </c>
      <c r="K220" s="92">
        <v>20.070411834511887</v>
      </c>
      <c r="L220" s="86">
        <v>17.429259732369552</v>
      </c>
      <c r="M220" s="88">
        <v>10.15156897807638</v>
      </c>
      <c r="N220" s="86">
        <v>44.817220545650585</v>
      </c>
      <c r="O220" s="86">
        <v>10.084934931672109</v>
      </c>
      <c r="P220" s="86">
        <v>0</v>
      </c>
      <c r="Q220" s="92">
        <v>0</v>
      </c>
    </row>
    <row r="221" spans="2:17" x14ac:dyDescent="0.3">
      <c r="B221" s="292"/>
      <c r="C221" s="9" t="s">
        <v>201</v>
      </c>
      <c r="D221" s="86">
        <v>50.393068896939297</v>
      </c>
      <c r="E221" s="86">
        <v>32.202559318475856</v>
      </c>
      <c r="F221" s="88">
        <v>30.95001953044429</v>
      </c>
      <c r="G221" s="88">
        <v>32.915875499639476</v>
      </c>
      <c r="H221" s="88">
        <v>46.266513934415308</v>
      </c>
      <c r="I221" s="86">
        <v>12.194500435075717</v>
      </c>
      <c r="J221" s="86">
        <v>11.494107889497203</v>
      </c>
      <c r="K221" s="92">
        <v>21.94324999809583</v>
      </c>
      <c r="L221" s="86">
        <v>10.885601492216001</v>
      </c>
      <c r="M221" s="88">
        <v>13.361136627265699</v>
      </c>
      <c r="N221" s="86">
        <v>28.275004623302259</v>
      </c>
      <c r="O221" s="86">
        <v>3.6124085217981805</v>
      </c>
      <c r="P221" s="86">
        <v>5.5059532328349894</v>
      </c>
      <c r="Q221" s="92">
        <v>0</v>
      </c>
    </row>
    <row r="222" spans="2:17" x14ac:dyDescent="0.3">
      <c r="B222" s="292"/>
      <c r="C222" s="9" t="s">
        <v>202</v>
      </c>
      <c r="D222" s="86">
        <v>48.75703329331062</v>
      </c>
      <c r="E222" s="86">
        <v>26.071222585054414</v>
      </c>
      <c r="F222" s="88">
        <v>30.727639725679644</v>
      </c>
      <c r="G222" s="88">
        <v>35.189799611365139</v>
      </c>
      <c r="H222" s="88">
        <v>44.293631682892837</v>
      </c>
      <c r="I222" s="86">
        <v>5.078211904061332</v>
      </c>
      <c r="J222" s="86">
        <v>11.235621519652186</v>
      </c>
      <c r="K222" s="92">
        <v>18.478723040654916</v>
      </c>
      <c r="L222" s="86">
        <v>17.836450322941449</v>
      </c>
      <c r="M222" s="88">
        <v>14.75737928725456</v>
      </c>
      <c r="N222" s="86">
        <v>29.70939332539993</v>
      </c>
      <c r="O222" s="86">
        <v>6.5751382761148891</v>
      </c>
      <c r="P222" s="86">
        <v>9.9877888332232629</v>
      </c>
      <c r="Q222" s="92">
        <v>1.3019665923950068</v>
      </c>
    </row>
    <row r="223" spans="2:17" x14ac:dyDescent="0.3">
      <c r="B223" s="295"/>
      <c r="C223" s="12" t="s">
        <v>203</v>
      </c>
      <c r="D223" s="90">
        <v>53.651825376020369</v>
      </c>
      <c r="E223" s="90">
        <v>28.494577538080051</v>
      </c>
      <c r="F223" s="91">
        <v>37.067353635489503</v>
      </c>
      <c r="G223" s="91">
        <v>32.205038063324388</v>
      </c>
      <c r="H223" s="91">
        <v>52.594397531764159</v>
      </c>
      <c r="I223" s="90">
        <v>6.5092308125171723</v>
      </c>
      <c r="J223" s="90">
        <v>6.1830409652175726</v>
      </c>
      <c r="K223" s="94">
        <v>19.109386623205953</v>
      </c>
      <c r="L223" s="90">
        <v>17.032214059349439</v>
      </c>
      <c r="M223" s="91">
        <v>13.439435372874986</v>
      </c>
      <c r="N223" s="90">
        <v>23.446568897272101</v>
      </c>
      <c r="O223" s="90">
        <v>6.2924684642345703</v>
      </c>
      <c r="P223" s="90">
        <v>3.9744626606496838</v>
      </c>
      <c r="Q223" s="94">
        <v>0</v>
      </c>
    </row>
    <row r="224" spans="2:17" x14ac:dyDescent="0.3">
      <c r="B224" s="291" t="s">
        <v>204</v>
      </c>
      <c r="C224" s="13" t="s">
        <v>192</v>
      </c>
      <c r="D224" s="84">
        <v>54.519521828069387</v>
      </c>
      <c r="E224" s="84">
        <v>40.212323101742811</v>
      </c>
      <c r="F224" s="89">
        <v>37.615179491379656</v>
      </c>
      <c r="G224" s="89">
        <v>27.713181718541442</v>
      </c>
      <c r="H224" s="89">
        <v>43.685141046824661</v>
      </c>
      <c r="I224" s="84">
        <v>8.3268411308985115</v>
      </c>
      <c r="J224" s="84">
        <v>10.616353308739285</v>
      </c>
      <c r="K224" s="93">
        <v>20.317772393486681</v>
      </c>
      <c r="L224" s="84">
        <v>14.805772953637433</v>
      </c>
      <c r="M224" s="89">
        <v>13.050864100861526</v>
      </c>
      <c r="N224" s="84">
        <v>19.803226527539376</v>
      </c>
      <c r="O224" s="84">
        <v>4.7759777405127775</v>
      </c>
      <c r="P224" s="84">
        <v>3.6670670287070259</v>
      </c>
      <c r="Q224" s="93">
        <v>0.89077762905970037</v>
      </c>
    </row>
    <row r="225" spans="2:19" x14ac:dyDescent="0.3">
      <c r="B225" s="295"/>
      <c r="C225" s="12" t="s">
        <v>193</v>
      </c>
      <c r="D225" s="90">
        <v>50.056578825191366</v>
      </c>
      <c r="E225" s="90">
        <v>28.855455504151301</v>
      </c>
      <c r="F225" s="91">
        <v>34.065496593216338</v>
      </c>
      <c r="G225" s="91">
        <v>32.983338506757676</v>
      </c>
      <c r="H225" s="91">
        <v>48.401928215154328</v>
      </c>
      <c r="I225" s="90">
        <v>8.0272421136871852</v>
      </c>
      <c r="J225" s="90">
        <v>9.5424501535233706</v>
      </c>
      <c r="K225" s="94">
        <v>19.711380879173632</v>
      </c>
      <c r="L225" s="90">
        <v>15.828198685886004</v>
      </c>
      <c r="M225" s="91">
        <v>13.400306676055141</v>
      </c>
      <c r="N225" s="90">
        <v>27.628544048215048</v>
      </c>
      <c r="O225" s="90">
        <v>6.0656053540804544</v>
      </c>
      <c r="P225" s="90">
        <v>5.1748896311219195</v>
      </c>
      <c r="Q225" s="94">
        <v>0.2585848137861822</v>
      </c>
    </row>
    <row r="226" spans="2:19" ht="16.5" customHeight="1" x14ac:dyDescent="0.3">
      <c r="B226" s="291" t="s">
        <v>209</v>
      </c>
      <c r="C226" s="13" t="s">
        <v>205</v>
      </c>
      <c r="D226" s="84">
        <v>50.379155109387973</v>
      </c>
      <c r="E226" s="84">
        <v>38.12430695163588</v>
      </c>
      <c r="F226" s="89">
        <v>38.645948686338414</v>
      </c>
      <c r="G226" s="89">
        <v>28.209080391100205</v>
      </c>
      <c r="H226" s="89">
        <v>39.706620456004728</v>
      </c>
      <c r="I226" s="84">
        <v>5.7580657223034803</v>
      </c>
      <c r="J226" s="84">
        <v>9.0252569422588049</v>
      </c>
      <c r="K226" s="93">
        <v>26.304927482118067</v>
      </c>
      <c r="L226" s="84">
        <v>9.9926148866347884</v>
      </c>
      <c r="M226" s="89">
        <v>14.343299251095894</v>
      </c>
      <c r="N226" s="84">
        <v>25.674597035265151</v>
      </c>
      <c r="O226" s="84">
        <v>6.3035050181562928</v>
      </c>
      <c r="P226" s="84">
        <v>6.8770330317888719</v>
      </c>
      <c r="Q226" s="93">
        <v>0.655589035911471</v>
      </c>
    </row>
    <row r="227" spans="2:19" x14ac:dyDescent="0.3">
      <c r="B227" s="292"/>
      <c r="C227" s="9" t="s">
        <v>206</v>
      </c>
      <c r="D227" s="86">
        <v>52.713192735020478</v>
      </c>
      <c r="E227" s="86">
        <v>34.907122821791006</v>
      </c>
      <c r="F227" s="88">
        <v>38.256698820464926</v>
      </c>
      <c r="G227" s="88">
        <v>27.28201822499075</v>
      </c>
      <c r="H227" s="88">
        <v>53.366208249560131</v>
      </c>
      <c r="I227" s="86">
        <v>6.2863672046296672</v>
      </c>
      <c r="J227" s="86">
        <v>11.580713661268961</v>
      </c>
      <c r="K227" s="92">
        <v>21.01025400709398</v>
      </c>
      <c r="L227" s="86">
        <v>14.485171638356803</v>
      </c>
      <c r="M227" s="88">
        <v>11.323433310035011</v>
      </c>
      <c r="N227" s="86">
        <v>16.110568711166</v>
      </c>
      <c r="O227" s="86">
        <v>6.4795576721834198</v>
      </c>
      <c r="P227" s="86">
        <v>4.4692103803052472</v>
      </c>
      <c r="Q227" s="92">
        <v>1.7294825631337711</v>
      </c>
    </row>
    <row r="228" spans="2:19" x14ac:dyDescent="0.3">
      <c r="B228" s="292"/>
      <c r="C228" s="9" t="s">
        <v>207</v>
      </c>
      <c r="D228" s="86">
        <v>52.620009932985759</v>
      </c>
      <c r="E228" s="86">
        <v>33.937212026665065</v>
      </c>
      <c r="F228" s="88">
        <v>41.902233397740915</v>
      </c>
      <c r="G228" s="88">
        <v>30.442034015917301</v>
      </c>
      <c r="H228" s="88">
        <v>44.145451265980412</v>
      </c>
      <c r="I228" s="86">
        <v>9.5671070989570914</v>
      </c>
      <c r="J228" s="86">
        <v>7.811860932255696</v>
      </c>
      <c r="K228" s="92">
        <v>16.154889437369231</v>
      </c>
      <c r="L228" s="86">
        <v>19.226420895185107</v>
      </c>
      <c r="M228" s="88">
        <v>13.335417949724427</v>
      </c>
      <c r="N228" s="86">
        <v>23.40770171316073</v>
      </c>
      <c r="O228" s="86">
        <v>4.8840419279703333</v>
      </c>
      <c r="P228" s="86">
        <v>2.5656194060879436</v>
      </c>
      <c r="Q228" s="92">
        <v>0</v>
      </c>
    </row>
    <row r="229" spans="2:19" x14ac:dyDescent="0.3">
      <c r="B229" s="293"/>
      <c r="C229" s="25" t="s">
        <v>208</v>
      </c>
      <c r="D229" s="87">
        <v>53.47243691872697</v>
      </c>
      <c r="E229" s="87">
        <v>35.184949165496654</v>
      </c>
      <c r="F229" s="95">
        <v>29.992448860654026</v>
      </c>
      <c r="G229" s="95">
        <v>31.543307204551851</v>
      </c>
      <c r="H229" s="95">
        <v>46.377076721665397</v>
      </c>
      <c r="I229" s="87">
        <v>9.0587865698636687</v>
      </c>
      <c r="J229" s="87">
        <v>11.711587213417756</v>
      </c>
      <c r="K229" s="96">
        <v>19.706943447786688</v>
      </c>
      <c r="L229" s="87">
        <v>15.034001832229249</v>
      </c>
      <c r="M229" s="95">
        <v>13.368991553234375</v>
      </c>
      <c r="N229" s="87">
        <v>24.806555244140032</v>
      </c>
      <c r="O229" s="87">
        <v>4.7701082039880154</v>
      </c>
      <c r="P229" s="87">
        <v>4.3852662407924541</v>
      </c>
      <c r="Q229" s="96">
        <v>0.58754082345295777</v>
      </c>
    </row>
    <row r="230" spans="2:19" s="60" customFormat="1" ht="13.5" x14ac:dyDescent="0.3"/>
    <row r="231" spans="2:19" x14ac:dyDescent="0.3">
      <c r="B231" s="60"/>
      <c r="C231" s="9"/>
      <c r="D231" s="58"/>
      <c r="E231" s="58"/>
      <c r="F231" s="50"/>
      <c r="G231" s="58"/>
      <c r="H231" s="50"/>
      <c r="I231" s="58"/>
      <c r="J231" s="58"/>
      <c r="K231" s="58"/>
      <c r="L231" s="50"/>
      <c r="M231" s="58"/>
      <c r="N231" s="58"/>
    </row>
    <row r="232" spans="2:19" x14ac:dyDescent="0.3">
      <c r="B232" s="1" t="s">
        <v>489</v>
      </c>
      <c r="D232" s="59"/>
      <c r="E232" s="304"/>
      <c r="F232" s="304"/>
      <c r="G232" s="304"/>
      <c r="H232" s="304"/>
      <c r="I232" s="304"/>
      <c r="J232" s="304"/>
      <c r="K232" s="304"/>
      <c r="L232" s="304"/>
      <c r="M232" s="304"/>
      <c r="N232" s="304"/>
      <c r="O232" s="304"/>
      <c r="P232" s="304"/>
      <c r="Q232" s="304"/>
      <c r="R232" s="304"/>
      <c r="S232" s="304"/>
    </row>
    <row r="233" spans="2:19" ht="10.5" customHeight="1" x14ac:dyDescent="0.3"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30"/>
      <c r="O233" s="30"/>
      <c r="P233" s="30" t="s">
        <v>52</v>
      </c>
    </row>
    <row r="234" spans="2:19" s="125" customFormat="1" ht="27" x14ac:dyDescent="0.3">
      <c r="B234" s="297"/>
      <c r="C234" s="297"/>
      <c r="D234" s="215" t="s">
        <v>57</v>
      </c>
      <c r="E234" s="215" t="s">
        <v>59</v>
      </c>
      <c r="F234" s="215" t="s">
        <v>126</v>
      </c>
      <c r="G234" s="215" t="s">
        <v>58</v>
      </c>
      <c r="H234" s="215" t="s">
        <v>127</v>
      </c>
      <c r="I234" s="202" t="s">
        <v>376</v>
      </c>
      <c r="J234" s="215" t="s">
        <v>60</v>
      </c>
      <c r="K234" s="215" t="s">
        <v>61</v>
      </c>
      <c r="L234" s="215" t="s">
        <v>128</v>
      </c>
      <c r="M234" s="215" t="s">
        <v>129</v>
      </c>
      <c r="N234" s="202" t="s">
        <v>377</v>
      </c>
      <c r="O234" s="215" t="s">
        <v>130</v>
      </c>
      <c r="P234" s="215" t="s">
        <v>38</v>
      </c>
      <c r="Q234" s="126"/>
    </row>
    <row r="235" spans="2:19" ht="21.75" customHeight="1" x14ac:dyDescent="0.3">
      <c r="B235" s="292" t="s">
        <v>20</v>
      </c>
      <c r="C235" s="292"/>
      <c r="D235" s="86">
        <v>29.300122102592464</v>
      </c>
      <c r="E235" s="86">
        <v>15.002835616237256</v>
      </c>
      <c r="F235" s="88">
        <v>26.723722817964529</v>
      </c>
      <c r="G235" s="86">
        <v>4.6312567687679778</v>
      </c>
      <c r="H235" s="88">
        <v>4.5520474987916346</v>
      </c>
      <c r="I235" s="86">
        <v>7.2846690697998788</v>
      </c>
      <c r="J235" s="86">
        <v>2.9331796531961971</v>
      </c>
      <c r="K235" s="86">
        <v>0.66619762897120349</v>
      </c>
      <c r="L235" s="88">
        <v>6.7517338980800172</v>
      </c>
      <c r="M235" s="86">
        <v>0.94439537817918062</v>
      </c>
      <c r="N235" s="86">
        <v>0.36127216522376826</v>
      </c>
      <c r="O235" s="86">
        <v>0.71430800313334253</v>
      </c>
      <c r="P235" s="86">
        <v>0.13425939906272213</v>
      </c>
    </row>
    <row r="236" spans="2:19" x14ac:dyDescent="0.3">
      <c r="B236" s="296" t="s">
        <v>5</v>
      </c>
      <c r="C236" s="13" t="s">
        <v>0</v>
      </c>
      <c r="D236" s="84">
        <v>29.328822848672104</v>
      </c>
      <c r="E236" s="84">
        <v>15.017531547332306</v>
      </c>
      <c r="F236" s="89">
        <v>26.651945512132858</v>
      </c>
      <c r="G236" s="84">
        <v>4.6357932865369005</v>
      </c>
      <c r="H236" s="89">
        <v>4.5565064276298095</v>
      </c>
      <c r="I236" s="84">
        <v>7.29180472051541</v>
      </c>
      <c r="J236" s="84">
        <v>2.93605283045251</v>
      </c>
      <c r="K236" s="84">
        <v>0.66685019857214289</v>
      </c>
      <c r="L236" s="89">
        <v>6.7583475155771593</v>
      </c>
      <c r="M236" s="84">
        <v>0.94532045459534719</v>
      </c>
      <c r="N236" s="84">
        <v>0.36162604704867751</v>
      </c>
      <c r="O236" s="84">
        <v>0.71500769894173544</v>
      </c>
      <c r="P236" s="84">
        <v>0.13439091199320796</v>
      </c>
    </row>
    <row r="237" spans="2:19" x14ac:dyDescent="0.3">
      <c r="B237" s="295"/>
      <c r="C237" s="12" t="s">
        <v>1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</row>
    <row r="238" spans="2:19" x14ac:dyDescent="0.3">
      <c r="B238" s="296" t="s">
        <v>4</v>
      </c>
      <c r="C238" s="9" t="s">
        <v>175</v>
      </c>
      <c r="D238" s="86">
        <v>29.852605449487847</v>
      </c>
      <c r="E238" s="86">
        <v>17.989001293439873</v>
      </c>
      <c r="F238" s="88">
        <v>32.011010043232453</v>
      </c>
      <c r="G238" s="86">
        <v>4.2832305983981138</v>
      </c>
      <c r="H238" s="88">
        <v>2.284800855673772</v>
      </c>
      <c r="I238" s="86">
        <v>3.2018098531270254</v>
      </c>
      <c r="J238" s="86">
        <v>0</v>
      </c>
      <c r="K238" s="86">
        <v>0</v>
      </c>
      <c r="L238" s="88">
        <v>4.9810617846228453</v>
      </c>
      <c r="M238" s="86">
        <v>2.7002191930690032</v>
      </c>
      <c r="N238" s="86">
        <v>0</v>
      </c>
      <c r="O238" s="86">
        <v>2.6962609289490738</v>
      </c>
      <c r="P238" s="86">
        <v>0</v>
      </c>
    </row>
    <row r="239" spans="2:19" x14ac:dyDescent="0.3">
      <c r="B239" s="292"/>
      <c r="C239" s="9" t="s">
        <v>176</v>
      </c>
      <c r="D239" s="86">
        <v>34.766558264479734</v>
      </c>
      <c r="E239" s="86">
        <v>15.113457886985607</v>
      </c>
      <c r="F239" s="88">
        <v>21.577613526976794</v>
      </c>
      <c r="G239" s="86">
        <v>4.9676531943077844</v>
      </c>
      <c r="H239" s="88">
        <v>4.6108159887960447</v>
      </c>
      <c r="I239" s="86">
        <v>8.1382942137890151</v>
      </c>
      <c r="J239" s="86">
        <v>3.8873693687742876</v>
      </c>
      <c r="K239" s="86">
        <v>0.64591861883300283</v>
      </c>
      <c r="L239" s="88">
        <v>4.1710730306229733</v>
      </c>
      <c r="M239" s="86">
        <v>0.33836479073198367</v>
      </c>
      <c r="N239" s="86">
        <v>0.56156601011774432</v>
      </c>
      <c r="O239" s="86">
        <v>0.62508253435451888</v>
      </c>
      <c r="P239" s="86">
        <v>0.59623257123046414</v>
      </c>
    </row>
    <row r="240" spans="2:19" x14ac:dyDescent="0.3">
      <c r="B240" s="292"/>
      <c r="C240" s="9" t="s">
        <v>177</v>
      </c>
      <c r="D240" s="86">
        <v>23.889953420071642</v>
      </c>
      <c r="E240" s="86">
        <v>17.336557808389532</v>
      </c>
      <c r="F240" s="88">
        <v>26.529277527970475</v>
      </c>
      <c r="G240" s="86">
        <v>6.4030802305611241</v>
      </c>
      <c r="H240" s="88">
        <v>4.0486211052051226</v>
      </c>
      <c r="I240" s="86">
        <v>4.881194801208208</v>
      </c>
      <c r="J240" s="86">
        <v>3.51028970699037</v>
      </c>
      <c r="K240" s="86">
        <v>0</v>
      </c>
      <c r="L240" s="88">
        <v>11.623040403318404</v>
      </c>
      <c r="M240" s="86">
        <v>0.82671659686129484</v>
      </c>
      <c r="N240" s="86">
        <v>0</v>
      </c>
      <c r="O240" s="86">
        <v>0.95126839942389096</v>
      </c>
      <c r="P240" s="86">
        <v>0</v>
      </c>
    </row>
    <row r="241" spans="2:16" x14ac:dyDescent="0.3">
      <c r="B241" s="292"/>
      <c r="C241" s="9" t="s">
        <v>178</v>
      </c>
      <c r="D241" s="86">
        <v>36.297547954783099</v>
      </c>
      <c r="E241" s="86">
        <v>16.241510921344222</v>
      </c>
      <c r="F241" s="88">
        <v>16.576603563852686</v>
      </c>
      <c r="G241" s="86">
        <v>6.2670878451567535</v>
      </c>
      <c r="H241" s="88">
        <v>5.5352715438554227</v>
      </c>
      <c r="I241" s="86">
        <v>5.2123328795054613</v>
      </c>
      <c r="J241" s="86">
        <v>3.1105840827934643</v>
      </c>
      <c r="K241" s="86">
        <v>1.2059890274288902</v>
      </c>
      <c r="L241" s="88">
        <v>6.6098674080062647</v>
      </c>
      <c r="M241" s="86">
        <v>1.6744446265803576</v>
      </c>
      <c r="N241" s="86">
        <v>1.2687601466934977</v>
      </c>
      <c r="O241" s="86">
        <v>0</v>
      </c>
      <c r="P241" s="86">
        <v>0</v>
      </c>
    </row>
    <row r="242" spans="2:16" x14ac:dyDescent="0.3">
      <c r="B242" s="292"/>
      <c r="C242" s="9" t="s">
        <v>179</v>
      </c>
      <c r="D242" s="86">
        <v>25.843277471856148</v>
      </c>
      <c r="E242" s="86">
        <v>11.212860133140005</v>
      </c>
      <c r="F242" s="88">
        <v>33.016581455023882</v>
      </c>
      <c r="G242" s="86">
        <v>3.269790470755976</v>
      </c>
      <c r="H242" s="88">
        <v>5.7361713688423182</v>
      </c>
      <c r="I242" s="86">
        <v>11.08520563517645</v>
      </c>
      <c r="J242" s="86">
        <v>1.3900506411371589</v>
      </c>
      <c r="K242" s="86">
        <v>0.93200080923774298</v>
      </c>
      <c r="L242" s="88">
        <v>6.4316970956707378</v>
      </c>
      <c r="M242" s="86">
        <v>0.56736594360526094</v>
      </c>
      <c r="N242" s="86">
        <v>0</v>
      </c>
      <c r="O242" s="86">
        <v>0.51499897555435592</v>
      </c>
      <c r="P242" s="86">
        <v>0</v>
      </c>
    </row>
    <row r="243" spans="2:16" x14ac:dyDescent="0.3">
      <c r="B243" s="298"/>
      <c r="C243" s="12" t="s">
        <v>180</v>
      </c>
      <c r="D243" s="90">
        <v>23.859372638974492</v>
      </c>
      <c r="E243" s="90">
        <v>13.18403422973832</v>
      </c>
      <c r="F243" s="91">
        <v>39.345177044487748</v>
      </c>
      <c r="G243" s="90">
        <v>0.75661223745132788</v>
      </c>
      <c r="H243" s="91">
        <v>3.1693258916861726</v>
      </c>
      <c r="I243" s="90">
        <v>9.1649497233260231</v>
      </c>
      <c r="J243" s="90">
        <v>3.3816999415483551</v>
      </c>
      <c r="K243" s="90">
        <v>0.96969231333402828</v>
      </c>
      <c r="L243" s="91">
        <v>4.2246265778976753</v>
      </c>
      <c r="M243" s="90">
        <v>0.9829757696810697</v>
      </c>
      <c r="N243" s="90">
        <v>0</v>
      </c>
      <c r="O243" s="90">
        <v>0.96153363187476537</v>
      </c>
      <c r="P243" s="90">
        <v>0</v>
      </c>
    </row>
    <row r="244" spans="2:16" x14ac:dyDescent="0.3">
      <c r="B244" s="292" t="s">
        <v>223</v>
      </c>
      <c r="C244" s="9" t="s">
        <v>210</v>
      </c>
      <c r="D244" s="86">
        <v>29.852605449487847</v>
      </c>
      <c r="E244" s="86">
        <v>17.989001293439873</v>
      </c>
      <c r="F244" s="88">
        <v>32.011010043232453</v>
      </c>
      <c r="G244" s="86">
        <v>4.2832305983981138</v>
      </c>
      <c r="H244" s="88">
        <v>2.284800855673772</v>
      </c>
      <c r="I244" s="86">
        <v>3.2018098531270254</v>
      </c>
      <c r="J244" s="86">
        <v>0</v>
      </c>
      <c r="K244" s="86">
        <v>0</v>
      </c>
      <c r="L244" s="88">
        <v>4.9810617846228453</v>
      </c>
      <c r="M244" s="86">
        <v>2.7002191930690032</v>
      </c>
      <c r="N244" s="86">
        <v>0</v>
      </c>
      <c r="O244" s="86">
        <v>2.6962609289490738</v>
      </c>
      <c r="P244" s="86">
        <v>0</v>
      </c>
    </row>
    <row r="245" spans="2:16" x14ac:dyDescent="0.3">
      <c r="B245" s="292"/>
      <c r="C245" s="9" t="s">
        <v>211</v>
      </c>
      <c r="D245" s="86">
        <v>34.766558264479734</v>
      </c>
      <c r="E245" s="86">
        <v>15.113457886985607</v>
      </c>
      <c r="F245" s="88">
        <v>21.577613526976794</v>
      </c>
      <c r="G245" s="86">
        <v>4.9676531943077844</v>
      </c>
      <c r="H245" s="88">
        <v>4.6108159887960447</v>
      </c>
      <c r="I245" s="86">
        <v>8.1382942137890151</v>
      </c>
      <c r="J245" s="86">
        <v>3.8873693687742876</v>
      </c>
      <c r="K245" s="86">
        <v>0.64591861883300283</v>
      </c>
      <c r="L245" s="88">
        <v>4.1710730306229733</v>
      </c>
      <c r="M245" s="86">
        <v>0.33836479073198367</v>
      </c>
      <c r="N245" s="86">
        <v>0.56156601011774432</v>
      </c>
      <c r="O245" s="86">
        <v>0.62508253435451888</v>
      </c>
      <c r="P245" s="86">
        <v>0.59623257123046414</v>
      </c>
    </row>
    <row r="246" spans="2:16" x14ac:dyDescent="0.3">
      <c r="B246" s="292"/>
      <c r="C246" s="9" t="s">
        <v>212</v>
      </c>
      <c r="D246" s="86">
        <v>23.889953420071642</v>
      </c>
      <c r="E246" s="86">
        <v>17.336557808389532</v>
      </c>
      <c r="F246" s="88">
        <v>26.529277527970475</v>
      </c>
      <c r="G246" s="86">
        <v>6.4030802305611241</v>
      </c>
      <c r="H246" s="88">
        <v>4.0486211052051226</v>
      </c>
      <c r="I246" s="86">
        <v>4.881194801208208</v>
      </c>
      <c r="J246" s="86">
        <v>3.51028970699037</v>
      </c>
      <c r="K246" s="86">
        <v>0</v>
      </c>
      <c r="L246" s="88">
        <v>11.623040403318404</v>
      </c>
      <c r="M246" s="86">
        <v>0.82671659686129484</v>
      </c>
      <c r="N246" s="86">
        <v>0</v>
      </c>
      <c r="O246" s="86">
        <v>0.95126839942389096</v>
      </c>
      <c r="P246" s="86">
        <v>0</v>
      </c>
    </row>
    <row r="247" spans="2:16" x14ac:dyDescent="0.3">
      <c r="B247" s="292"/>
      <c r="C247" s="9" t="s">
        <v>213</v>
      </c>
      <c r="D247" s="86">
        <v>36.297547954783099</v>
      </c>
      <c r="E247" s="86">
        <v>16.241510921344222</v>
      </c>
      <c r="F247" s="88">
        <v>16.576603563852686</v>
      </c>
      <c r="G247" s="86">
        <v>6.2670878451567535</v>
      </c>
      <c r="H247" s="88">
        <v>5.5352715438554227</v>
      </c>
      <c r="I247" s="86">
        <v>5.2123328795054613</v>
      </c>
      <c r="J247" s="86">
        <v>3.1105840827934643</v>
      </c>
      <c r="K247" s="86">
        <v>1.2059890274288902</v>
      </c>
      <c r="L247" s="88">
        <v>6.6098674080062647</v>
      </c>
      <c r="M247" s="86">
        <v>1.6744446265803576</v>
      </c>
      <c r="N247" s="86">
        <v>1.2687601466934977</v>
      </c>
      <c r="O247" s="86">
        <v>0</v>
      </c>
      <c r="P247" s="86">
        <v>0</v>
      </c>
    </row>
    <row r="248" spans="2:16" x14ac:dyDescent="0.3">
      <c r="B248" s="292"/>
      <c r="C248" s="9" t="s">
        <v>214</v>
      </c>
      <c r="D248" s="86">
        <v>25.982200991104403</v>
      </c>
      <c r="E248" s="86">
        <v>11.273136156265581</v>
      </c>
      <c r="F248" s="88">
        <v>32.656504361641247</v>
      </c>
      <c r="G248" s="86">
        <v>3.2873676066241537</v>
      </c>
      <c r="H248" s="88">
        <v>5.767006819742015</v>
      </c>
      <c r="I248" s="86">
        <v>11.144795436822408</v>
      </c>
      <c r="J248" s="86">
        <v>1.3975230187104126</v>
      </c>
      <c r="K248" s="86">
        <v>0.93701088710044966</v>
      </c>
      <c r="L248" s="88">
        <v>6.4662714253486371</v>
      </c>
      <c r="M248" s="86">
        <v>0.57041588468464166</v>
      </c>
      <c r="N248" s="86">
        <v>0</v>
      </c>
      <c r="O248" s="86">
        <v>0.51776741195609222</v>
      </c>
      <c r="P248" s="86">
        <v>0</v>
      </c>
    </row>
    <row r="249" spans="2:16" x14ac:dyDescent="0.3">
      <c r="B249" s="292"/>
      <c r="C249" s="12" t="s">
        <v>215</v>
      </c>
      <c r="D249" s="90">
        <v>23.859372638974492</v>
      </c>
      <c r="E249" s="90">
        <v>13.18403422973832</v>
      </c>
      <c r="F249" s="91">
        <v>39.345177044487748</v>
      </c>
      <c r="G249" s="90">
        <v>0.75661223745132788</v>
      </c>
      <c r="H249" s="91">
        <v>3.1693258916861726</v>
      </c>
      <c r="I249" s="90">
        <v>9.1649497233260231</v>
      </c>
      <c r="J249" s="90">
        <v>3.3816999415483551</v>
      </c>
      <c r="K249" s="90">
        <v>0.96969231333402828</v>
      </c>
      <c r="L249" s="91">
        <v>4.2246265778976753</v>
      </c>
      <c r="M249" s="90">
        <v>0.9829757696810697</v>
      </c>
      <c r="N249" s="90">
        <v>0</v>
      </c>
      <c r="O249" s="90">
        <v>0.96153363187476537</v>
      </c>
      <c r="P249" s="90">
        <v>0</v>
      </c>
    </row>
    <row r="250" spans="2:16" x14ac:dyDescent="0.3">
      <c r="B250" s="292"/>
      <c r="C250" s="9" t="s">
        <v>216</v>
      </c>
      <c r="D250" s="86">
        <v>0</v>
      </c>
      <c r="E250" s="86">
        <v>0</v>
      </c>
      <c r="F250" s="88">
        <v>0</v>
      </c>
      <c r="G250" s="86">
        <v>0</v>
      </c>
      <c r="H250" s="88">
        <v>0</v>
      </c>
      <c r="I250" s="86">
        <v>0</v>
      </c>
      <c r="J250" s="86">
        <v>0</v>
      </c>
      <c r="K250" s="86">
        <v>0</v>
      </c>
      <c r="L250" s="88">
        <v>0</v>
      </c>
      <c r="M250" s="86">
        <v>0</v>
      </c>
      <c r="N250" s="86">
        <v>0</v>
      </c>
      <c r="O250" s="86">
        <v>0</v>
      </c>
      <c r="P250" s="86">
        <v>0</v>
      </c>
    </row>
    <row r="251" spans="2:16" x14ac:dyDescent="0.3">
      <c r="B251" s="292"/>
      <c r="C251" s="9" t="s">
        <v>217</v>
      </c>
      <c r="D251" s="86">
        <v>0</v>
      </c>
      <c r="E251" s="86">
        <v>0</v>
      </c>
      <c r="F251" s="88">
        <v>0</v>
      </c>
      <c r="G251" s="86">
        <v>0</v>
      </c>
      <c r="H251" s="88">
        <v>0</v>
      </c>
      <c r="I251" s="86">
        <v>0</v>
      </c>
      <c r="J251" s="86">
        <v>0</v>
      </c>
      <c r="K251" s="86">
        <v>0</v>
      </c>
      <c r="L251" s="88">
        <v>0</v>
      </c>
      <c r="M251" s="86">
        <v>0</v>
      </c>
      <c r="N251" s="86">
        <v>0</v>
      </c>
      <c r="O251" s="86">
        <v>0</v>
      </c>
      <c r="P251" s="86">
        <v>0</v>
      </c>
    </row>
    <row r="252" spans="2:16" x14ac:dyDescent="0.3">
      <c r="B252" s="292"/>
      <c r="C252" s="9" t="s">
        <v>218</v>
      </c>
      <c r="D252" s="86">
        <v>0</v>
      </c>
      <c r="E252" s="86">
        <v>0</v>
      </c>
      <c r="F252" s="88">
        <v>0</v>
      </c>
      <c r="G252" s="86">
        <v>0</v>
      </c>
      <c r="H252" s="88">
        <v>0</v>
      </c>
      <c r="I252" s="86">
        <v>0</v>
      </c>
      <c r="J252" s="86">
        <v>0</v>
      </c>
      <c r="K252" s="86">
        <v>0</v>
      </c>
      <c r="L252" s="88">
        <v>0</v>
      </c>
      <c r="M252" s="86">
        <v>0</v>
      </c>
      <c r="N252" s="86">
        <v>0</v>
      </c>
      <c r="O252" s="86">
        <v>0</v>
      </c>
      <c r="P252" s="86">
        <v>0</v>
      </c>
    </row>
    <row r="253" spans="2:16" x14ac:dyDescent="0.3">
      <c r="B253" s="292"/>
      <c r="C253" s="9" t="s">
        <v>219</v>
      </c>
      <c r="D253" s="86">
        <v>0</v>
      </c>
      <c r="E253" s="86">
        <v>0</v>
      </c>
      <c r="F253" s="88">
        <v>0</v>
      </c>
      <c r="G253" s="86">
        <v>0</v>
      </c>
      <c r="H253" s="88">
        <v>0</v>
      </c>
      <c r="I253" s="86">
        <v>0</v>
      </c>
      <c r="J253" s="86">
        <v>0</v>
      </c>
      <c r="K253" s="86">
        <v>0</v>
      </c>
      <c r="L253" s="88">
        <v>0</v>
      </c>
      <c r="M253" s="86">
        <v>0</v>
      </c>
      <c r="N253" s="86">
        <v>0</v>
      </c>
      <c r="O253" s="86">
        <v>0</v>
      </c>
      <c r="P253" s="86">
        <v>0</v>
      </c>
    </row>
    <row r="254" spans="2:16" x14ac:dyDescent="0.3">
      <c r="B254" s="292"/>
      <c r="C254" s="9" t="s">
        <v>220</v>
      </c>
      <c r="D254" s="86">
        <v>0</v>
      </c>
      <c r="E254" s="86">
        <v>0</v>
      </c>
      <c r="F254" s="88">
        <v>0</v>
      </c>
      <c r="G254" s="86">
        <v>0</v>
      </c>
      <c r="H254" s="88">
        <v>0</v>
      </c>
      <c r="I254" s="86">
        <v>0</v>
      </c>
      <c r="J254" s="86">
        <v>0</v>
      </c>
      <c r="K254" s="86">
        <v>0</v>
      </c>
      <c r="L254" s="88">
        <v>0</v>
      </c>
      <c r="M254" s="86">
        <v>0</v>
      </c>
      <c r="N254" s="86">
        <v>0</v>
      </c>
      <c r="O254" s="86">
        <v>0</v>
      </c>
      <c r="P254" s="86">
        <v>0</v>
      </c>
    </row>
    <row r="255" spans="2:16" x14ac:dyDescent="0.3">
      <c r="B255" s="295"/>
      <c r="C255" s="9" t="s">
        <v>221</v>
      </c>
      <c r="D255" s="90">
        <v>0</v>
      </c>
      <c r="E255" s="90">
        <v>0</v>
      </c>
      <c r="F255" s="91">
        <v>0</v>
      </c>
      <c r="G255" s="90">
        <v>0</v>
      </c>
      <c r="H255" s="91">
        <v>0</v>
      </c>
      <c r="I255" s="90">
        <v>0</v>
      </c>
      <c r="J255" s="90">
        <v>0</v>
      </c>
      <c r="K255" s="90">
        <v>0</v>
      </c>
      <c r="L255" s="91">
        <v>0</v>
      </c>
      <c r="M255" s="90">
        <v>0</v>
      </c>
      <c r="N255" s="90">
        <v>0</v>
      </c>
      <c r="O255" s="90">
        <v>0</v>
      </c>
      <c r="P255" s="90">
        <v>0</v>
      </c>
    </row>
    <row r="256" spans="2:16" ht="16.5" customHeight="1" x14ac:dyDescent="0.3">
      <c r="B256" s="291" t="s">
        <v>222</v>
      </c>
      <c r="C256" s="13" t="s">
        <v>226</v>
      </c>
      <c r="D256" s="80">
        <v>37.251985130503442</v>
      </c>
      <c r="E256" s="80">
        <v>14.113034381121608</v>
      </c>
      <c r="F256" s="80">
        <v>19.052360680601286</v>
      </c>
      <c r="G256" s="80">
        <v>4.9673680564769196</v>
      </c>
      <c r="H256" s="80">
        <v>4.971284390914394</v>
      </c>
      <c r="I256" s="80">
        <v>6.620287275949126</v>
      </c>
      <c r="J256" s="80">
        <v>3.4344716082789764</v>
      </c>
      <c r="K256" s="80">
        <v>1.1841402504787049</v>
      </c>
      <c r="L256" s="80">
        <v>4.3028704085247034</v>
      </c>
      <c r="M256" s="80">
        <v>1.4595254065721617</v>
      </c>
      <c r="N256" s="80">
        <v>0.54965710814021707</v>
      </c>
      <c r="O256" s="80">
        <v>1.5094267928475926</v>
      </c>
      <c r="P256" s="80">
        <v>0.58358850959093589</v>
      </c>
    </row>
    <row r="257" spans="2:16" x14ac:dyDescent="0.3">
      <c r="B257" s="294"/>
      <c r="C257" s="9" t="s">
        <v>227</v>
      </c>
      <c r="D257" s="79">
        <v>30.59856600918835</v>
      </c>
      <c r="E257" s="79">
        <v>14.95835181507889</v>
      </c>
      <c r="F257" s="79">
        <v>29.083452183682308</v>
      </c>
      <c r="G257" s="79">
        <v>2.617546604663072</v>
      </c>
      <c r="H257" s="79">
        <v>2.4419416468538193</v>
      </c>
      <c r="I257" s="79">
        <v>7.7945433319606199</v>
      </c>
      <c r="J257" s="79">
        <v>2.3852460105679518</v>
      </c>
      <c r="K257" s="79">
        <v>0.63161094939524232</v>
      </c>
      <c r="L257" s="79">
        <v>7.8112406576277813</v>
      </c>
      <c r="M257" s="79">
        <v>0.85398928232931626</v>
      </c>
      <c r="N257" s="79">
        <v>0</v>
      </c>
      <c r="O257" s="79">
        <v>0.82351150865261502</v>
      </c>
      <c r="P257" s="79">
        <v>0</v>
      </c>
    </row>
    <row r="258" spans="2:16" x14ac:dyDescent="0.3">
      <c r="B258" s="292"/>
      <c r="C258" s="9" t="s">
        <v>228</v>
      </c>
      <c r="D258" s="79">
        <v>22.694221338196403</v>
      </c>
      <c r="E258" s="79">
        <v>16.776884765445892</v>
      </c>
      <c r="F258" s="79">
        <v>25.687588178712893</v>
      </c>
      <c r="G258" s="79">
        <v>7.912918439119224</v>
      </c>
      <c r="H258" s="79">
        <v>7.4693401544410847</v>
      </c>
      <c r="I258" s="79">
        <v>5.6579108565094263</v>
      </c>
      <c r="J258" s="79">
        <v>3.0984615160764681</v>
      </c>
      <c r="K258" s="79">
        <v>0</v>
      </c>
      <c r="L258" s="79">
        <v>9.7170524594993442</v>
      </c>
      <c r="M258" s="79">
        <v>0</v>
      </c>
      <c r="N258" s="79">
        <v>0.38431833265409077</v>
      </c>
      <c r="O258" s="79">
        <v>0.60130395934515735</v>
      </c>
      <c r="P258" s="79">
        <v>0</v>
      </c>
    </row>
    <row r="259" spans="2:16" x14ac:dyDescent="0.3">
      <c r="B259" s="295"/>
      <c r="C259" s="12" t="s">
        <v>229</v>
      </c>
      <c r="D259" s="81">
        <v>26.846067813327394</v>
      </c>
      <c r="E259" s="81">
        <v>14.243969548589988</v>
      </c>
      <c r="F259" s="81">
        <v>31.927355814386203</v>
      </c>
      <c r="G259" s="81">
        <v>3.5144195417370403</v>
      </c>
      <c r="H259" s="81">
        <v>3.7899623130560416</v>
      </c>
      <c r="I259" s="81">
        <v>8.791023057448708</v>
      </c>
      <c r="J259" s="81">
        <v>2.9202287019604118</v>
      </c>
      <c r="K259" s="81">
        <v>0.84321666487667157</v>
      </c>
      <c r="L259" s="81">
        <v>5.136829897800097</v>
      </c>
      <c r="M259" s="81">
        <v>1.4319524422425018</v>
      </c>
      <c r="N259" s="81">
        <v>0.55497420457488533</v>
      </c>
      <c r="O259" s="81">
        <v>0</v>
      </c>
      <c r="P259" s="81">
        <v>0</v>
      </c>
    </row>
    <row r="260" spans="2:16" x14ac:dyDescent="0.3">
      <c r="B260" s="296" t="s">
        <v>199</v>
      </c>
      <c r="C260" s="13" t="s">
        <v>192</v>
      </c>
      <c r="D260" s="80">
        <v>29.994607715787886</v>
      </c>
      <c r="E260" s="80">
        <v>16.280010491005818</v>
      </c>
      <c r="F260" s="80">
        <v>24.359267478633399</v>
      </c>
      <c r="G260" s="80">
        <v>5.8963430440420561</v>
      </c>
      <c r="H260" s="80">
        <v>4.0106901767916296</v>
      </c>
      <c r="I260" s="80">
        <v>7.9558344484568124</v>
      </c>
      <c r="J260" s="80">
        <v>2.6040925497813756</v>
      </c>
      <c r="K260" s="80">
        <v>0.72642420667970653</v>
      </c>
      <c r="L260" s="80">
        <v>5.8188345480299333</v>
      </c>
      <c r="M260" s="80">
        <v>1.1435314074150922</v>
      </c>
      <c r="N260" s="80">
        <v>0.25547132287267132</v>
      </c>
      <c r="O260" s="80">
        <v>0.71818314274122541</v>
      </c>
      <c r="P260" s="80">
        <v>0.23670946776251223</v>
      </c>
    </row>
    <row r="261" spans="2:16" ht="16.5" customHeight="1" x14ac:dyDescent="0.3">
      <c r="B261" s="292"/>
      <c r="C261" s="9" t="s">
        <v>200</v>
      </c>
      <c r="D261" s="79">
        <v>24.286078508927357</v>
      </c>
      <c r="E261" s="79">
        <v>7.7705106861703968</v>
      </c>
      <c r="F261" s="79">
        <v>32.281485454576888</v>
      </c>
      <c r="G261" s="79">
        <v>1.8272900623279811</v>
      </c>
      <c r="H261" s="79">
        <v>6.0133634121606843</v>
      </c>
      <c r="I261" s="79">
        <v>15.050777901898796</v>
      </c>
      <c r="J261" s="79">
        <v>0</v>
      </c>
      <c r="K261" s="79">
        <v>0</v>
      </c>
      <c r="L261" s="79">
        <v>12.770493973937915</v>
      </c>
      <c r="M261" s="79">
        <v>0</v>
      </c>
      <c r="N261" s="79">
        <v>0</v>
      </c>
      <c r="O261" s="79">
        <v>0</v>
      </c>
      <c r="P261" s="79">
        <v>0</v>
      </c>
    </row>
    <row r="262" spans="2:16" ht="16.5" customHeight="1" x14ac:dyDescent="0.3">
      <c r="B262" s="292"/>
      <c r="C262" s="9" t="s">
        <v>201</v>
      </c>
      <c r="D262" s="79">
        <v>31.203680659577358</v>
      </c>
      <c r="E262" s="79">
        <v>15.680604486589713</v>
      </c>
      <c r="F262" s="79">
        <v>19.611147440027985</v>
      </c>
      <c r="G262" s="79">
        <v>3.644224061805486</v>
      </c>
      <c r="H262" s="79">
        <v>4.7609538727669207</v>
      </c>
      <c r="I262" s="79">
        <v>5.7191097398280162</v>
      </c>
      <c r="J262" s="79">
        <v>2.6524626775922275</v>
      </c>
      <c r="K262" s="79">
        <v>1.763783114661605</v>
      </c>
      <c r="L262" s="79">
        <v>12.800700655294476</v>
      </c>
      <c r="M262" s="79">
        <v>1.2057892738748099</v>
      </c>
      <c r="N262" s="79">
        <v>0</v>
      </c>
      <c r="O262" s="79">
        <v>0.95754401798142441</v>
      </c>
      <c r="P262" s="79">
        <v>0</v>
      </c>
    </row>
    <row r="263" spans="2:16" x14ac:dyDescent="0.3">
      <c r="B263" s="292"/>
      <c r="C263" s="9" t="s">
        <v>202</v>
      </c>
      <c r="D263" s="79">
        <v>26.239268932068327</v>
      </c>
      <c r="E263" s="79">
        <v>13.624663192900154</v>
      </c>
      <c r="F263" s="79">
        <v>34.369898890103151</v>
      </c>
      <c r="G263" s="79">
        <v>3.9611327298600147</v>
      </c>
      <c r="H263" s="79">
        <v>2.0273731233351566</v>
      </c>
      <c r="I263" s="79">
        <v>9.222888246046832</v>
      </c>
      <c r="J263" s="79">
        <v>1.7544251261571675</v>
      </c>
      <c r="K263" s="79">
        <v>0.93717156953756353</v>
      </c>
      <c r="L263" s="79">
        <v>5.648457662369343</v>
      </c>
      <c r="M263" s="79">
        <v>0</v>
      </c>
      <c r="N263" s="79">
        <v>1.0460367280506686</v>
      </c>
      <c r="O263" s="79">
        <v>1.1686837995716803</v>
      </c>
      <c r="P263" s="79">
        <v>0</v>
      </c>
    </row>
    <row r="264" spans="2:16" x14ac:dyDescent="0.3">
      <c r="B264" s="295"/>
      <c r="C264" s="12" t="s">
        <v>203</v>
      </c>
      <c r="D264" s="81">
        <v>28.678174565821429</v>
      </c>
      <c r="E264" s="81">
        <v>13.093566587270915</v>
      </c>
      <c r="F264" s="81">
        <v>32.297206365987115</v>
      </c>
      <c r="G264" s="81">
        <v>2.4607854004355993</v>
      </c>
      <c r="H264" s="81">
        <v>6.6787664645836342</v>
      </c>
      <c r="I264" s="81">
        <v>4.0519881192810674</v>
      </c>
      <c r="J264" s="81">
        <v>4.9455663733734871</v>
      </c>
      <c r="K264" s="81">
        <v>0</v>
      </c>
      <c r="L264" s="81">
        <v>5.8247210358840977</v>
      </c>
      <c r="M264" s="81">
        <v>0.83875819770234361</v>
      </c>
      <c r="N264" s="81">
        <v>0.59887762206052531</v>
      </c>
      <c r="O264" s="81">
        <v>0.53158926759975322</v>
      </c>
      <c r="P264" s="81">
        <v>0</v>
      </c>
    </row>
    <row r="265" spans="2:16" x14ac:dyDescent="0.3">
      <c r="B265" s="291" t="s">
        <v>204</v>
      </c>
      <c r="C265" s="13" t="s">
        <v>192</v>
      </c>
      <c r="D265" s="80">
        <v>29.994607715787886</v>
      </c>
      <c r="E265" s="80">
        <v>16.280010491005818</v>
      </c>
      <c r="F265" s="80">
        <v>24.359267478633399</v>
      </c>
      <c r="G265" s="80">
        <v>5.8963430440420561</v>
      </c>
      <c r="H265" s="80">
        <v>4.0106901767916296</v>
      </c>
      <c r="I265" s="80">
        <v>7.9558344484568124</v>
      </c>
      <c r="J265" s="80">
        <v>2.6040925497813756</v>
      </c>
      <c r="K265" s="80">
        <v>0.72642420667970653</v>
      </c>
      <c r="L265" s="80">
        <v>5.8188345480299333</v>
      </c>
      <c r="M265" s="80">
        <v>1.1435314074150922</v>
      </c>
      <c r="N265" s="80">
        <v>0.25547132287267132</v>
      </c>
      <c r="O265" s="80">
        <v>0.71818314274122541</v>
      </c>
      <c r="P265" s="80">
        <v>0.23670946776251223</v>
      </c>
    </row>
    <row r="266" spans="2:16" x14ac:dyDescent="0.3">
      <c r="B266" s="295"/>
      <c r="C266" s="12" t="s">
        <v>193</v>
      </c>
      <c r="D266" s="81">
        <v>28.390008305025805</v>
      </c>
      <c r="E266" s="81">
        <v>13.329115594761202</v>
      </c>
      <c r="F266" s="81">
        <v>29.822308860883219</v>
      </c>
      <c r="G266" s="81">
        <v>2.9733786898522121</v>
      </c>
      <c r="H266" s="81">
        <v>5.2614887871416185</v>
      </c>
      <c r="I266" s="81">
        <v>6.4051161172856492</v>
      </c>
      <c r="J266" s="81">
        <v>3.3644437538893346</v>
      </c>
      <c r="K266" s="81">
        <v>0.58727153127923881</v>
      </c>
      <c r="L266" s="81">
        <v>7.9742856026645104</v>
      </c>
      <c r="M266" s="81">
        <v>0.68343036413614833</v>
      </c>
      <c r="N266" s="81">
        <v>0.49992270684528922</v>
      </c>
      <c r="O266" s="81">
        <v>0.7092296862357399</v>
      </c>
      <c r="P266" s="81">
        <v>0</v>
      </c>
    </row>
    <row r="267" spans="2:16" x14ac:dyDescent="0.3">
      <c r="B267" s="291" t="s">
        <v>209</v>
      </c>
      <c r="C267" s="13" t="s">
        <v>205</v>
      </c>
      <c r="D267" s="80">
        <v>26.437238364833949</v>
      </c>
      <c r="E267" s="80">
        <v>14.022020452704382</v>
      </c>
      <c r="F267" s="80">
        <v>21.975164258543604</v>
      </c>
      <c r="G267" s="80">
        <v>4.418034971070294</v>
      </c>
      <c r="H267" s="80">
        <v>3.8899620943276902</v>
      </c>
      <c r="I267" s="80">
        <v>12.299183352909342</v>
      </c>
      <c r="J267" s="80">
        <v>4.9619441866663729</v>
      </c>
      <c r="K267" s="80">
        <v>1.3074619036559563</v>
      </c>
      <c r="L267" s="80">
        <v>9.3603520856743927</v>
      </c>
      <c r="M267" s="80">
        <v>0.59111431495785094</v>
      </c>
      <c r="N267" s="80">
        <v>0</v>
      </c>
      <c r="O267" s="80">
        <v>0.73752401465618544</v>
      </c>
      <c r="P267" s="80">
        <v>0</v>
      </c>
    </row>
    <row r="268" spans="2:16" x14ac:dyDescent="0.3">
      <c r="B268" s="292"/>
      <c r="C268" s="9" t="s">
        <v>206</v>
      </c>
      <c r="D268" s="79">
        <v>29.386917880317515</v>
      </c>
      <c r="E268" s="79">
        <v>14.062933445462052</v>
      </c>
      <c r="F268" s="79">
        <v>32.249856366692256</v>
      </c>
      <c r="G268" s="79">
        <v>0.62566524297078985</v>
      </c>
      <c r="H268" s="79">
        <v>4.3928210283300659</v>
      </c>
      <c r="I268" s="79">
        <v>4.9398006201716331</v>
      </c>
      <c r="J268" s="79">
        <v>3.373490165690348</v>
      </c>
      <c r="K268" s="79">
        <v>0</v>
      </c>
      <c r="L268" s="79">
        <v>6.6151000992591964</v>
      </c>
      <c r="M268" s="79">
        <v>1.1091963621536967</v>
      </c>
      <c r="N268" s="79">
        <v>0.79858075084728619</v>
      </c>
      <c r="O268" s="79">
        <v>1.5977593456021049</v>
      </c>
      <c r="P268" s="79">
        <v>0.84787869250312919</v>
      </c>
    </row>
    <row r="269" spans="2:16" x14ac:dyDescent="0.3">
      <c r="B269" s="292"/>
      <c r="C269" s="9" t="s">
        <v>207</v>
      </c>
      <c r="D269" s="79">
        <v>38.562658716549464</v>
      </c>
      <c r="E269" s="79">
        <v>16.787122737155403</v>
      </c>
      <c r="F269" s="79">
        <v>20.196559467665885</v>
      </c>
      <c r="G269" s="79">
        <v>4.9726928310996277</v>
      </c>
      <c r="H269" s="79">
        <v>5.4107148071138758</v>
      </c>
      <c r="I269" s="79">
        <v>5.4832633527972972</v>
      </c>
      <c r="J269" s="79">
        <v>2.1775323632652412</v>
      </c>
      <c r="K269" s="79">
        <v>1.3078426759057378</v>
      </c>
      <c r="L269" s="79">
        <v>4.039933638671827</v>
      </c>
      <c r="M269" s="79">
        <v>0.37470182850278855</v>
      </c>
      <c r="N269" s="79">
        <v>0.32446702525049065</v>
      </c>
      <c r="O269" s="79">
        <v>0.36251055602236543</v>
      </c>
      <c r="P269" s="79">
        <v>0</v>
      </c>
    </row>
    <row r="270" spans="2:16" x14ac:dyDescent="0.3">
      <c r="B270" s="293"/>
      <c r="C270" s="25" t="s">
        <v>208</v>
      </c>
      <c r="D270" s="82">
        <v>23.988235363382849</v>
      </c>
      <c r="E270" s="82">
        <v>14.550333420500783</v>
      </c>
      <c r="F270" s="82">
        <v>31.153320068938186</v>
      </c>
      <c r="G270" s="82">
        <v>6.0940150755131981</v>
      </c>
      <c r="H270" s="82">
        <v>4.298835445609682</v>
      </c>
      <c r="I270" s="82">
        <v>7.3214211610495878</v>
      </c>
      <c r="J270" s="82">
        <v>2.4084376406795021</v>
      </c>
      <c r="K270" s="82">
        <v>0.20456344307875751</v>
      </c>
      <c r="L270" s="82">
        <v>7.5841517930715394</v>
      </c>
      <c r="M270" s="82">
        <v>1.4321653963638432</v>
      </c>
      <c r="N270" s="82">
        <v>0.36794283157710123</v>
      </c>
      <c r="O270" s="82">
        <v>0.59657836023501476</v>
      </c>
      <c r="P270" s="82">
        <v>0</v>
      </c>
    </row>
    <row r="271" spans="2:16" x14ac:dyDescent="0.3">
      <c r="B271" s="60"/>
      <c r="C271" s="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</row>
    <row r="272" spans="2:16" x14ac:dyDescent="0.3">
      <c r="B272" s="60"/>
      <c r="C272" s="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</row>
    <row r="273" spans="2:19" x14ac:dyDescent="0.3">
      <c r="B273" s="1" t="s">
        <v>490</v>
      </c>
      <c r="D273" s="59"/>
      <c r="E273" s="304"/>
      <c r="F273" s="304"/>
      <c r="G273" s="304"/>
      <c r="H273" s="304"/>
      <c r="I273" s="304"/>
      <c r="J273" s="304"/>
      <c r="K273" s="304"/>
      <c r="L273" s="304"/>
      <c r="M273" s="304"/>
      <c r="N273" s="304"/>
      <c r="O273" s="304"/>
      <c r="P273" s="304"/>
      <c r="Q273" s="304"/>
      <c r="R273" s="304"/>
      <c r="S273" s="304"/>
    </row>
    <row r="274" spans="2:19" ht="10.5" customHeight="1" x14ac:dyDescent="0.3"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30"/>
      <c r="O274" s="30"/>
      <c r="P274" s="30" t="s">
        <v>157</v>
      </c>
    </row>
    <row r="275" spans="2:19" s="125" customFormat="1" ht="27" x14ac:dyDescent="0.3">
      <c r="B275" s="297"/>
      <c r="C275" s="297"/>
      <c r="D275" s="215" t="s">
        <v>57</v>
      </c>
      <c r="E275" s="215" t="s">
        <v>59</v>
      </c>
      <c r="F275" s="215" t="s">
        <v>126</v>
      </c>
      <c r="G275" s="215" t="s">
        <v>58</v>
      </c>
      <c r="H275" s="215" t="s">
        <v>127</v>
      </c>
      <c r="I275" s="202" t="s">
        <v>376</v>
      </c>
      <c r="J275" s="215" t="s">
        <v>60</v>
      </c>
      <c r="K275" s="215" t="s">
        <v>61</v>
      </c>
      <c r="L275" s="215" t="s">
        <v>128</v>
      </c>
      <c r="M275" s="215" t="s">
        <v>129</v>
      </c>
      <c r="N275" s="202" t="s">
        <v>377</v>
      </c>
      <c r="O275" s="215" t="s">
        <v>130</v>
      </c>
      <c r="P275" s="215" t="s">
        <v>38</v>
      </c>
      <c r="Q275" s="126"/>
    </row>
    <row r="276" spans="2:19" ht="21.75" customHeight="1" x14ac:dyDescent="0.3">
      <c r="B276" s="292" t="s">
        <v>20</v>
      </c>
      <c r="C276" s="292"/>
      <c r="D276" s="86">
        <v>43.46285628966303</v>
      </c>
      <c r="E276" s="86">
        <v>40.702696285404954</v>
      </c>
      <c r="F276" s="88">
        <v>61.312427125621085</v>
      </c>
      <c r="G276" s="86">
        <v>19.800713717089081</v>
      </c>
      <c r="H276" s="88">
        <v>22.360137565477004</v>
      </c>
      <c r="I276" s="86">
        <v>35.804402337280422</v>
      </c>
      <c r="J276" s="86">
        <v>20.790250735522665</v>
      </c>
      <c r="K276" s="86">
        <v>12.569863207739706</v>
      </c>
      <c r="L276" s="88">
        <v>28.631748751180286</v>
      </c>
      <c r="M276" s="86">
        <v>7.0156977541119421</v>
      </c>
      <c r="N276" s="86">
        <v>5.2474636022902228</v>
      </c>
      <c r="O276" s="86">
        <v>2.1674832295573614</v>
      </c>
      <c r="P276" s="86">
        <v>0.13425939906272213</v>
      </c>
    </row>
    <row r="277" spans="2:19" x14ac:dyDescent="0.3">
      <c r="B277" s="296" t="s">
        <v>5</v>
      </c>
      <c r="C277" s="13" t="s">
        <v>0</v>
      </c>
      <c r="D277" s="84">
        <v>43.505430050888243</v>
      </c>
      <c r="E277" s="84">
        <v>40.644611993088326</v>
      </c>
      <c r="F277" s="89">
        <v>61.274530962539671</v>
      </c>
      <c r="G277" s="84">
        <v>19.820109378806805</v>
      </c>
      <c r="H277" s="89">
        <v>22.382040294357299</v>
      </c>
      <c r="I277" s="84">
        <v>35.839474309213422</v>
      </c>
      <c r="J277" s="84">
        <v>20.810615691859812</v>
      </c>
      <c r="K277" s="84">
        <v>12.582175936366502</v>
      </c>
      <c r="L277" s="89">
        <v>28.561840439874675</v>
      </c>
      <c r="M277" s="84">
        <v>7.0225699357058353</v>
      </c>
      <c r="N277" s="84">
        <v>5.2526037214980592</v>
      </c>
      <c r="O277" s="84">
        <v>2.1696063738086235</v>
      </c>
      <c r="P277" s="84">
        <v>0.13439091199320796</v>
      </c>
    </row>
    <row r="278" spans="2:19" x14ac:dyDescent="0.3">
      <c r="B278" s="295"/>
      <c r="C278" s="12" t="s">
        <v>1</v>
      </c>
      <c r="D278" s="90">
        <v>0</v>
      </c>
      <c r="E278" s="90">
        <v>0</v>
      </c>
      <c r="F278" s="90">
        <v>0</v>
      </c>
      <c r="G278" s="90">
        <v>0</v>
      </c>
      <c r="H278" s="90">
        <v>0</v>
      </c>
      <c r="I278" s="90">
        <v>0</v>
      </c>
      <c r="J278" s="90">
        <v>0</v>
      </c>
      <c r="K278" s="90">
        <v>0</v>
      </c>
      <c r="L278" s="90">
        <v>0</v>
      </c>
      <c r="M278" s="90">
        <v>0</v>
      </c>
      <c r="N278" s="90">
        <v>0</v>
      </c>
      <c r="O278" s="90">
        <v>0</v>
      </c>
      <c r="P278" s="90">
        <v>0</v>
      </c>
    </row>
    <row r="279" spans="2:19" x14ac:dyDescent="0.3">
      <c r="B279" s="296" t="s">
        <v>4</v>
      </c>
      <c r="C279" s="9" t="s">
        <v>175</v>
      </c>
      <c r="D279" s="86">
        <v>60.619620360134228</v>
      </c>
      <c r="E279" s="86">
        <v>47.549707802311822</v>
      </c>
      <c r="F279" s="88">
        <v>64.328929005783976</v>
      </c>
      <c r="G279" s="86">
        <v>16.387594126189086</v>
      </c>
      <c r="H279" s="88">
        <v>19.305936149134713</v>
      </c>
      <c r="I279" s="86">
        <v>34.111706203276967</v>
      </c>
      <c r="J279" s="86">
        <v>13.343800549038482</v>
      </c>
      <c r="K279" s="86">
        <v>2.6962609289490738</v>
      </c>
      <c r="L279" s="88">
        <v>20.75168518613847</v>
      </c>
      <c r="M279" s="86">
        <v>10.748277784371419</v>
      </c>
      <c r="N279" s="86">
        <v>4.7600017826536911</v>
      </c>
      <c r="O279" s="86">
        <v>5.3964801220180778</v>
      </c>
      <c r="P279" s="86">
        <v>0</v>
      </c>
    </row>
    <row r="280" spans="2:19" x14ac:dyDescent="0.3">
      <c r="B280" s="292"/>
      <c r="C280" s="9" t="s">
        <v>176</v>
      </c>
      <c r="D280" s="86">
        <v>45.241101352586519</v>
      </c>
      <c r="E280" s="86">
        <v>45.562641426032194</v>
      </c>
      <c r="F280" s="88">
        <v>61.745199128031494</v>
      </c>
      <c r="G280" s="86">
        <v>23.401011811218392</v>
      </c>
      <c r="H280" s="88">
        <v>18.867247110732574</v>
      </c>
      <c r="I280" s="86">
        <v>30.61960025700774</v>
      </c>
      <c r="J280" s="86">
        <v>20.687914405954817</v>
      </c>
      <c r="K280" s="86">
        <v>12.457954707475036</v>
      </c>
      <c r="L280" s="88">
        <v>26.822781118860057</v>
      </c>
      <c r="M280" s="86">
        <v>4.1718664491281823</v>
      </c>
      <c r="N280" s="86">
        <v>6.4423218859320865</v>
      </c>
      <c r="O280" s="86">
        <v>3.3841277758103394</v>
      </c>
      <c r="P280" s="86">
        <v>0.59623257123046414</v>
      </c>
    </row>
    <row r="281" spans="2:19" x14ac:dyDescent="0.3">
      <c r="B281" s="292"/>
      <c r="C281" s="9" t="s">
        <v>177</v>
      </c>
      <c r="D281" s="86">
        <v>38.592837786164438</v>
      </c>
      <c r="E281" s="86">
        <v>45.953099315164806</v>
      </c>
      <c r="F281" s="88">
        <v>57.267538141080578</v>
      </c>
      <c r="G281" s="86">
        <v>20.863669382519433</v>
      </c>
      <c r="H281" s="88">
        <v>20.153176594807082</v>
      </c>
      <c r="I281" s="86">
        <v>35.523501445062223</v>
      </c>
      <c r="J281" s="86">
        <v>26.67423931616295</v>
      </c>
      <c r="K281" s="86">
        <v>13.292597741798042</v>
      </c>
      <c r="L281" s="88">
        <v>29.272917920941723</v>
      </c>
      <c r="M281" s="86">
        <v>6.8415933024582669</v>
      </c>
      <c r="N281" s="86">
        <v>3.8682340246682005</v>
      </c>
      <c r="O281" s="86">
        <v>1.6965950291723895</v>
      </c>
      <c r="P281" s="86">
        <v>0</v>
      </c>
    </row>
    <row r="282" spans="2:19" x14ac:dyDescent="0.3">
      <c r="B282" s="292"/>
      <c r="C282" s="9" t="s">
        <v>178</v>
      </c>
      <c r="D282" s="86">
        <v>47.110560894805793</v>
      </c>
      <c r="E282" s="86">
        <v>42.047479301021411</v>
      </c>
      <c r="F282" s="88">
        <v>54.81712219951261</v>
      </c>
      <c r="G282" s="86">
        <v>23.430290999251589</v>
      </c>
      <c r="H282" s="88">
        <v>28.602721175980289</v>
      </c>
      <c r="I282" s="86">
        <v>32.999285476276945</v>
      </c>
      <c r="J282" s="86">
        <v>16.996428586933245</v>
      </c>
      <c r="K282" s="86">
        <v>14.421249317359223</v>
      </c>
      <c r="L282" s="88">
        <v>27.947472895447785</v>
      </c>
      <c r="M282" s="86">
        <v>5.7502041030941813</v>
      </c>
      <c r="N282" s="86">
        <v>5.8771850503172676</v>
      </c>
      <c r="O282" s="86">
        <v>0</v>
      </c>
      <c r="P282" s="86">
        <v>0</v>
      </c>
    </row>
    <row r="283" spans="2:19" x14ac:dyDescent="0.3">
      <c r="B283" s="292"/>
      <c r="C283" s="9" t="s">
        <v>179</v>
      </c>
      <c r="D283" s="86">
        <v>38.891267861194386</v>
      </c>
      <c r="E283" s="86">
        <v>30.53635354557791</v>
      </c>
      <c r="F283" s="88">
        <v>70.095125351080739</v>
      </c>
      <c r="G283" s="86">
        <v>14.036598099710954</v>
      </c>
      <c r="H283" s="88">
        <v>24.004774925203133</v>
      </c>
      <c r="I283" s="86">
        <v>41.158566111607328</v>
      </c>
      <c r="J283" s="86">
        <v>21.403806959913833</v>
      </c>
      <c r="K283" s="86">
        <v>12.057172636979455</v>
      </c>
      <c r="L283" s="88">
        <v>32.564235574535452</v>
      </c>
      <c r="M283" s="86">
        <v>9.3057541175161678</v>
      </c>
      <c r="N283" s="86">
        <v>4.1177600006291222</v>
      </c>
      <c r="O283" s="86">
        <v>1.8285848160515574</v>
      </c>
      <c r="P283" s="86">
        <v>0</v>
      </c>
    </row>
    <row r="284" spans="2:19" x14ac:dyDescent="0.3">
      <c r="B284" s="298"/>
      <c r="C284" s="12" t="s">
        <v>180</v>
      </c>
      <c r="D284" s="90">
        <v>43.118447129756504</v>
      </c>
      <c r="E284" s="90">
        <v>32.959798167868001</v>
      </c>
      <c r="F284" s="91">
        <v>63.178333727153223</v>
      </c>
      <c r="G284" s="90">
        <v>16.080693538444351</v>
      </c>
      <c r="H284" s="91">
        <v>22.230374858243746</v>
      </c>
      <c r="I284" s="90">
        <v>42.356055488693407</v>
      </c>
      <c r="J284" s="90">
        <v>18.390475669163791</v>
      </c>
      <c r="K284" s="90">
        <v>13.562378637911063</v>
      </c>
      <c r="L284" s="91">
        <v>29.258451386259861</v>
      </c>
      <c r="M284" s="90">
        <v>9.3039772733418538</v>
      </c>
      <c r="N284" s="90">
        <v>6.4310971767683824</v>
      </c>
      <c r="O284" s="90">
        <v>3.1299169463957153</v>
      </c>
      <c r="P284" s="90">
        <v>0</v>
      </c>
    </row>
    <row r="285" spans="2:19" x14ac:dyDescent="0.3">
      <c r="B285" s="292" t="s">
        <v>223</v>
      </c>
      <c r="C285" s="9" t="s">
        <v>210</v>
      </c>
      <c r="D285" s="86">
        <v>60.619620360134228</v>
      </c>
      <c r="E285" s="86">
        <v>47.549707802311822</v>
      </c>
      <c r="F285" s="88">
        <v>64.328929005783976</v>
      </c>
      <c r="G285" s="86">
        <v>16.387594126189086</v>
      </c>
      <c r="H285" s="88">
        <v>19.305936149134713</v>
      </c>
      <c r="I285" s="86">
        <v>34.111706203276967</v>
      </c>
      <c r="J285" s="86">
        <v>13.343800549038482</v>
      </c>
      <c r="K285" s="86">
        <v>2.6962609289490738</v>
      </c>
      <c r="L285" s="88">
        <v>20.75168518613847</v>
      </c>
      <c r="M285" s="86">
        <v>10.748277784371419</v>
      </c>
      <c r="N285" s="86">
        <v>4.7600017826536911</v>
      </c>
      <c r="O285" s="86">
        <v>5.3964801220180778</v>
      </c>
      <c r="P285" s="86">
        <v>0</v>
      </c>
    </row>
    <row r="286" spans="2:19" x14ac:dyDescent="0.3">
      <c r="B286" s="292"/>
      <c r="C286" s="9" t="s">
        <v>211</v>
      </c>
      <c r="D286" s="86">
        <v>45.241101352586519</v>
      </c>
      <c r="E286" s="86">
        <v>45.562641426032194</v>
      </c>
      <c r="F286" s="88">
        <v>61.745199128031494</v>
      </c>
      <c r="G286" s="86">
        <v>23.401011811218392</v>
      </c>
      <c r="H286" s="88">
        <v>18.867247110732574</v>
      </c>
      <c r="I286" s="86">
        <v>30.61960025700774</v>
      </c>
      <c r="J286" s="86">
        <v>20.687914405954817</v>
      </c>
      <c r="K286" s="86">
        <v>12.457954707475036</v>
      </c>
      <c r="L286" s="88">
        <v>26.822781118860057</v>
      </c>
      <c r="M286" s="86">
        <v>4.1718664491281823</v>
      </c>
      <c r="N286" s="86">
        <v>6.4423218859320865</v>
      </c>
      <c r="O286" s="86">
        <v>3.3841277758103394</v>
      </c>
      <c r="P286" s="86">
        <v>0.59623257123046414</v>
      </c>
    </row>
    <row r="287" spans="2:19" x14ac:dyDescent="0.3">
      <c r="B287" s="292"/>
      <c r="C287" s="9" t="s">
        <v>212</v>
      </c>
      <c r="D287" s="86">
        <v>38.592837786164438</v>
      </c>
      <c r="E287" s="86">
        <v>45.953099315164806</v>
      </c>
      <c r="F287" s="88">
        <v>57.267538141080578</v>
      </c>
      <c r="G287" s="86">
        <v>20.863669382519433</v>
      </c>
      <c r="H287" s="88">
        <v>20.153176594807082</v>
      </c>
      <c r="I287" s="86">
        <v>35.523501445062223</v>
      </c>
      <c r="J287" s="86">
        <v>26.67423931616295</v>
      </c>
      <c r="K287" s="86">
        <v>13.292597741798042</v>
      </c>
      <c r="L287" s="88">
        <v>29.272917920941723</v>
      </c>
      <c r="M287" s="86">
        <v>6.8415933024582669</v>
      </c>
      <c r="N287" s="86">
        <v>3.8682340246682005</v>
      </c>
      <c r="O287" s="86">
        <v>1.6965950291723895</v>
      </c>
      <c r="P287" s="86">
        <v>0</v>
      </c>
    </row>
    <row r="288" spans="2:19" x14ac:dyDescent="0.3">
      <c r="B288" s="292"/>
      <c r="C288" s="9" t="s">
        <v>213</v>
      </c>
      <c r="D288" s="86">
        <v>47.110560894805793</v>
      </c>
      <c r="E288" s="86">
        <v>42.047479301021411</v>
      </c>
      <c r="F288" s="88">
        <v>54.81712219951261</v>
      </c>
      <c r="G288" s="86">
        <v>23.430290999251589</v>
      </c>
      <c r="H288" s="88">
        <v>28.602721175980289</v>
      </c>
      <c r="I288" s="86">
        <v>32.999285476276945</v>
      </c>
      <c r="J288" s="86">
        <v>16.996428586933245</v>
      </c>
      <c r="K288" s="86">
        <v>14.421249317359223</v>
      </c>
      <c r="L288" s="88">
        <v>27.947472895447785</v>
      </c>
      <c r="M288" s="86">
        <v>5.7502041030941813</v>
      </c>
      <c r="N288" s="86">
        <v>5.8771850503172676</v>
      </c>
      <c r="O288" s="86">
        <v>0</v>
      </c>
      <c r="P288" s="86">
        <v>0</v>
      </c>
    </row>
    <row r="289" spans="2:16" x14ac:dyDescent="0.3">
      <c r="B289" s="292"/>
      <c r="C289" s="9" t="s">
        <v>214</v>
      </c>
      <c r="D289" s="86">
        <v>39.100332357955203</v>
      </c>
      <c r="E289" s="86">
        <v>30.162943700956834</v>
      </c>
      <c r="F289" s="88">
        <v>69.934368247674257</v>
      </c>
      <c r="G289" s="86">
        <v>14.112053452013265</v>
      </c>
      <c r="H289" s="88">
        <v>24.133815361928054</v>
      </c>
      <c r="I289" s="86">
        <v>41.379818731661551</v>
      </c>
      <c r="J289" s="86">
        <v>21.518865593301946</v>
      </c>
      <c r="K289" s="86">
        <v>12.121987359366624</v>
      </c>
      <c r="L289" s="88">
        <v>32.20172684369107</v>
      </c>
      <c r="M289" s="86">
        <v>9.3557782722570746</v>
      </c>
      <c r="N289" s="86">
        <v>4.1398954945242012</v>
      </c>
      <c r="O289" s="86">
        <v>1.8384145846699709</v>
      </c>
      <c r="P289" s="86">
        <v>0</v>
      </c>
    </row>
    <row r="290" spans="2:16" x14ac:dyDescent="0.3">
      <c r="B290" s="292"/>
      <c r="C290" s="12" t="s">
        <v>215</v>
      </c>
      <c r="D290" s="90">
        <v>43.118447129756504</v>
      </c>
      <c r="E290" s="90">
        <v>32.959798167868001</v>
      </c>
      <c r="F290" s="91">
        <v>63.178333727153223</v>
      </c>
      <c r="G290" s="90">
        <v>16.080693538444351</v>
      </c>
      <c r="H290" s="91">
        <v>22.230374858243746</v>
      </c>
      <c r="I290" s="90">
        <v>42.356055488693407</v>
      </c>
      <c r="J290" s="90">
        <v>18.390475669163791</v>
      </c>
      <c r="K290" s="90">
        <v>13.562378637911063</v>
      </c>
      <c r="L290" s="91">
        <v>29.258451386259861</v>
      </c>
      <c r="M290" s="90">
        <v>9.3039772733418538</v>
      </c>
      <c r="N290" s="90">
        <v>6.4310971767683824</v>
      </c>
      <c r="O290" s="90">
        <v>3.1299169463957153</v>
      </c>
      <c r="P290" s="90">
        <v>0</v>
      </c>
    </row>
    <row r="291" spans="2:16" x14ac:dyDescent="0.3">
      <c r="B291" s="292"/>
      <c r="C291" s="9" t="s">
        <v>216</v>
      </c>
      <c r="D291" s="86">
        <v>0</v>
      </c>
      <c r="E291" s="86">
        <v>0</v>
      </c>
      <c r="F291" s="88">
        <v>0</v>
      </c>
      <c r="G291" s="86">
        <v>0</v>
      </c>
      <c r="H291" s="88">
        <v>0</v>
      </c>
      <c r="I291" s="86">
        <v>0</v>
      </c>
      <c r="J291" s="86">
        <v>0</v>
      </c>
      <c r="K291" s="86">
        <v>0</v>
      </c>
      <c r="L291" s="88">
        <v>0</v>
      </c>
      <c r="M291" s="86">
        <v>0</v>
      </c>
      <c r="N291" s="86">
        <v>0</v>
      </c>
      <c r="O291" s="86">
        <v>0</v>
      </c>
      <c r="P291" s="86">
        <v>0</v>
      </c>
    </row>
    <row r="292" spans="2:16" x14ac:dyDescent="0.3">
      <c r="B292" s="292"/>
      <c r="C292" s="9" t="s">
        <v>217</v>
      </c>
      <c r="D292" s="86">
        <v>0</v>
      </c>
      <c r="E292" s="86">
        <v>0</v>
      </c>
      <c r="F292" s="88">
        <v>0</v>
      </c>
      <c r="G292" s="86">
        <v>0</v>
      </c>
      <c r="H292" s="88">
        <v>0</v>
      </c>
      <c r="I292" s="86">
        <v>0</v>
      </c>
      <c r="J292" s="86">
        <v>0</v>
      </c>
      <c r="K292" s="86">
        <v>0</v>
      </c>
      <c r="L292" s="88">
        <v>0</v>
      </c>
      <c r="M292" s="86">
        <v>0</v>
      </c>
      <c r="N292" s="86">
        <v>0</v>
      </c>
      <c r="O292" s="86">
        <v>0</v>
      </c>
      <c r="P292" s="86">
        <v>0</v>
      </c>
    </row>
    <row r="293" spans="2:16" x14ac:dyDescent="0.3">
      <c r="B293" s="292"/>
      <c r="C293" s="9" t="s">
        <v>218</v>
      </c>
      <c r="D293" s="86">
        <v>0</v>
      </c>
      <c r="E293" s="86">
        <v>0</v>
      </c>
      <c r="F293" s="88">
        <v>0</v>
      </c>
      <c r="G293" s="86">
        <v>0</v>
      </c>
      <c r="H293" s="88">
        <v>0</v>
      </c>
      <c r="I293" s="86">
        <v>0</v>
      </c>
      <c r="J293" s="86">
        <v>0</v>
      </c>
      <c r="K293" s="86">
        <v>0</v>
      </c>
      <c r="L293" s="88">
        <v>0</v>
      </c>
      <c r="M293" s="86">
        <v>0</v>
      </c>
      <c r="N293" s="86">
        <v>0</v>
      </c>
      <c r="O293" s="86">
        <v>0</v>
      </c>
      <c r="P293" s="86">
        <v>0</v>
      </c>
    </row>
    <row r="294" spans="2:16" x14ac:dyDescent="0.3">
      <c r="B294" s="292"/>
      <c r="C294" s="9" t="s">
        <v>219</v>
      </c>
      <c r="D294" s="86">
        <v>0</v>
      </c>
      <c r="E294" s="86">
        <v>0</v>
      </c>
      <c r="F294" s="88">
        <v>0</v>
      </c>
      <c r="G294" s="86">
        <v>0</v>
      </c>
      <c r="H294" s="88">
        <v>0</v>
      </c>
      <c r="I294" s="86">
        <v>0</v>
      </c>
      <c r="J294" s="86">
        <v>0</v>
      </c>
      <c r="K294" s="86">
        <v>0</v>
      </c>
      <c r="L294" s="88">
        <v>0</v>
      </c>
      <c r="M294" s="86">
        <v>0</v>
      </c>
      <c r="N294" s="86">
        <v>0</v>
      </c>
      <c r="O294" s="86">
        <v>0</v>
      </c>
      <c r="P294" s="86">
        <v>0</v>
      </c>
    </row>
    <row r="295" spans="2:16" x14ac:dyDescent="0.3">
      <c r="B295" s="292"/>
      <c r="C295" s="9" t="s">
        <v>220</v>
      </c>
      <c r="D295" s="86">
        <v>0</v>
      </c>
      <c r="E295" s="86">
        <v>0</v>
      </c>
      <c r="F295" s="88">
        <v>0</v>
      </c>
      <c r="G295" s="86">
        <v>0</v>
      </c>
      <c r="H295" s="88">
        <v>0</v>
      </c>
      <c r="I295" s="86">
        <v>0</v>
      </c>
      <c r="J295" s="86">
        <v>0</v>
      </c>
      <c r="K295" s="86">
        <v>0</v>
      </c>
      <c r="L295" s="88">
        <v>0</v>
      </c>
      <c r="M295" s="86">
        <v>0</v>
      </c>
      <c r="N295" s="86">
        <v>0</v>
      </c>
      <c r="O295" s="86">
        <v>0</v>
      </c>
      <c r="P295" s="86">
        <v>0</v>
      </c>
    </row>
    <row r="296" spans="2:16" x14ac:dyDescent="0.3">
      <c r="B296" s="295"/>
      <c r="C296" s="9" t="s">
        <v>221</v>
      </c>
      <c r="D296" s="90">
        <v>0</v>
      </c>
      <c r="E296" s="90">
        <v>0</v>
      </c>
      <c r="F296" s="91">
        <v>0</v>
      </c>
      <c r="G296" s="90">
        <v>0</v>
      </c>
      <c r="H296" s="91">
        <v>0</v>
      </c>
      <c r="I296" s="90">
        <v>0</v>
      </c>
      <c r="J296" s="90">
        <v>0</v>
      </c>
      <c r="K296" s="90">
        <v>0</v>
      </c>
      <c r="L296" s="91">
        <v>0</v>
      </c>
      <c r="M296" s="90">
        <v>0</v>
      </c>
      <c r="N296" s="90">
        <v>0</v>
      </c>
      <c r="O296" s="90">
        <v>0</v>
      </c>
      <c r="P296" s="90">
        <v>0</v>
      </c>
    </row>
    <row r="297" spans="2:16" ht="16.5" customHeight="1" x14ac:dyDescent="0.3">
      <c r="B297" s="291" t="s">
        <v>222</v>
      </c>
      <c r="C297" s="13" t="s">
        <v>226</v>
      </c>
      <c r="D297" s="80">
        <v>54.19191660971768</v>
      </c>
      <c r="E297" s="80">
        <v>42.94946932681016</v>
      </c>
      <c r="F297" s="80">
        <v>60.29168301294893</v>
      </c>
      <c r="G297" s="80">
        <v>22.563807061938757</v>
      </c>
      <c r="H297" s="80">
        <v>24.57898271267311</v>
      </c>
      <c r="I297" s="80">
        <v>28.413455662724928</v>
      </c>
      <c r="J297" s="80">
        <v>21.552644391536244</v>
      </c>
      <c r="K297" s="80">
        <v>11.324314941541434</v>
      </c>
      <c r="L297" s="80">
        <v>22.086365434407025</v>
      </c>
      <c r="M297" s="80">
        <v>3.0192876524729506</v>
      </c>
      <c r="N297" s="80">
        <v>3.6923895820224075</v>
      </c>
      <c r="O297" s="80">
        <v>4.752095101615561</v>
      </c>
      <c r="P297" s="80">
        <v>0.58358850959093589</v>
      </c>
    </row>
    <row r="298" spans="2:16" x14ac:dyDescent="0.3">
      <c r="B298" s="294"/>
      <c r="C298" s="9" t="s">
        <v>227</v>
      </c>
      <c r="D298" s="79">
        <v>44.948927464420542</v>
      </c>
      <c r="E298" s="79">
        <v>38.385286989379594</v>
      </c>
      <c r="F298" s="79">
        <v>64.334362868622378</v>
      </c>
      <c r="G298" s="79">
        <v>17.098515412369888</v>
      </c>
      <c r="H298" s="79">
        <v>23.511751332523005</v>
      </c>
      <c r="I298" s="79">
        <v>32.866031505599999</v>
      </c>
      <c r="J298" s="79">
        <v>18.337637141367111</v>
      </c>
      <c r="K298" s="79">
        <v>14.475157674261482</v>
      </c>
      <c r="L298" s="79">
        <v>30.394110798723666</v>
      </c>
      <c r="M298" s="79">
        <v>6.8389830028025109</v>
      </c>
      <c r="N298" s="79">
        <v>6.8466202985605085</v>
      </c>
      <c r="O298" s="79">
        <v>1.9626155113692003</v>
      </c>
      <c r="P298" s="79">
        <v>0</v>
      </c>
    </row>
    <row r="299" spans="2:16" x14ac:dyDescent="0.3">
      <c r="B299" s="292"/>
      <c r="C299" s="9" t="s">
        <v>228</v>
      </c>
      <c r="D299" s="79">
        <v>34.487700068048582</v>
      </c>
      <c r="E299" s="79">
        <v>40.644182757173766</v>
      </c>
      <c r="F299" s="79">
        <v>56.600168527611949</v>
      </c>
      <c r="G299" s="79">
        <v>24.894379766519332</v>
      </c>
      <c r="H299" s="79">
        <v>24.932254156482035</v>
      </c>
      <c r="I299" s="79">
        <v>39.847985600164023</v>
      </c>
      <c r="J299" s="79">
        <v>20.581946941318087</v>
      </c>
      <c r="K299" s="79">
        <v>9.308435363597992</v>
      </c>
      <c r="L299" s="79">
        <v>34.003550339189843</v>
      </c>
      <c r="M299" s="79">
        <v>6.2531130021028796</v>
      </c>
      <c r="N299" s="79">
        <v>6.8225033467777623</v>
      </c>
      <c r="O299" s="79">
        <v>1.6237801310137165</v>
      </c>
      <c r="P299" s="79">
        <v>0</v>
      </c>
    </row>
    <row r="300" spans="2:16" x14ac:dyDescent="0.3">
      <c r="B300" s="295"/>
      <c r="C300" s="12" t="s">
        <v>229</v>
      </c>
      <c r="D300" s="81">
        <v>40.487293175916953</v>
      </c>
      <c r="E300" s="81">
        <v>41.215188059398436</v>
      </c>
      <c r="F300" s="81">
        <v>63.253020374960734</v>
      </c>
      <c r="G300" s="81">
        <v>15.646488412265461</v>
      </c>
      <c r="H300" s="81">
        <v>16.887758886279876</v>
      </c>
      <c r="I300" s="81">
        <v>41.786818821048797</v>
      </c>
      <c r="J300" s="81">
        <v>22.887241925711709</v>
      </c>
      <c r="K300" s="81">
        <v>14.584039650322719</v>
      </c>
      <c r="L300" s="81">
        <v>27.729992589453278</v>
      </c>
      <c r="M300" s="81">
        <v>11.406448512973599</v>
      </c>
      <c r="N300" s="81">
        <v>3.522706374993787</v>
      </c>
      <c r="O300" s="81">
        <v>0.59300321667455413</v>
      </c>
      <c r="P300" s="81">
        <v>0</v>
      </c>
    </row>
    <row r="301" spans="2:16" x14ac:dyDescent="0.3">
      <c r="B301" s="296" t="s">
        <v>199</v>
      </c>
      <c r="C301" s="13" t="s">
        <v>192</v>
      </c>
      <c r="D301" s="80">
        <v>45.247054011851048</v>
      </c>
      <c r="E301" s="80">
        <v>40.635305012118344</v>
      </c>
      <c r="F301" s="80">
        <v>58.398610842521492</v>
      </c>
      <c r="G301" s="80">
        <v>21.182677904889317</v>
      </c>
      <c r="H301" s="80">
        <v>19.778754821929127</v>
      </c>
      <c r="I301" s="80">
        <v>37.593444814840993</v>
      </c>
      <c r="J301" s="80">
        <v>22.374021088675164</v>
      </c>
      <c r="K301" s="80">
        <v>13.806192988425622</v>
      </c>
      <c r="L301" s="80">
        <v>27.070651285695469</v>
      </c>
      <c r="M301" s="80">
        <v>7.6655044389402143</v>
      </c>
      <c r="N301" s="80">
        <v>3.8547435443974152</v>
      </c>
      <c r="O301" s="80">
        <v>2.1563297779535051</v>
      </c>
      <c r="P301" s="80">
        <v>0.23670946776251223</v>
      </c>
    </row>
    <row r="302" spans="2:16" ht="16.5" customHeight="1" x14ac:dyDescent="0.3">
      <c r="B302" s="292"/>
      <c r="C302" s="9" t="s">
        <v>200</v>
      </c>
      <c r="D302" s="79">
        <v>35.769387596312896</v>
      </c>
      <c r="E302" s="79">
        <v>40.226957753070742</v>
      </c>
      <c r="F302" s="79">
        <v>67.354132653006374</v>
      </c>
      <c r="G302" s="79">
        <v>16.602405330910457</v>
      </c>
      <c r="H302" s="79">
        <v>31.776328381804586</v>
      </c>
      <c r="I302" s="79">
        <v>38.823134756487974</v>
      </c>
      <c r="J302" s="79">
        <v>15.952896647289558</v>
      </c>
      <c r="K302" s="79">
        <v>6.5319230425276542</v>
      </c>
      <c r="L302" s="79">
        <v>37.358982217741023</v>
      </c>
      <c r="M302" s="79">
        <v>1.5226333306987143</v>
      </c>
      <c r="N302" s="79">
        <v>6.3048127376682359</v>
      </c>
      <c r="O302" s="79">
        <v>1.7764055524818332</v>
      </c>
      <c r="P302" s="79">
        <v>0</v>
      </c>
    </row>
    <row r="303" spans="2:16" ht="16.5" customHeight="1" x14ac:dyDescent="0.3">
      <c r="B303" s="292"/>
      <c r="C303" s="9" t="s">
        <v>201</v>
      </c>
      <c r="D303" s="79">
        <v>42.344531430545409</v>
      </c>
      <c r="E303" s="79">
        <v>39.097666260003464</v>
      </c>
      <c r="F303" s="79">
        <v>58.362082306696493</v>
      </c>
      <c r="G303" s="79">
        <v>20.570429315730987</v>
      </c>
      <c r="H303" s="79">
        <v>26.623410482946419</v>
      </c>
      <c r="I303" s="79">
        <v>35.560423974173602</v>
      </c>
      <c r="J303" s="79">
        <v>16.057907248745593</v>
      </c>
      <c r="K303" s="79">
        <v>15.643565500127496</v>
      </c>
      <c r="L303" s="79">
        <v>28.973896356714679</v>
      </c>
      <c r="M303" s="79">
        <v>10.032334018124892</v>
      </c>
      <c r="N303" s="79">
        <v>4.9337001095732687</v>
      </c>
      <c r="O303" s="79">
        <v>1.8000529966177792</v>
      </c>
      <c r="P303" s="79">
        <v>0</v>
      </c>
    </row>
    <row r="304" spans="2:16" x14ac:dyDescent="0.3">
      <c r="B304" s="292"/>
      <c r="C304" s="9" t="s">
        <v>202</v>
      </c>
      <c r="D304" s="79">
        <v>34.418878226995318</v>
      </c>
      <c r="E304" s="79">
        <v>39.263147160848199</v>
      </c>
      <c r="F304" s="79">
        <v>68.735525330035415</v>
      </c>
      <c r="G304" s="79">
        <v>16.504556270463191</v>
      </c>
      <c r="H304" s="79">
        <v>24.663506666345057</v>
      </c>
      <c r="I304" s="79">
        <v>30.461956008185652</v>
      </c>
      <c r="J304" s="79">
        <v>19.227201323793736</v>
      </c>
      <c r="K304" s="79">
        <v>12.675468803421019</v>
      </c>
      <c r="L304" s="79">
        <v>32.796137329131412</v>
      </c>
      <c r="M304" s="79">
        <v>9.6366243599095807</v>
      </c>
      <c r="N304" s="79">
        <v>8.2485314366232405</v>
      </c>
      <c r="O304" s="79">
        <v>3.3684670842483317</v>
      </c>
      <c r="P304" s="79">
        <v>0</v>
      </c>
    </row>
    <row r="305" spans="2:16" x14ac:dyDescent="0.3">
      <c r="B305" s="295"/>
      <c r="C305" s="12" t="s">
        <v>203</v>
      </c>
      <c r="D305" s="81">
        <v>44.231113278618594</v>
      </c>
      <c r="E305" s="81">
        <v>42.301965677572511</v>
      </c>
      <c r="F305" s="81">
        <v>66.426657251120417</v>
      </c>
      <c r="G305" s="81">
        <v>17.635992169339435</v>
      </c>
      <c r="H305" s="81">
        <v>24.707276559416194</v>
      </c>
      <c r="I305" s="81">
        <v>32.754620579202673</v>
      </c>
      <c r="J305" s="81">
        <v>20.232095661961839</v>
      </c>
      <c r="K305" s="81">
        <v>8.8385309777459913</v>
      </c>
      <c r="L305" s="81">
        <v>29.430112945454105</v>
      </c>
      <c r="M305" s="81">
        <v>3.7663193221625932</v>
      </c>
      <c r="N305" s="81">
        <v>7.7264934793134792</v>
      </c>
      <c r="O305" s="81">
        <v>1.9488220980921331</v>
      </c>
      <c r="P305" s="81">
        <v>0</v>
      </c>
    </row>
    <row r="306" spans="2:16" x14ac:dyDescent="0.3">
      <c r="B306" s="291" t="s">
        <v>204</v>
      </c>
      <c r="C306" s="13" t="s">
        <v>192</v>
      </c>
      <c r="D306" s="80">
        <v>45.247054011851048</v>
      </c>
      <c r="E306" s="80">
        <v>40.635305012118344</v>
      </c>
      <c r="F306" s="80">
        <v>58.398610842521492</v>
      </c>
      <c r="G306" s="80">
        <v>21.182677904889317</v>
      </c>
      <c r="H306" s="80">
        <v>19.778754821929127</v>
      </c>
      <c r="I306" s="80">
        <v>37.593444814840993</v>
      </c>
      <c r="J306" s="80">
        <v>22.374021088675164</v>
      </c>
      <c r="K306" s="80">
        <v>13.806192988425622</v>
      </c>
      <c r="L306" s="80">
        <v>27.070651285695469</v>
      </c>
      <c r="M306" s="80">
        <v>7.6655044389402143</v>
      </c>
      <c r="N306" s="80">
        <v>3.8547435443974152</v>
      </c>
      <c r="O306" s="80">
        <v>2.1563297779535051</v>
      </c>
      <c r="P306" s="80">
        <v>0.23670946776251223</v>
      </c>
    </row>
    <row r="307" spans="2:16" x14ac:dyDescent="0.3">
      <c r="B307" s="295"/>
      <c r="C307" s="12" t="s">
        <v>193</v>
      </c>
      <c r="D307" s="81">
        <v>41.124689834235895</v>
      </c>
      <c r="E307" s="81">
        <v>40.791011617628243</v>
      </c>
      <c r="F307" s="81">
        <v>65.130943092598727</v>
      </c>
      <c r="G307" s="81">
        <v>17.989668749184144</v>
      </c>
      <c r="H307" s="81">
        <v>25.74300397345554</v>
      </c>
      <c r="I307" s="81">
        <v>33.459886896897245</v>
      </c>
      <c r="J307" s="81">
        <v>18.714741577098355</v>
      </c>
      <c r="K307" s="81">
        <v>10.949670117536538</v>
      </c>
      <c r="L307" s="81">
        <v>30.677545403679261</v>
      </c>
      <c r="M307" s="81">
        <v>6.1641350746604218</v>
      </c>
      <c r="N307" s="81">
        <v>7.0726039892938779</v>
      </c>
      <c r="O307" s="81">
        <v>2.1820996737317051</v>
      </c>
      <c r="P307" s="81">
        <v>0</v>
      </c>
    </row>
    <row r="308" spans="2:16" x14ac:dyDescent="0.3">
      <c r="B308" s="291" t="s">
        <v>209</v>
      </c>
      <c r="C308" s="13" t="s">
        <v>205</v>
      </c>
      <c r="D308" s="80">
        <v>37.599680378413261</v>
      </c>
      <c r="E308" s="80">
        <v>39.95407937926246</v>
      </c>
      <c r="F308" s="80">
        <v>56.333273640988615</v>
      </c>
      <c r="G308" s="80">
        <v>17.553363601315368</v>
      </c>
      <c r="H308" s="80">
        <v>25.745674243265182</v>
      </c>
      <c r="I308" s="80">
        <v>35.294569982858029</v>
      </c>
      <c r="J308" s="80">
        <v>24.488457174649188</v>
      </c>
      <c r="K308" s="80">
        <v>13.287813390373133</v>
      </c>
      <c r="L308" s="80">
        <v>32.533455318121028</v>
      </c>
      <c r="M308" s="80">
        <v>8.4851848500087943</v>
      </c>
      <c r="N308" s="80">
        <v>6.0069454098788366</v>
      </c>
      <c r="O308" s="80">
        <v>2.7175026308661065</v>
      </c>
      <c r="P308" s="80">
        <v>0</v>
      </c>
    </row>
    <row r="309" spans="2:16" x14ac:dyDescent="0.3">
      <c r="B309" s="292"/>
      <c r="C309" s="9" t="s">
        <v>206</v>
      </c>
      <c r="D309" s="79">
        <v>42.328646301650281</v>
      </c>
      <c r="E309" s="79">
        <v>35.054644121902768</v>
      </c>
      <c r="F309" s="79">
        <v>61.748858785309025</v>
      </c>
      <c r="G309" s="79">
        <v>13.043209432626353</v>
      </c>
      <c r="H309" s="79">
        <v>24.064191737123636</v>
      </c>
      <c r="I309" s="79">
        <v>41.669687469619085</v>
      </c>
      <c r="J309" s="79">
        <v>22.986957178383605</v>
      </c>
      <c r="K309" s="79">
        <v>7.966794286518188</v>
      </c>
      <c r="L309" s="79">
        <v>32.696897969012355</v>
      </c>
      <c r="M309" s="79">
        <v>5.0082071949814839</v>
      </c>
      <c r="N309" s="79">
        <v>7.1404703325355268</v>
      </c>
      <c r="O309" s="79">
        <v>5.4435564978347273</v>
      </c>
      <c r="P309" s="79">
        <v>0.84787869250312919</v>
      </c>
    </row>
    <row r="310" spans="2:16" x14ac:dyDescent="0.3">
      <c r="B310" s="292"/>
      <c r="C310" s="9" t="s">
        <v>207</v>
      </c>
      <c r="D310" s="79">
        <v>56.799520014799576</v>
      </c>
      <c r="E310" s="79">
        <v>47.660004483349248</v>
      </c>
      <c r="F310" s="79">
        <v>62.838333736010355</v>
      </c>
      <c r="G310" s="79">
        <v>22.324118400447791</v>
      </c>
      <c r="H310" s="79">
        <v>22.319766824087303</v>
      </c>
      <c r="I310" s="79">
        <v>30.399500208990016</v>
      </c>
      <c r="J310" s="79">
        <v>14.666784237582231</v>
      </c>
      <c r="K310" s="79">
        <v>9.7595392878389191</v>
      </c>
      <c r="L310" s="79">
        <v>21.568270028755666</v>
      </c>
      <c r="M310" s="79">
        <v>6.5328975507662186</v>
      </c>
      <c r="N310" s="79">
        <v>4.2439101858611394</v>
      </c>
      <c r="O310" s="79">
        <v>0.88735504151157618</v>
      </c>
      <c r="P310" s="79">
        <v>0</v>
      </c>
    </row>
    <row r="311" spans="2:16" x14ac:dyDescent="0.3">
      <c r="B311" s="293"/>
      <c r="C311" s="25" t="s">
        <v>208</v>
      </c>
      <c r="D311" s="82">
        <v>37.075562522959174</v>
      </c>
      <c r="E311" s="82">
        <v>38.402389173165908</v>
      </c>
      <c r="F311" s="82">
        <v>62.221572001027603</v>
      </c>
      <c r="G311" s="82">
        <v>21.716307437544049</v>
      </c>
      <c r="H311" s="82">
        <v>20.235778656407462</v>
      </c>
      <c r="I311" s="82">
        <v>37.470463081352129</v>
      </c>
      <c r="J311" s="82">
        <v>22.612916293449459</v>
      </c>
      <c r="K311" s="82">
        <v>16.087089498332627</v>
      </c>
      <c r="L311" s="82">
        <v>30.276405936284405</v>
      </c>
      <c r="M311" s="82">
        <v>7.525623441796407</v>
      </c>
      <c r="N311" s="82">
        <v>4.8632806987110673</v>
      </c>
      <c r="O311" s="82">
        <v>1.5126112589697651</v>
      </c>
      <c r="P311" s="82">
        <v>0</v>
      </c>
    </row>
    <row r="312" spans="2:16" x14ac:dyDescent="0.3">
      <c r="B312" s="60"/>
      <c r="C312" s="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</row>
    <row r="313" spans="2:16" x14ac:dyDescent="0.3">
      <c r="B313" s="60"/>
      <c r="C313" s="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</row>
    <row r="314" spans="2:16" x14ac:dyDescent="0.3">
      <c r="B314" s="1" t="s">
        <v>502</v>
      </c>
    </row>
    <row r="315" spans="2:16" x14ac:dyDescent="0.3">
      <c r="D315" s="30"/>
      <c r="E315" s="30" t="s">
        <v>301</v>
      </c>
      <c r="N315" s="30"/>
    </row>
    <row r="316" spans="2:16" x14ac:dyDescent="0.3">
      <c r="B316" s="216"/>
      <c r="C316" s="309" t="s">
        <v>137</v>
      </c>
      <c r="D316" s="290"/>
      <c r="E316" s="290"/>
      <c r="G316" s="308"/>
      <c r="H316" s="308"/>
      <c r="I316" s="308"/>
      <c r="J316" s="308"/>
      <c r="K316" s="308"/>
      <c r="L316" s="308"/>
      <c r="M316" s="308"/>
      <c r="N316" s="308"/>
    </row>
    <row r="317" spans="2:16" x14ac:dyDescent="0.3">
      <c r="B317" s="221"/>
      <c r="C317" s="228" t="s">
        <v>56</v>
      </c>
      <c r="D317" s="215" t="s">
        <v>302</v>
      </c>
      <c r="E317" s="215" t="s">
        <v>41</v>
      </c>
      <c r="G317" s="64"/>
      <c r="H317" s="64"/>
      <c r="I317" s="64"/>
      <c r="J317" s="64"/>
      <c r="K317" s="64"/>
      <c r="L317" s="64"/>
      <c r="M317" s="64"/>
      <c r="N317" s="64"/>
    </row>
    <row r="318" spans="2:16" x14ac:dyDescent="0.3">
      <c r="B318" s="40">
        <v>1</v>
      </c>
      <c r="C318" s="23" t="s">
        <v>86</v>
      </c>
      <c r="D318" s="134">
        <v>1704</v>
      </c>
      <c r="E318" s="83">
        <v>16.514828455126963</v>
      </c>
      <c r="G318" s="9"/>
      <c r="H318" s="56"/>
      <c r="I318" s="56"/>
      <c r="J318" s="56"/>
      <c r="K318" s="9"/>
      <c r="L318" s="56"/>
      <c r="M318" s="56"/>
      <c r="N318" s="56"/>
    </row>
    <row r="319" spans="2:16" x14ac:dyDescent="0.3">
      <c r="B319" s="40">
        <v>2</v>
      </c>
      <c r="C319" s="23" t="s">
        <v>84</v>
      </c>
      <c r="D319" s="134">
        <v>917</v>
      </c>
      <c r="E319" s="83">
        <v>8.8873812754409762</v>
      </c>
      <c r="G319" s="9"/>
      <c r="H319" s="56"/>
      <c r="I319" s="56"/>
      <c r="J319" s="56"/>
      <c r="K319" s="9"/>
      <c r="L319" s="56"/>
      <c r="M319" s="56"/>
      <c r="N319" s="56"/>
    </row>
    <row r="320" spans="2:16" x14ac:dyDescent="0.3">
      <c r="B320" s="40">
        <v>3</v>
      </c>
      <c r="C320" s="23" t="s">
        <v>89</v>
      </c>
      <c r="D320" s="134">
        <v>702</v>
      </c>
      <c r="E320" s="83">
        <v>6.8036441170769528</v>
      </c>
      <c r="G320" s="9"/>
      <c r="H320" s="56"/>
      <c r="I320" s="56"/>
      <c r="J320" s="56"/>
      <c r="K320" s="9"/>
      <c r="L320" s="56"/>
      <c r="M320" s="56"/>
      <c r="N320" s="56"/>
    </row>
    <row r="321" spans="2:14" x14ac:dyDescent="0.3">
      <c r="B321" s="40">
        <v>4</v>
      </c>
      <c r="C321" s="23" t="s">
        <v>87</v>
      </c>
      <c r="D321" s="134">
        <v>459</v>
      </c>
      <c r="E321" s="83">
        <v>4.4485365380887769</v>
      </c>
      <c r="G321" s="9"/>
      <c r="H321" s="56"/>
      <c r="I321" s="56"/>
      <c r="J321" s="56"/>
      <c r="K321" s="9"/>
      <c r="L321" s="56"/>
      <c r="M321" s="56"/>
      <c r="N321" s="56"/>
    </row>
    <row r="322" spans="2:14" x14ac:dyDescent="0.3">
      <c r="B322" s="40">
        <v>5</v>
      </c>
      <c r="C322" s="23" t="s">
        <v>88</v>
      </c>
      <c r="D322" s="134">
        <v>426</v>
      </c>
      <c r="E322" s="83">
        <v>4.1287071137817408</v>
      </c>
      <c r="G322" s="9"/>
      <c r="H322" s="56"/>
      <c r="I322" s="56"/>
      <c r="J322" s="56"/>
      <c r="K322" s="9"/>
      <c r="L322" s="56"/>
      <c r="M322" s="56"/>
      <c r="N322" s="56"/>
    </row>
    <row r="323" spans="2:14" x14ac:dyDescent="0.3">
      <c r="B323" s="40">
        <v>6</v>
      </c>
      <c r="C323" s="23" t="s">
        <v>303</v>
      </c>
      <c r="D323" s="134">
        <v>419</v>
      </c>
      <c r="E323" s="83">
        <v>4.0608645086257029</v>
      </c>
      <c r="G323" s="9"/>
      <c r="H323" s="56"/>
      <c r="I323" s="56"/>
      <c r="J323" s="56"/>
      <c r="K323" s="9"/>
      <c r="L323" s="56"/>
      <c r="M323" s="56"/>
      <c r="N323" s="56"/>
    </row>
    <row r="324" spans="2:14" x14ac:dyDescent="0.3">
      <c r="B324" s="40">
        <v>7</v>
      </c>
      <c r="C324" s="23" t="s">
        <v>96</v>
      </c>
      <c r="D324" s="134">
        <v>290</v>
      </c>
      <c r="E324" s="83">
        <v>2.8106222136072883</v>
      </c>
      <c r="G324" s="9"/>
      <c r="H324" s="56"/>
      <c r="I324" s="56"/>
      <c r="J324" s="56"/>
      <c r="K324" s="9"/>
      <c r="L324" s="56"/>
      <c r="M324" s="56"/>
      <c r="N324" s="56"/>
    </row>
    <row r="325" spans="2:14" x14ac:dyDescent="0.3">
      <c r="B325" s="40">
        <v>8</v>
      </c>
      <c r="C325" s="23" t="s">
        <v>90</v>
      </c>
      <c r="D325" s="134">
        <v>274</v>
      </c>
      <c r="E325" s="83">
        <v>2.6555534018220586</v>
      </c>
      <c r="G325" s="9"/>
      <c r="H325" s="56"/>
      <c r="I325" s="56"/>
      <c r="J325" s="56"/>
      <c r="K325" s="9"/>
      <c r="L325" s="56"/>
      <c r="M325" s="56"/>
      <c r="N325" s="56"/>
    </row>
    <row r="326" spans="2:14" x14ac:dyDescent="0.3">
      <c r="B326" s="40">
        <v>9</v>
      </c>
      <c r="C326" s="23" t="s">
        <v>304</v>
      </c>
      <c r="D326" s="134">
        <v>264</v>
      </c>
      <c r="E326" s="83">
        <v>2.5586353944562901</v>
      </c>
      <c r="G326" s="9"/>
      <c r="H326" s="56"/>
      <c r="I326" s="56"/>
      <c r="J326" s="56"/>
      <c r="K326" s="9"/>
      <c r="L326" s="56"/>
      <c r="M326" s="56"/>
      <c r="N326" s="56"/>
    </row>
    <row r="327" spans="2:14" x14ac:dyDescent="0.3">
      <c r="B327" s="40">
        <v>10</v>
      </c>
      <c r="C327" s="23" t="s">
        <v>91</v>
      </c>
      <c r="D327" s="134">
        <v>262</v>
      </c>
      <c r="E327" s="83">
        <v>2.5392517929831362</v>
      </c>
      <c r="G327" s="9"/>
      <c r="H327" s="56"/>
      <c r="I327" s="56"/>
      <c r="J327" s="56"/>
      <c r="K327" s="9"/>
      <c r="L327" s="56"/>
      <c r="M327" s="56"/>
      <c r="N327" s="56"/>
    </row>
    <row r="328" spans="2:14" x14ac:dyDescent="0.3">
      <c r="B328" s="40">
        <v>11</v>
      </c>
      <c r="C328" s="23" t="s">
        <v>305</v>
      </c>
      <c r="D328" s="134">
        <v>206</v>
      </c>
      <c r="E328" s="83">
        <v>1.9965109517348323</v>
      </c>
      <c r="G328" s="9"/>
      <c r="H328" s="56"/>
      <c r="I328" s="56"/>
      <c r="J328" s="56"/>
      <c r="K328" s="9"/>
      <c r="L328" s="56"/>
      <c r="M328" s="56"/>
      <c r="N328" s="56"/>
    </row>
    <row r="329" spans="2:14" x14ac:dyDescent="0.3">
      <c r="B329" s="40">
        <v>12</v>
      </c>
      <c r="C329" s="23" t="s">
        <v>306</v>
      </c>
      <c r="D329" s="134">
        <v>201</v>
      </c>
      <c r="E329" s="83">
        <v>1.948051948051948</v>
      </c>
      <c r="G329" s="9"/>
      <c r="H329" s="56"/>
      <c r="I329" s="56"/>
      <c r="J329" s="56"/>
      <c r="K329" s="9"/>
      <c r="L329" s="56"/>
      <c r="M329" s="56"/>
      <c r="N329" s="56"/>
    </row>
    <row r="330" spans="2:14" x14ac:dyDescent="0.3">
      <c r="B330" s="40">
        <v>13</v>
      </c>
      <c r="C330" s="23" t="s">
        <v>93</v>
      </c>
      <c r="D330" s="134">
        <v>170</v>
      </c>
      <c r="E330" s="83">
        <v>1.6476061252180656</v>
      </c>
      <c r="G330" s="9"/>
      <c r="H330" s="56"/>
      <c r="I330" s="56"/>
      <c r="J330" s="56"/>
      <c r="K330" s="9"/>
      <c r="L330" s="56"/>
      <c r="M330" s="56"/>
      <c r="N330" s="56"/>
    </row>
    <row r="331" spans="2:14" x14ac:dyDescent="0.3">
      <c r="B331" s="40">
        <v>14</v>
      </c>
      <c r="C331" s="23" t="s">
        <v>307</v>
      </c>
      <c r="D331" s="134">
        <v>169</v>
      </c>
      <c r="E331" s="83">
        <v>1.6379143244814887</v>
      </c>
      <c r="G331" s="9"/>
      <c r="H331" s="56"/>
      <c r="I331" s="56"/>
      <c r="J331" s="56"/>
      <c r="K331" s="9"/>
      <c r="L331" s="56"/>
      <c r="M331" s="56"/>
      <c r="N331" s="56"/>
    </row>
    <row r="332" spans="2:14" x14ac:dyDescent="0.3">
      <c r="B332" s="40">
        <v>15</v>
      </c>
      <c r="C332" s="23" t="s">
        <v>308</v>
      </c>
      <c r="D332" s="134">
        <v>157</v>
      </c>
      <c r="E332" s="83">
        <v>1.5216127156425663</v>
      </c>
      <c r="G332" s="9"/>
      <c r="H332" s="56"/>
      <c r="I332" s="56"/>
      <c r="J332" s="56"/>
      <c r="K332" s="9"/>
      <c r="L332" s="56"/>
      <c r="M332" s="56"/>
      <c r="N332" s="56"/>
    </row>
    <row r="333" spans="2:14" x14ac:dyDescent="0.3">
      <c r="B333" s="40">
        <v>16</v>
      </c>
      <c r="C333" s="23" t="s">
        <v>309</v>
      </c>
      <c r="D333" s="134">
        <v>151</v>
      </c>
      <c r="E333" s="83">
        <v>1.4634619112231053</v>
      </c>
      <c r="G333" s="9"/>
      <c r="H333" s="56"/>
      <c r="I333" s="56"/>
      <c r="J333" s="56"/>
      <c r="K333" s="9"/>
      <c r="L333" s="56"/>
      <c r="M333" s="56"/>
      <c r="N333" s="56"/>
    </row>
    <row r="334" spans="2:14" x14ac:dyDescent="0.3">
      <c r="B334" s="40">
        <v>17</v>
      </c>
      <c r="C334" s="23" t="s">
        <v>310</v>
      </c>
      <c r="D334" s="134">
        <v>147</v>
      </c>
      <c r="E334" s="83">
        <v>1.4246947082767978</v>
      </c>
      <c r="G334" s="9"/>
      <c r="H334" s="56"/>
      <c r="I334" s="56"/>
      <c r="J334" s="56"/>
      <c r="K334" s="9"/>
      <c r="L334" s="56"/>
      <c r="M334" s="56"/>
      <c r="N334" s="56"/>
    </row>
    <row r="335" spans="2:14" x14ac:dyDescent="0.3">
      <c r="B335" s="40">
        <v>18</v>
      </c>
      <c r="C335" s="23" t="s">
        <v>311</v>
      </c>
      <c r="D335" s="134">
        <v>146</v>
      </c>
      <c r="E335" s="83">
        <v>1.4150029075402211</v>
      </c>
      <c r="G335" s="9"/>
      <c r="H335" s="56"/>
      <c r="I335" s="56"/>
      <c r="J335" s="56"/>
      <c r="K335" s="9"/>
      <c r="L335" s="56"/>
      <c r="M335" s="56"/>
      <c r="N335" s="56"/>
    </row>
    <row r="336" spans="2:14" x14ac:dyDescent="0.3">
      <c r="B336" s="40">
        <v>19</v>
      </c>
      <c r="C336" s="23" t="s">
        <v>312</v>
      </c>
      <c r="D336" s="134">
        <v>135</v>
      </c>
      <c r="E336" s="83">
        <v>1.3083930994378756</v>
      </c>
      <c r="G336" s="9"/>
      <c r="H336" s="56"/>
      <c r="I336" s="56"/>
      <c r="J336" s="56"/>
      <c r="K336" s="9"/>
      <c r="L336" s="56"/>
      <c r="M336" s="56"/>
      <c r="N336" s="56"/>
    </row>
    <row r="337" spans="2:14" x14ac:dyDescent="0.3">
      <c r="B337" s="40">
        <v>20</v>
      </c>
      <c r="C337" s="23" t="s">
        <v>92</v>
      </c>
      <c r="D337" s="134">
        <v>129</v>
      </c>
      <c r="E337" s="83">
        <v>1.2502422950184144</v>
      </c>
      <c r="G337" s="9"/>
      <c r="H337" s="56"/>
      <c r="I337" s="56"/>
      <c r="J337" s="56"/>
      <c r="K337" s="9"/>
      <c r="L337" s="56"/>
      <c r="M337" s="56"/>
      <c r="N337" s="56"/>
    </row>
    <row r="338" spans="2:14" x14ac:dyDescent="0.3">
      <c r="B338" s="40">
        <v>21</v>
      </c>
      <c r="C338" s="23" t="s">
        <v>313</v>
      </c>
      <c r="D338" s="134">
        <v>125</v>
      </c>
      <c r="E338" s="83">
        <v>1.2114750920721069</v>
      </c>
      <c r="G338" s="9"/>
      <c r="H338" s="56"/>
      <c r="I338" s="56"/>
      <c r="J338" s="56"/>
      <c r="K338" s="9"/>
      <c r="L338" s="56"/>
      <c r="M338" s="56"/>
      <c r="N338" s="56"/>
    </row>
    <row r="339" spans="2:14" x14ac:dyDescent="0.3">
      <c r="B339" s="40">
        <v>22</v>
      </c>
      <c r="C339" s="23" t="s">
        <v>97</v>
      </c>
      <c r="D339" s="134">
        <v>113</v>
      </c>
      <c r="E339" s="83">
        <v>1.0951734832331848</v>
      </c>
      <c r="G339" s="9"/>
      <c r="H339" s="56"/>
      <c r="I339" s="56"/>
      <c r="J339" s="56"/>
      <c r="K339" s="9"/>
      <c r="L339" s="56"/>
      <c r="M339" s="56"/>
      <c r="N339" s="56"/>
    </row>
    <row r="340" spans="2:14" x14ac:dyDescent="0.3">
      <c r="B340" s="40">
        <v>23</v>
      </c>
      <c r="C340" s="23" t="s">
        <v>95</v>
      </c>
      <c r="D340" s="134">
        <v>109</v>
      </c>
      <c r="E340" s="83">
        <v>1.0564062802868772</v>
      </c>
      <c r="G340" s="9"/>
      <c r="H340" s="56"/>
      <c r="I340" s="56"/>
      <c r="J340" s="56"/>
      <c r="K340" s="9"/>
      <c r="L340" s="56"/>
      <c r="M340" s="56"/>
      <c r="N340" s="56"/>
    </row>
    <row r="341" spans="2:14" x14ac:dyDescent="0.3">
      <c r="B341" s="40">
        <v>24</v>
      </c>
      <c r="C341" s="23" t="s">
        <v>94</v>
      </c>
      <c r="D341" s="134">
        <v>101</v>
      </c>
      <c r="E341" s="83">
        <v>0.97887187439426249</v>
      </c>
      <c r="G341" s="9"/>
      <c r="H341" s="56"/>
      <c r="I341" s="56"/>
      <c r="J341" s="56"/>
      <c r="K341" s="9"/>
      <c r="L341" s="56"/>
      <c r="M341" s="56"/>
      <c r="N341" s="56"/>
    </row>
    <row r="342" spans="2:14" x14ac:dyDescent="0.3">
      <c r="B342" s="40">
        <v>25</v>
      </c>
      <c r="C342" s="23" t="s">
        <v>98</v>
      </c>
      <c r="D342" s="134">
        <v>101</v>
      </c>
      <c r="E342" s="83">
        <v>0.97887187439426249</v>
      </c>
      <c r="G342" s="9"/>
      <c r="H342" s="56"/>
      <c r="I342" s="56"/>
      <c r="J342" s="56"/>
      <c r="K342" s="9"/>
      <c r="L342" s="56"/>
      <c r="M342" s="56"/>
      <c r="N342" s="56"/>
    </row>
    <row r="343" spans="2:14" x14ac:dyDescent="0.3">
      <c r="B343" s="40">
        <v>26</v>
      </c>
      <c r="C343" s="23" t="s">
        <v>314</v>
      </c>
      <c r="D343" s="134">
        <v>101</v>
      </c>
      <c r="E343" s="83">
        <v>0.97887187439426249</v>
      </c>
      <c r="G343" s="9"/>
      <c r="H343" s="56"/>
      <c r="I343" s="56"/>
      <c r="J343" s="56"/>
      <c r="K343" s="9"/>
      <c r="L343" s="56"/>
      <c r="M343" s="56"/>
      <c r="N343" s="56"/>
    </row>
    <row r="344" spans="2:14" x14ac:dyDescent="0.3">
      <c r="B344" s="40">
        <v>27</v>
      </c>
      <c r="C344" s="23" t="s">
        <v>315</v>
      </c>
      <c r="D344" s="134">
        <v>99</v>
      </c>
      <c r="E344" s="83">
        <v>0.95948827292110883</v>
      </c>
      <c r="G344" s="9"/>
      <c r="H344" s="56"/>
      <c r="I344" s="56"/>
      <c r="J344" s="56"/>
      <c r="K344" s="9"/>
      <c r="L344" s="56"/>
      <c r="M344" s="56"/>
      <c r="N344" s="56"/>
    </row>
    <row r="345" spans="2:14" x14ac:dyDescent="0.3">
      <c r="B345" s="40">
        <v>28</v>
      </c>
      <c r="C345" s="23" t="s">
        <v>316</v>
      </c>
      <c r="D345" s="134">
        <v>87</v>
      </c>
      <c r="E345" s="83">
        <v>0.84318666408218634</v>
      </c>
      <c r="G345" s="9"/>
      <c r="H345" s="56"/>
      <c r="I345" s="56"/>
      <c r="J345" s="56"/>
      <c r="K345" s="9"/>
      <c r="L345" s="56"/>
      <c r="M345" s="56"/>
      <c r="N345" s="56"/>
    </row>
    <row r="346" spans="2:14" x14ac:dyDescent="0.3">
      <c r="B346" s="40">
        <v>29</v>
      </c>
      <c r="C346" s="23" t="s">
        <v>85</v>
      </c>
      <c r="D346" s="134">
        <v>85</v>
      </c>
      <c r="E346" s="83">
        <v>0.8238030626090328</v>
      </c>
      <c r="G346" s="9"/>
      <c r="H346" s="56"/>
      <c r="I346" s="56"/>
      <c r="J346" s="56"/>
      <c r="K346" s="9"/>
      <c r="L346" s="56"/>
      <c r="M346" s="56"/>
      <c r="N346" s="56"/>
    </row>
    <row r="347" spans="2:14" x14ac:dyDescent="0.3">
      <c r="B347" s="41">
        <v>30</v>
      </c>
      <c r="C347" s="26" t="s">
        <v>99</v>
      </c>
      <c r="D347" s="135">
        <v>77</v>
      </c>
      <c r="E347" s="85">
        <v>0.74626865671641784</v>
      </c>
      <c r="G347" s="9"/>
      <c r="H347" s="56"/>
      <c r="I347" s="56"/>
      <c r="J347" s="56"/>
      <c r="K347" s="9"/>
      <c r="L347" s="56"/>
      <c r="M347" s="56"/>
      <c r="N347" s="56"/>
    </row>
  </sheetData>
  <mergeCells count="77">
    <mergeCell ref="B297:B300"/>
    <mergeCell ref="B301:B305"/>
    <mergeCell ref="B277:B278"/>
    <mergeCell ref="B279:B284"/>
    <mergeCell ref="B235:C235"/>
    <mergeCell ref="B236:B237"/>
    <mergeCell ref="B285:B296"/>
    <mergeCell ref="B2:C2"/>
    <mergeCell ref="B238:B243"/>
    <mergeCell ref="B69:C69"/>
    <mergeCell ref="B70:B71"/>
    <mergeCell ref="B72:B77"/>
    <mergeCell ref="B68:C68"/>
    <mergeCell ref="B27:C27"/>
    <mergeCell ref="B28:C28"/>
    <mergeCell ref="B29:B30"/>
    <mergeCell ref="B31:B36"/>
    <mergeCell ref="B226:B229"/>
    <mergeCell ref="B234:C234"/>
    <mergeCell ref="B195:B196"/>
    <mergeCell ref="B197:B202"/>
    <mergeCell ref="B135:B139"/>
    <mergeCell ref="B140:B141"/>
    <mergeCell ref="K316:N316"/>
    <mergeCell ref="G316:J316"/>
    <mergeCell ref="C316:E316"/>
    <mergeCell ref="D192:J192"/>
    <mergeCell ref="K192:P192"/>
    <mergeCell ref="B192:C193"/>
    <mergeCell ref="B244:B255"/>
    <mergeCell ref="B256:B259"/>
    <mergeCell ref="B260:B264"/>
    <mergeCell ref="B265:B266"/>
    <mergeCell ref="B267:B270"/>
    <mergeCell ref="B306:B307"/>
    <mergeCell ref="B308:B311"/>
    <mergeCell ref="E273:S273"/>
    <mergeCell ref="B275:C275"/>
    <mergeCell ref="B276:C276"/>
    <mergeCell ref="B173:B176"/>
    <mergeCell ref="B142:B145"/>
    <mergeCell ref="F148:U148"/>
    <mergeCell ref="B150:C151"/>
    <mergeCell ref="D150:J150"/>
    <mergeCell ref="K150:P150"/>
    <mergeCell ref="B177:B181"/>
    <mergeCell ref="B215:B218"/>
    <mergeCell ref="B203:B214"/>
    <mergeCell ref="B224:B225"/>
    <mergeCell ref="B109:C109"/>
    <mergeCell ref="B110:C110"/>
    <mergeCell ref="B111:B112"/>
    <mergeCell ref="B113:B118"/>
    <mergeCell ref="B219:B223"/>
    <mergeCell ref="B194:C194"/>
    <mergeCell ref="B182:B183"/>
    <mergeCell ref="B184:B187"/>
    <mergeCell ref="B152:C152"/>
    <mergeCell ref="B153:B154"/>
    <mergeCell ref="B155:B160"/>
    <mergeCell ref="B161:B172"/>
    <mergeCell ref="F66:AY66"/>
    <mergeCell ref="F107:AY107"/>
    <mergeCell ref="F190:U190"/>
    <mergeCell ref="E232:S232"/>
    <mergeCell ref="B37:B48"/>
    <mergeCell ref="B49:B52"/>
    <mergeCell ref="B53:B57"/>
    <mergeCell ref="B58:B59"/>
    <mergeCell ref="B60:B63"/>
    <mergeCell ref="B78:B89"/>
    <mergeCell ref="B90:B93"/>
    <mergeCell ref="B94:B98"/>
    <mergeCell ref="B99:B100"/>
    <mergeCell ref="B101:B104"/>
    <mergeCell ref="B119:B130"/>
    <mergeCell ref="B131:B134"/>
  </mergeCells>
  <phoneticPr fontId="2" type="noConversion"/>
  <pageMargins left="0.70866141732283472" right="0.70866141732283472" top="1.1417322834645669" bottom="0.39370078740157483" header="0.31496062992125984" footer="0.31496062992125984"/>
  <pageSetup paperSize="9" orientation="portrait" r:id="rId1"/>
  <headerFooter>
    <oddHeader>&amp;L&amp;P&amp;RKorea Fashion Index  2017상반기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F38C0-7F4F-43E5-AE3B-B7E5C84A15E3}">
  <sheetPr codeName="Sheet8"/>
  <dimension ref="B2:AY350"/>
  <sheetViews>
    <sheetView showGridLines="0" zoomScaleNormal="100" workbookViewId="0">
      <selection activeCell="B4" sqref="B4:N4"/>
    </sheetView>
  </sheetViews>
  <sheetFormatPr defaultColWidth="9" defaultRowHeight="16.5" x14ac:dyDescent="0.3"/>
  <cols>
    <col min="1" max="1" width="3.625" style="1" customWidth="1"/>
    <col min="2" max="2" width="14.375" style="1" customWidth="1"/>
    <col min="3" max="3" width="13.125" style="1" customWidth="1"/>
    <col min="4" max="16" width="12.25" style="1" customWidth="1"/>
    <col min="17" max="20" width="10.375" style="1" customWidth="1"/>
    <col min="21" max="16384" width="9" style="1"/>
  </cols>
  <sheetData>
    <row r="2" spans="2:9" ht="17.25" x14ac:dyDescent="0.3">
      <c r="B2" s="33" t="s">
        <v>263</v>
      </c>
    </row>
    <row r="4" spans="2:9" ht="14.25" customHeight="1" x14ac:dyDescent="0.3">
      <c r="B4" s="1" t="s">
        <v>524</v>
      </c>
    </row>
    <row r="5" spans="2:9" ht="7.5" customHeight="1" x14ac:dyDescent="0.3"/>
    <row r="6" spans="2:9" x14ac:dyDescent="0.3">
      <c r="B6" s="216"/>
      <c r="C6" s="217" t="s">
        <v>21</v>
      </c>
      <c r="D6" s="218" t="s">
        <v>133</v>
      </c>
      <c r="E6" s="219" t="s">
        <v>13</v>
      </c>
      <c r="F6" s="220" t="s">
        <v>20</v>
      </c>
    </row>
    <row r="7" spans="2:9" x14ac:dyDescent="0.3">
      <c r="B7" s="221"/>
      <c r="C7" s="222"/>
      <c r="D7" s="223" t="s">
        <v>134</v>
      </c>
      <c r="E7" s="224" t="s">
        <v>55</v>
      </c>
      <c r="F7" s="225" t="s">
        <v>525</v>
      </c>
    </row>
    <row r="8" spans="2:9" x14ac:dyDescent="0.3">
      <c r="B8" s="221"/>
      <c r="C8" s="215" t="s">
        <v>24</v>
      </c>
      <c r="D8" s="223" t="s">
        <v>25</v>
      </c>
      <c r="E8" s="224" t="s">
        <v>26</v>
      </c>
      <c r="F8" s="225" t="s">
        <v>517</v>
      </c>
    </row>
    <row r="9" spans="2:9" ht="24" customHeight="1" x14ac:dyDescent="0.3">
      <c r="B9" s="35" t="str">
        <f>RIGHT(B2,LEN(B2)-3)&amp;" 전체"</f>
        <v>여성복(정장) 전체</v>
      </c>
      <c r="C9" s="36"/>
      <c r="D9" s="37"/>
      <c r="E9" s="37"/>
      <c r="F9" s="190">
        <f>SUM(F10:F22)</f>
        <v>63910.064298487057</v>
      </c>
    </row>
    <row r="10" spans="2:9" x14ac:dyDescent="0.3">
      <c r="B10" s="34" t="s">
        <v>79</v>
      </c>
      <c r="C10" s="117">
        <v>26.665042427477825</v>
      </c>
      <c r="D10" s="101">
        <v>1.2103617559913373</v>
      </c>
      <c r="E10" s="97">
        <v>258569.38408133577</v>
      </c>
      <c r="F10" s="191">
        <v>13685.998609433636</v>
      </c>
      <c r="H10" s="46"/>
      <c r="I10" s="46"/>
    </row>
    <row r="11" spans="2:9" x14ac:dyDescent="0.3">
      <c r="B11" s="34" t="s">
        <v>279</v>
      </c>
      <c r="C11" s="118">
        <v>23.376808613581026</v>
      </c>
      <c r="D11" s="102">
        <v>1.1819739654530752</v>
      </c>
      <c r="E11" s="98">
        <v>199028.90380923939</v>
      </c>
      <c r="F11" s="191">
        <v>9235.4589840895023</v>
      </c>
      <c r="H11" s="46"/>
      <c r="I11" s="46"/>
    </row>
    <row r="12" spans="2:9" x14ac:dyDescent="0.3">
      <c r="B12" s="34" t="s">
        <v>63</v>
      </c>
      <c r="C12" s="117">
        <v>19.907364066019291</v>
      </c>
      <c r="D12" s="101">
        <v>1.2442002970364952</v>
      </c>
      <c r="E12" s="97">
        <v>191464.04598609032</v>
      </c>
      <c r="F12" s="191">
        <v>7565.8565473347389</v>
      </c>
      <c r="H12" s="52"/>
      <c r="I12" s="52"/>
    </row>
    <row r="13" spans="2:9" x14ac:dyDescent="0.3">
      <c r="B13" s="10" t="s">
        <v>64</v>
      </c>
      <c r="C13" s="117">
        <v>15.214959134964722</v>
      </c>
      <c r="D13" s="101">
        <v>1.2562293042166468</v>
      </c>
      <c r="E13" s="97">
        <v>207062.08902864199</v>
      </c>
      <c r="F13" s="191">
        <v>6253.5768761672407</v>
      </c>
      <c r="H13" s="46"/>
      <c r="I13" s="46"/>
    </row>
    <row r="14" spans="2:9" x14ac:dyDescent="0.3">
      <c r="B14" s="10" t="s">
        <v>16</v>
      </c>
      <c r="C14" s="117">
        <v>22.758479229019947</v>
      </c>
      <c r="D14" s="101">
        <v>1.1647765657937923</v>
      </c>
      <c r="E14" s="97">
        <v>163174.06652373329</v>
      </c>
      <c r="F14" s="191">
        <v>7371.4256016648278</v>
      </c>
      <c r="H14" s="52"/>
      <c r="I14" s="52"/>
    </row>
    <row r="15" spans="2:9" x14ac:dyDescent="0.3">
      <c r="B15" s="10" t="s">
        <v>14</v>
      </c>
      <c r="C15" s="117">
        <v>27.692270673778413</v>
      </c>
      <c r="D15" s="101">
        <v>1.5056845441188018</v>
      </c>
      <c r="E15" s="97">
        <v>88926.862515134359</v>
      </c>
      <c r="F15" s="191">
        <v>4888.196429098788</v>
      </c>
      <c r="H15" s="46"/>
      <c r="I15" s="46"/>
    </row>
    <row r="16" spans="2:9" x14ac:dyDescent="0.3">
      <c r="B16" s="10" t="s">
        <v>18</v>
      </c>
      <c r="C16" s="117">
        <v>12.142458594826431</v>
      </c>
      <c r="D16" s="101">
        <v>1.2765519937956187</v>
      </c>
      <c r="E16" s="97">
        <v>86809.730657953507</v>
      </c>
      <c r="F16" s="191">
        <v>2092.3394885738362</v>
      </c>
      <c r="H16" s="46"/>
      <c r="I16" s="46"/>
    </row>
    <row r="17" spans="2:16" x14ac:dyDescent="0.3">
      <c r="B17" s="10" t="s">
        <v>230</v>
      </c>
      <c r="C17" s="117">
        <v>5.5151459762304373</v>
      </c>
      <c r="D17" s="101">
        <v>1.3680539266838263</v>
      </c>
      <c r="E17" s="97">
        <v>77761.979647941815</v>
      </c>
      <c r="F17" s="191">
        <v>851.29764453638154</v>
      </c>
      <c r="H17" s="46"/>
      <c r="I17" s="46"/>
    </row>
    <row r="18" spans="2:16" x14ac:dyDescent="0.3">
      <c r="B18" s="10" t="s">
        <v>231</v>
      </c>
      <c r="C18" s="117">
        <v>18.723740188723507</v>
      </c>
      <c r="D18" s="101">
        <v>1.5586244416470474</v>
      </c>
      <c r="E18" s="97">
        <v>90763.801376163858</v>
      </c>
      <c r="F18" s="191">
        <v>3373.3576976861659</v>
      </c>
      <c r="H18" s="52"/>
      <c r="I18" s="52"/>
    </row>
    <row r="19" spans="2:16" x14ac:dyDescent="0.3">
      <c r="B19" s="10" t="s">
        <v>33</v>
      </c>
      <c r="C19" s="119">
        <v>13.382983592336956</v>
      </c>
      <c r="D19" s="101">
        <v>1.4225096423996864</v>
      </c>
      <c r="E19" s="97">
        <v>113240.23146339934</v>
      </c>
      <c r="F19" s="191">
        <v>3008.2283892822206</v>
      </c>
      <c r="H19" s="46"/>
      <c r="I19" s="46"/>
    </row>
    <row r="20" spans="2:16" x14ac:dyDescent="0.3">
      <c r="B20" s="9" t="s">
        <v>34</v>
      </c>
      <c r="C20" s="120">
        <v>10.713266927679616</v>
      </c>
      <c r="D20" s="103">
        <v>1.3457627574475466</v>
      </c>
      <c r="E20" s="99">
        <v>97542.083696199421</v>
      </c>
      <c r="F20" s="192">
        <v>2074.2976058679387</v>
      </c>
      <c r="H20" s="46"/>
    </row>
    <row r="21" spans="2:16" x14ac:dyDescent="0.3">
      <c r="B21" s="10" t="s">
        <v>19</v>
      </c>
      <c r="C21" s="118">
        <v>11.489787111630989</v>
      </c>
      <c r="D21" s="101">
        <v>1.2524312835206746</v>
      </c>
      <c r="E21" s="97">
        <v>150767.59683710075</v>
      </c>
      <c r="F21" s="191">
        <v>3438.5639519003362</v>
      </c>
      <c r="H21" s="46"/>
    </row>
    <row r="22" spans="2:16" x14ac:dyDescent="0.3">
      <c r="B22" s="111" t="s">
        <v>12</v>
      </c>
      <c r="C22" s="121">
        <v>0.46924701857331708</v>
      </c>
      <c r="D22" s="104">
        <v>1.5212851160450025</v>
      </c>
      <c r="E22" s="100">
        <v>76726.204497345534</v>
      </c>
      <c r="F22" s="193">
        <v>71.466472851432741</v>
      </c>
      <c r="H22" s="46"/>
    </row>
    <row r="23" spans="2:16" x14ac:dyDescent="0.3">
      <c r="B23" s="9"/>
      <c r="C23" s="9"/>
      <c r="D23" s="9"/>
      <c r="E23" s="9"/>
      <c r="F23" s="9"/>
      <c r="G23" s="9"/>
      <c r="H23" s="9"/>
    </row>
    <row r="24" spans="2:16" x14ac:dyDescent="0.3">
      <c r="B24" s="9"/>
      <c r="C24" s="9"/>
      <c r="D24" s="9"/>
      <c r="E24" s="9"/>
      <c r="F24" s="9"/>
      <c r="G24" s="9"/>
      <c r="H24" s="9"/>
    </row>
    <row r="25" spans="2:16" ht="18.75" customHeight="1" x14ac:dyDescent="0.3">
      <c r="B25" s="1" t="s">
        <v>132</v>
      </c>
    </row>
    <row r="26" spans="2:16" ht="13.5" customHeight="1" x14ac:dyDescent="0.3">
      <c r="M26" s="30"/>
      <c r="N26" s="30"/>
      <c r="P26" s="30" t="s">
        <v>157</v>
      </c>
    </row>
    <row r="27" spans="2:16" ht="28.5" customHeight="1" x14ac:dyDescent="0.3">
      <c r="B27" s="305"/>
      <c r="C27" s="306"/>
      <c r="D27" s="226" t="s">
        <v>35</v>
      </c>
      <c r="E27" s="226" t="s">
        <v>280</v>
      </c>
      <c r="F27" s="226" t="s">
        <v>83</v>
      </c>
      <c r="G27" s="226" t="s">
        <v>286</v>
      </c>
      <c r="H27" s="226" t="s">
        <v>16</v>
      </c>
      <c r="I27" s="226" t="s">
        <v>14</v>
      </c>
      <c r="J27" s="226" t="s">
        <v>18</v>
      </c>
      <c r="K27" s="226" t="s">
        <v>230</v>
      </c>
      <c r="L27" s="226" t="s">
        <v>231</v>
      </c>
      <c r="M27" s="227" t="s">
        <v>284</v>
      </c>
      <c r="N27" s="227" t="s">
        <v>285</v>
      </c>
      <c r="O27" s="227" t="s">
        <v>19</v>
      </c>
      <c r="P27" s="227" t="s">
        <v>12</v>
      </c>
    </row>
    <row r="28" spans="2:16" x14ac:dyDescent="0.3">
      <c r="B28" s="292" t="s">
        <v>20</v>
      </c>
      <c r="C28" s="292"/>
      <c r="D28" s="46">
        <v>26.665042427477825</v>
      </c>
      <c r="E28" s="46">
        <v>23.376808613581026</v>
      </c>
      <c r="F28" s="52">
        <v>19.907364066019291</v>
      </c>
      <c r="G28" s="46">
        <v>15.214959134964722</v>
      </c>
      <c r="H28" s="52">
        <v>22.758479229019947</v>
      </c>
      <c r="I28" s="46">
        <v>27.692270673778413</v>
      </c>
      <c r="J28" s="46">
        <v>12.142458594826431</v>
      </c>
      <c r="K28" s="46">
        <v>5.5151459762304373</v>
      </c>
      <c r="L28" s="52">
        <v>18.723740188723507</v>
      </c>
      <c r="M28" s="46">
        <v>13.382983592336956</v>
      </c>
      <c r="N28" s="46">
        <v>10.713266927679616</v>
      </c>
      <c r="O28" s="46">
        <v>11.489787111630989</v>
      </c>
      <c r="P28" s="46">
        <v>0.46924701857331708</v>
      </c>
    </row>
    <row r="29" spans="2:16" x14ac:dyDescent="0.3">
      <c r="B29" s="296" t="s">
        <v>5</v>
      </c>
      <c r="C29" s="13" t="s">
        <v>0</v>
      </c>
      <c r="D29" s="47">
        <v>16.905758256606276</v>
      </c>
      <c r="E29" s="47">
        <v>22.479253893530547</v>
      </c>
      <c r="F29" s="53">
        <v>24.871864503335882</v>
      </c>
      <c r="G29" s="47">
        <v>23.561908861513746</v>
      </c>
      <c r="H29" s="53">
        <v>11.936089328243439</v>
      </c>
      <c r="I29" s="47">
        <v>19.211561057228863</v>
      </c>
      <c r="J29" s="47">
        <v>8.879585056738172</v>
      </c>
      <c r="K29" s="47">
        <v>3.7019323490094376</v>
      </c>
      <c r="L29" s="53">
        <v>10.293821638967511</v>
      </c>
      <c r="M29" s="47">
        <v>6.5851005588217841</v>
      </c>
      <c r="N29" s="47">
        <v>5.7424536340010199</v>
      </c>
      <c r="O29" s="47">
        <v>6.2648471820494285</v>
      </c>
      <c r="P29" s="47">
        <v>0.46080185672963114</v>
      </c>
    </row>
    <row r="30" spans="2:16" x14ac:dyDescent="0.3">
      <c r="B30" s="295"/>
      <c r="C30" s="12" t="s">
        <v>1</v>
      </c>
      <c r="D30" s="48">
        <v>28.305803836104491</v>
      </c>
      <c r="E30" s="48">
        <v>23.5277083231299</v>
      </c>
      <c r="F30" s="48">
        <v>19.072716709917955</v>
      </c>
      <c r="G30" s="48">
        <v>13.81164381477504</v>
      </c>
      <c r="H30" s="48">
        <v>24.577973301270045</v>
      </c>
      <c r="I30" s="48">
        <v>29.118074125442895</v>
      </c>
      <c r="J30" s="48">
        <v>12.691023109271352</v>
      </c>
      <c r="K30" s="48">
        <v>5.8199891279463953</v>
      </c>
      <c r="L30" s="48">
        <v>20.141004487224858</v>
      </c>
      <c r="M30" s="48">
        <v>14.525864970362598</v>
      </c>
      <c r="N30" s="48">
        <v>11.548975620956426</v>
      </c>
      <c r="O30" s="48">
        <v>12.368220370541225</v>
      </c>
      <c r="P30" s="48">
        <v>0.47066684562211614</v>
      </c>
    </row>
    <row r="31" spans="2:16" x14ac:dyDescent="0.3">
      <c r="B31" s="296" t="s">
        <v>4</v>
      </c>
      <c r="C31" s="9" t="s">
        <v>175</v>
      </c>
      <c r="D31" s="46">
        <v>16.249564536037543</v>
      </c>
      <c r="E31" s="46">
        <v>17.356172166714774</v>
      </c>
      <c r="F31" s="52">
        <v>8.3196909132655126</v>
      </c>
      <c r="G31" s="46">
        <v>10.689735619874103</v>
      </c>
      <c r="H31" s="52">
        <v>18.943594000683088</v>
      </c>
      <c r="I31" s="46">
        <v>44.271976003394855</v>
      </c>
      <c r="J31" s="46">
        <v>25.674068502459725</v>
      </c>
      <c r="K31" s="46">
        <v>6.9558507266470144</v>
      </c>
      <c r="L31" s="52">
        <v>28.967461848804422</v>
      </c>
      <c r="M31" s="46">
        <v>29.266174566854758</v>
      </c>
      <c r="N31" s="46">
        <v>18.145722359513812</v>
      </c>
      <c r="O31" s="46">
        <v>6.6030210014696227</v>
      </c>
      <c r="P31" s="46">
        <v>1.8227336462543247</v>
      </c>
    </row>
    <row r="32" spans="2:16" x14ac:dyDescent="0.3">
      <c r="B32" s="292"/>
      <c r="C32" s="9" t="s">
        <v>176</v>
      </c>
      <c r="D32" s="46">
        <v>35.823986972196316</v>
      </c>
      <c r="E32" s="46">
        <v>26.453999890210273</v>
      </c>
      <c r="F32" s="52">
        <v>18.787345544181953</v>
      </c>
      <c r="G32" s="46">
        <v>19.684708920553305</v>
      </c>
      <c r="H32" s="52">
        <v>25.940228050405729</v>
      </c>
      <c r="I32" s="46">
        <v>26.346738365850541</v>
      </c>
      <c r="J32" s="46">
        <v>14.937276732360836</v>
      </c>
      <c r="K32" s="46">
        <v>7.8956476852682718</v>
      </c>
      <c r="L32" s="52">
        <v>18.170060453960396</v>
      </c>
      <c r="M32" s="46">
        <v>16.128053413442096</v>
      </c>
      <c r="N32" s="46">
        <v>13.10152235208345</v>
      </c>
      <c r="O32" s="46">
        <v>10.12239986889788</v>
      </c>
      <c r="P32" s="46">
        <v>0.34422314140076032</v>
      </c>
    </row>
    <row r="33" spans="2:16" x14ac:dyDescent="0.3">
      <c r="B33" s="292"/>
      <c r="C33" s="9" t="s">
        <v>177</v>
      </c>
      <c r="D33" s="46">
        <v>25.032197321502935</v>
      </c>
      <c r="E33" s="46">
        <v>23.961967049701791</v>
      </c>
      <c r="F33" s="52">
        <v>16.4880115598333</v>
      </c>
      <c r="G33" s="46">
        <v>10.506721455704403</v>
      </c>
      <c r="H33" s="52">
        <v>25.623237511291929</v>
      </c>
      <c r="I33" s="46">
        <v>27.106105384678152</v>
      </c>
      <c r="J33" s="46">
        <v>11.562043512072611</v>
      </c>
      <c r="K33" s="46">
        <v>3.2598880936036911</v>
      </c>
      <c r="L33" s="52">
        <v>20.571721253973973</v>
      </c>
      <c r="M33" s="46">
        <v>12.475101536842619</v>
      </c>
      <c r="N33" s="46">
        <v>10.463369995134361</v>
      </c>
      <c r="O33" s="46">
        <v>12.793874137648567</v>
      </c>
      <c r="P33" s="46">
        <v>0.40244883292140549</v>
      </c>
    </row>
    <row r="34" spans="2:16" x14ac:dyDescent="0.3">
      <c r="B34" s="292"/>
      <c r="C34" s="9" t="s">
        <v>178</v>
      </c>
      <c r="D34" s="46">
        <v>24.038199389330376</v>
      </c>
      <c r="E34" s="46">
        <v>21.354175825244752</v>
      </c>
      <c r="F34" s="52">
        <v>22.873375526498965</v>
      </c>
      <c r="G34" s="46">
        <v>15.377335961259545</v>
      </c>
      <c r="H34" s="52">
        <v>25.600643825753195</v>
      </c>
      <c r="I34" s="46">
        <v>29.713186793745738</v>
      </c>
      <c r="J34" s="46">
        <v>16.704553100226452</v>
      </c>
      <c r="K34" s="46">
        <v>7.2250899050865653</v>
      </c>
      <c r="L34" s="52">
        <v>21.590909377447005</v>
      </c>
      <c r="M34" s="46">
        <v>15.791720982575704</v>
      </c>
      <c r="N34" s="46">
        <v>13.14560849063105</v>
      </c>
      <c r="O34" s="46">
        <v>11.198578441536563</v>
      </c>
      <c r="P34" s="46">
        <v>0.20877979523057055</v>
      </c>
    </row>
    <row r="35" spans="2:16" x14ac:dyDescent="0.3">
      <c r="B35" s="292"/>
      <c r="C35" s="9" t="s">
        <v>179</v>
      </c>
      <c r="D35" s="46">
        <v>21.782990623095657</v>
      </c>
      <c r="E35" s="46">
        <v>21.859721895875257</v>
      </c>
      <c r="F35" s="52">
        <v>22.348779387395311</v>
      </c>
      <c r="G35" s="46">
        <v>14.719595011281433</v>
      </c>
      <c r="H35" s="52">
        <v>20.691788271305267</v>
      </c>
      <c r="I35" s="46">
        <v>25.957459876757987</v>
      </c>
      <c r="J35" s="46">
        <v>8.8321540511066008</v>
      </c>
      <c r="K35" s="46">
        <v>5.1569147982086223</v>
      </c>
      <c r="L35" s="52">
        <v>17.118231034768606</v>
      </c>
      <c r="M35" s="46">
        <v>9.5616484233556989</v>
      </c>
      <c r="N35" s="46">
        <v>9.1054228823912364</v>
      </c>
      <c r="O35" s="46">
        <v>12.051338014812588</v>
      </c>
      <c r="P35" s="46">
        <v>0.3892689502365661</v>
      </c>
    </row>
    <row r="36" spans="2:16" x14ac:dyDescent="0.3">
      <c r="B36" s="298"/>
      <c r="C36" s="12" t="s">
        <v>180</v>
      </c>
      <c r="D36" s="48">
        <v>29.601714870028438</v>
      </c>
      <c r="E36" s="48">
        <v>24.96077262729958</v>
      </c>
      <c r="F36" s="54">
        <v>20.041844458433371</v>
      </c>
      <c r="G36" s="48">
        <v>16.030820843998114</v>
      </c>
      <c r="H36" s="54">
        <v>17.893413116741044</v>
      </c>
      <c r="I36" s="48">
        <v>26.169042638856439</v>
      </c>
      <c r="J36" s="48">
        <v>6.6954131395265559</v>
      </c>
      <c r="K36" s="48">
        <v>3.5436267272080229</v>
      </c>
      <c r="L36" s="54">
        <v>14.835195480727911</v>
      </c>
      <c r="M36" s="48">
        <v>10.484389091941988</v>
      </c>
      <c r="N36" s="48">
        <v>6.7530727146294769</v>
      </c>
      <c r="O36" s="48">
        <v>12.292263833623331</v>
      </c>
      <c r="P36" s="48">
        <v>0.72672558988684266</v>
      </c>
    </row>
    <row r="37" spans="2:16" x14ac:dyDescent="0.3">
      <c r="B37" s="292" t="s">
        <v>223</v>
      </c>
      <c r="C37" s="9" t="s">
        <v>210</v>
      </c>
      <c r="D37" s="46">
        <v>43.470510540963595</v>
      </c>
      <c r="E37" s="46">
        <v>34.897963110305781</v>
      </c>
      <c r="F37" s="52">
        <v>0</v>
      </c>
      <c r="G37" s="46">
        <v>0</v>
      </c>
      <c r="H37" s="52">
        <v>0</v>
      </c>
      <c r="I37" s="46">
        <v>21.631526348730638</v>
      </c>
      <c r="J37" s="46">
        <v>0</v>
      </c>
      <c r="K37" s="46">
        <v>21.631526348730638</v>
      </c>
      <c r="L37" s="52">
        <v>0</v>
      </c>
      <c r="M37" s="46">
        <v>0</v>
      </c>
      <c r="N37" s="46">
        <v>0</v>
      </c>
      <c r="O37" s="46">
        <v>0</v>
      </c>
      <c r="P37" s="46">
        <v>0</v>
      </c>
    </row>
    <row r="38" spans="2:16" x14ac:dyDescent="0.3">
      <c r="B38" s="292"/>
      <c r="C38" s="9" t="s">
        <v>211</v>
      </c>
      <c r="D38" s="46">
        <v>18.253323367420847</v>
      </c>
      <c r="E38" s="46">
        <v>34.295729081212137</v>
      </c>
      <c r="F38" s="52">
        <v>25.531467648612725</v>
      </c>
      <c r="G38" s="46">
        <v>22.903086183557591</v>
      </c>
      <c r="H38" s="52">
        <v>18.508427597233538</v>
      </c>
      <c r="I38" s="46">
        <v>19.156719073626189</v>
      </c>
      <c r="J38" s="46">
        <v>0</v>
      </c>
      <c r="K38" s="46">
        <v>12.209741274336338</v>
      </c>
      <c r="L38" s="52">
        <v>6.562585710794008</v>
      </c>
      <c r="M38" s="46">
        <v>12.49856781856629</v>
      </c>
      <c r="N38" s="46">
        <v>3.5359070699136179</v>
      </c>
      <c r="O38" s="46">
        <v>2.4600227606367606</v>
      </c>
      <c r="P38" s="46">
        <v>0</v>
      </c>
    </row>
    <row r="39" spans="2:16" x14ac:dyDescent="0.3">
      <c r="B39" s="292"/>
      <c r="C39" s="9" t="s">
        <v>212</v>
      </c>
      <c r="D39" s="46">
        <v>26.011414512490362</v>
      </c>
      <c r="E39" s="46">
        <v>33.937685169418273</v>
      </c>
      <c r="F39" s="52">
        <v>13.318876569215826</v>
      </c>
      <c r="G39" s="46">
        <v>20.973521773567576</v>
      </c>
      <c r="H39" s="52">
        <v>16.148811963203709</v>
      </c>
      <c r="I39" s="46">
        <v>21.994955917488348</v>
      </c>
      <c r="J39" s="46">
        <v>12.028044783924722</v>
      </c>
      <c r="K39" s="46">
        <v>3.2596383026473683</v>
      </c>
      <c r="L39" s="52">
        <v>13.183750791851223</v>
      </c>
      <c r="M39" s="46">
        <v>4.3335786751928715</v>
      </c>
      <c r="N39" s="46">
        <v>13.121468651980836</v>
      </c>
      <c r="O39" s="46">
        <v>0</v>
      </c>
      <c r="P39" s="46">
        <v>0</v>
      </c>
    </row>
    <row r="40" spans="2:16" x14ac:dyDescent="0.3">
      <c r="B40" s="292"/>
      <c r="C40" s="9" t="s">
        <v>213</v>
      </c>
      <c r="D40" s="46">
        <v>17.072672097162236</v>
      </c>
      <c r="E40" s="46">
        <v>13.117866253496954</v>
      </c>
      <c r="F40" s="52">
        <v>28.556573240019549</v>
      </c>
      <c r="G40" s="46">
        <v>39.143105159348593</v>
      </c>
      <c r="H40" s="52">
        <v>16.61887226829781</v>
      </c>
      <c r="I40" s="46">
        <v>15.846917287574083</v>
      </c>
      <c r="J40" s="46">
        <v>23.347859111164929</v>
      </c>
      <c r="K40" s="46">
        <v>0</v>
      </c>
      <c r="L40" s="52">
        <v>12.358193034641765</v>
      </c>
      <c r="M40" s="46">
        <v>4.1597344112756414</v>
      </c>
      <c r="N40" s="46">
        <v>4.6266308252754333</v>
      </c>
      <c r="O40" s="46">
        <v>8.2254907376097339</v>
      </c>
      <c r="P40" s="46">
        <v>0</v>
      </c>
    </row>
    <row r="41" spans="2:16" x14ac:dyDescent="0.3">
      <c r="B41" s="292"/>
      <c r="C41" s="9" t="s">
        <v>214</v>
      </c>
      <c r="D41" s="46">
        <v>13.998862717255218</v>
      </c>
      <c r="E41" s="46">
        <v>23.69211967938945</v>
      </c>
      <c r="F41" s="52">
        <v>24.97950781364683</v>
      </c>
      <c r="G41" s="46">
        <v>19.043541151584336</v>
      </c>
      <c r="H41" s="52">
        <v>10.57568086119978</v>
      </c>
      <c r="I41" s="46">
        <v>19.79950352494247</v>
      </c>
      <c r="J41" s="46">
        <v>4.6115516540979753</v>
      </c>
      <c r="K41" s="46">
        <v>3.3930751108802353</v>
      </c>
      <c r="L41" s="52">
        <v>12.615306807079405</v>
      </c>
      <c r="M41" s="46">
        <v>6.7319094186722568</v>
      </c>
      <c r="N41" s="46">
        <v>7.4843599916296046</v>
      </c>
      <c r="O41" s="46">
        <v>7.6511774880311485</v>
      </c>
      <c r="P41" s="46">
        <v>0</v>
      </c>
    </row>
    <row r="42" spans="2:16" x14ac:dyDescent="0.3">
      <c r="B42" s="292"/>
      <c r="C42" s="12" t="s">
        <v>215</v>
      </c>
      <c r="D42" s="48">
        <v>14.664682585203298</v>
      </c>
      <c r="E42" s="48">
        <v>14.664002218362402</v>
      </c>
      <c r="F42" s="54">
        <v>28.328973983382667</v>
      </c>
      <c r="G42" s="48">
        <v>20.735979022633433</v>
      </c>
      <c r="H42" s="54">
        <v>4.6375357961935411</v>
      </c>
      <c r="I42" s="48">
        <v>19.615223552143934</v>
      </c>
      <c r="J42" s="48">
        <v>8.0084104923348782</v>
      </c>
      <c r="K42" s="48">
        <v>1.2986734806868443</v>
      </c>
      <c r="L42" s="54">
        <v>6.1442226128606707</v>
      </c>
      <c r="M42" s="48">
        <v>6.2305569687936737</v>
      </c>
      <c r="N42" s="48">
        <v>1.8062239042125166</v>
      </c>
      <c r="O42" s="48">
        <v>8.1693425501335248</v>
      </c>
      <c r="P42" s="48">
        <v>2.1590105439142184</v>
      </c>
    </row>
    <row r="43" spans="2:16" x14ac:dyDescent="0.3">
      <c r="B43" s="292"/>
      <c r="C43" s="9" t="s">
        <v>216</v>
      </c>
      <c r="D43" s="46">
        <v>14.948220510791138</v>
      </c>
      <c r="E43" s="46">
        <v>16.517556755169828</v>
      </c>
      <c r="F43" s="52">
        <v>8.7174280110105951</v>
      </c>
      <c r="G43" s="46">
        <v>11.200776770974047</v>
      </c>
      <c r="H43" s="52">
        <v>19.84922501236877</v>
      </c>
      <c r="I43" s="46">
        <v>45.354341542111158</v>
      </c>
      <c r="J43" s="46">
        <v>26.901461394808013</v>
      </c>
      <c r="K43" s="46">
        <v>6.2542548752832623</v>
      </c>
      <c r="L43" s="52">
        <v>30.352301060368671</v>
      </c>
      <c r="M43" s="46">
        <v>30.665294252390396</v>
      </c>
      <c r="N43" s="46">
        <v>19.013209748528876</v>
      </c>
      <c r="O43" s="46">
        <v>6.918689748885086</v>
      </c>
      <c r="P43" s="46">
        <v>1.9098725553774465</v>
      </c>
    </row>
    <row r="44" spans="2:16" x14ac:dyDescent="0.3">
      <c r="B44" s="292"/>
      <c r="C44" s="9" t="s">
        <v>217</v>
      </c>
      <c r="D44" s="46">
        <v>37.89956109514759</v>
      </c>
      <c r="E44" s="46">
        <v>25.527678007659866</v>
      </c>
      <c r="F44" s="52">
        <v>17.990680965265536</v>
      </c>
      <c r="G44" s="46">
        <v>19.304530874052475</v>
      </c>
      <c r="H44" s="52">
        <v>26.818126179611802</v>
      </c>
      <c r="I44" s="46">
        <v>27.196075552091209</v>
      </c>
      <c r="J44" s="46">
        <v>16.701776113284858</v>
      </c>
      <c r="K44" s="46">
        <v>7.3860356854672977</v>
      </c>
      <c r="L44" s="52">
        <v>19.541219492209741</v>
      </c>
      <c r="M44" s="46">
        <v>16.556794555484178</v>
      </c>
      <c r="N44" s="46">
        <v>14.231482153054371</v>
      </c>
      <c r="O44" s="46">
        <v>11.027535383636131</v>
      </c>
      <c r="P44" s="46">
        <v>0.38488527351387186</v>
      </c>
    </row>
    <row r="45" spans="2:16" x14ac:dyDescent="0.3">
      <c r="B45" s="292"/>
      <c r="C45" s="9" t="s">
        <v>218</v>
      </c>
      <c r="D45" s="46">
        <v>24.923622080946441</v>
      </c>
      <c r="E45" s="46">
        <v>22.855863108164638</v>
      </c>
      <c r="F45" s="52">
        <v>16.839404077376201</v>
      </c>
      <c r="G45" s="46">
        <v>9.3461665013709538</v>
      </c>
      <c r="H45" s="52">
        <v>26.673758317591421</v>
      </c>
      <c r="I45" s="46">
        <v>27.672827750286171</v>
      </c>
      <c r="J45" s="46">
        <v>11.51037346312264</v>
      </c>
      <c r="K45" s="46">
        <v>3.2599157903326939</v>
      </c>
      <c r="L45" s="52">
        <v>21.390896690774166</v>
      </c>
      <c r="M45" s="46">
        <v>13.377830585449878</v>
      </c>
      <c r="N45" s="46">
        <v>10.168640997577642</v>
      </c>
      <c r="O45" s="46">
        <v>14.212454177837779</v>
      </c>
      <c r="P45" s="46">
        <v>0.4470722109097619</v>
      </c>
    </row>
    <row r="46" spans="2:16" x14ac:dyDescent="0.3">
      <c r="B46" s="292"/>
      <c r="C46" s="9" t="s">
        <v>219</v>
      </c>
      <c r="D46" s="46">
        <v>25.081420425275041</v>
      </c>
      <c r="E46" s="46">
        <v>22.587720831013456</v>
      </c>
      <c r="F46" s="52">
        <v>22.022207889435343</v>
      </c>
      <c r="G46" s="46">
        <v>11.817957134228308</v>
      </c>
      <c r="H46" s="52">
        <v>26.945836032425358</v>
      </c>
      <c r="I46" s="46">
        <v>31.789926060158624</v>
      </c>
      <c r="J46" s="46">
        <v>15.709590868634777</v>
      </c>
      <c r="K46" s="46">
        <v>8.3071854104838962</v>
      </c>
      <c r="L46" s="52">
        <v>22.973685368943602</v>
      </c>
      <c r="M46" s="46">
        <v>17.533833614113284</v>
      </c>
      <c r="N46" s="46">
        <v>14.421488453837009</v>
      </c>
      <c r="O46" s="46">
        <v>11.643855231698918</v>
      </c>
      <c r="P46" s="46">
        <v>0.2400485657240318</v>
      </c>
    </row>
    <row r="47" spans="2:16" x14ac:dyDescent="0.3">
      <c r="B47" s="292"/>
      <c r="C47" s="9" t="s">
        <v>220</v>
      </c>
      <c r="D47" s="46">
        <v>24.088006266087341</v>
      </c>
      <c r="E47" s="46">
        <v>21.317117045816879</v>
      </c>
      <c r="F47" s="52">
        <v>21.569774950633263</v>
      </c>
      <c r="G47" s="46">
        <v>13.439199363443489</v>
      </c>
      <c r="H47" s="52">
        <v>23.687343599858117</v>
      </c>
      <c r="I47" s="46">
        <v>27.780937842625551</v>
      </c>
      <c r="J47" s="46">
        <v>10.081947819353108</v>
      </c>
      <c r="K47" s="46">
        <v>5.6792184037250486</v>
      </c>
      <c r="L47" s="52">
        <v>18.451625206804533</v>
      </c>
      <c r="M47" s="46">
        <v>10.39958335328987</v>
      </c>
      <c r="N47" s="46">
        <v>9.5854477954807606</v>
      </c>
      <c r="O47" s="46">
        <v>13.354302067894993</v>
      </c>
      <c r="P47" s="46">
        <v>0.50453825599309399</v>
      </c>
    </row>
    <row r="48" spans="2:16" x14ac:dyDescent="0.3">
      <c r="B48" s="295"/>
      <c r="C48" s="9" t="s">
        <v>221</v>
      </c>
      <c r="D48" s="48">
        <v>32.257968314682081</v>
      </c>
      <c r="E48" s="48">
        <v>26.791847993946099</v>
      </c>
      <c r="F48" s="54">
        <v>18.568143663845035</v>
      </c>
      <c r="G48" s="48">
        <v>15.194102252157215</v>
      </c>
      <c r="H48" s="54">
        <v>20.250706662285729</v>
      </c>
      <c r="I48" s="48">
        <v>27.334508722932764</v>
      </c>
      <c r="J48" s="48">
        <v>6.4619227329508409</v>
      </c>
      <c r="K48" s="48">
        <v>3.9428469123458996</v>
      </c>
      <c r="L48" s="54">
        <v>16.380711763846413</v>
      </c>
      <c r="M48" s="48">
        <v>11.24084834131847</v>
      </c>
      <c r="N48" s="48">
        <v>7.6327711675946182</v>
      </c>
      <c r="O48" s="48">
        <v>13.025443199676623</v>
      </c>
      <c r="P48" s="48">
        <v>0.4720222612526811</v>
      </c>
    </row>
    <row r="49" spans="2:16" ht="16.5" customHeight="1" x14ac:dyDescent="0.3">
      <c r="B49" s="291" t="s">
        <v>222</v>
      </c>
      <c r="C49" s="13" t="s">
        <v>226</v>
      </c>
      <c r="D49" s="47">
        <v>27.41624016669169</v>
      </c>
      <c r="E49" s="47">
        <v>24.65418626916555</v>
      </c>
      <c r="F49" s="47">
        <v>17.916844077927188</v>
      </c>
      <c r="G49" s="47">
        <v>14.887813936544008</v>
      </c>
      <c r="H49" s="47">
        <v>21.470246120831266</v>
      </c>
      <c r="I49" s="47">
        <v>27.845766230845996</v>
      </c>
      <c r="J49" s="47">
        <v>12.576338634323037</v>
      </c>
      <c r="K49" s="47">
        <v>5.7492474761260928</v>
      </c>
      <c r="L49" s="47">
        <v>14.471289287931208</v>
      </c>
      <c r="M49" s="47">
        <v>10.630436177061334</v>
      </c>
      <c r="N49" s="47">
        <v>9.5455917153618195</v>
      </c>
      <c r="O49" s="47">
        <v>11.298308211496893</v>
      </c>
      <c r="P49" s="47">
        <v>0.32602708570217298</v>
      </c>
    </row>
    <row r="50" spans="2:16" x14ac:dyDescent="0.3">
      <c r="B50" s="294"/>
      <c r="C50" s="9" t="s">
        <v>227</v>
      </c>
      <c r="D50" s="46">
        <v>25.679977722533248</v>
      </c>
      <c r="E50" s="46">
        <v>25.355431154015772</v>
      </c>
      <c r="F50" s="46">
        <v>16.48527633028295</v>
      </c>
      <c r="G50" s="46">
        <v>12.326554241911113</v>
      </c>
      <c r="H50" s="46">
        <v>21.019328247892638</v>
      </c>
      <c r="I50" s="46">
        <v>26.746100227291208</v>
      </c>
      <c r="J50" s="46">
        <v>8.9699266133046098</v>
      </c>
      <c r="K50" s="46">
        <v>6.7551614798580006</v>
      </c>
      <c r="L50" s="46">
        <v>17.660832857577894</v>
      </c>
      <c r="M50" s="46">
        <v>12.772750676357777</v>
      </c>
      <c r="N50" s="46">
        <v>9.5419061516390187</v>
      </c>
      <c r="O50" s="46">
        <v>8.8766472186302874</v>
      </c>
      <c r="P50" s="46">
        <v>0.93266979179694731</v>
      </c>
    </row>
    <row r="51" spans="2:16" x14ac:dyDescent="0.3">
      <c r="B51" s="292"/>
      <c r="C51" s="9" t="s">
        <v>228</v>
      </c>
      <c r="D51" s="46">
        <v>22.5895526893732</v>
      </c>
      <c r="E51" s="46">
        <v>18.396029207187787</v>
      </c>
      <c r="F51" s="46">
        <v>25.155382955310738</v>
      </c>
      <c r="G51" s="46">
        <v>15.221827956781867</v>
      </c>
      <c r="H51" s="46">
        <v>23.463830999895873</v>
      </c>
      <c r="I51" s="46">
        <v>27.904934227384569</v>
      </c>
      <c r="J51" s="46">
        <v>13.52203141977269</v>
      </c>
      <c r="K51" s="46">
        <v>4.8048646799344779</v>
      </c>
      <c r="L51" s="46">
        <v>19.328740687123148</v>
      </c>
      <c r="M51" s="46">
        <v>11.004248844198603</v>
      </c>
      <c r="N51" s="46">
        <v>11.353525517124821</v>
      </c>
      <c r="O51" s="46">
        <v>12.78391790952147</v>
      </c>
      <c r="P51" s="46">
        <v>0.31988007845478428</v>
      </c>
    </row>
    <row r="52" spans="2:16" x14ac:dyDescent="0.3">
      <c r="B52" s="295"/>
      <c r="C52" s="12" t="s">
        <v>229</v>
      </c>
      <c r="D52" s="48">
        <v>29.856588441316354</v>
      </c>
      <c r="E52" s="48">
        <v>23.736374520760233</v>
      </c>
      <c r="F52" s="48">
        <v>21.50100511038648</v>
      </c>
      <c r="G52" s="48">
        <v>18.424717483881324</v>
      </c>
      <c r="H52" s="48">
        <v>25.256184199581099</v>
      </c>
      <c r="I52" s="48">
        <v>28.335917048550684</v>
      </c>
      <c r="J52" s="48">
        <v>13.898771745655287</v>
      </c>
      <c r="K52" s="48">
        <v>4.5558661892748038</v>
      </c>
      <c r="L52" s="48">
        <v>23.526411132290768</v>
      </c>
      <c r="M52" s="48">
        <v>18.413733577500999</v>
      </c>
      <c r="N52" s="48">
        <v>12.570808951879437</v>
      </c>
      <c r="O52" s="48">
        <v>13.361306736759774</v>
      </c>
      <c r="P52" s="48">
        <v>0.25342710262510287</v>
      </c>
    </row>
    <row r="53" spans="2:16" x14ac:dyDescent="0.3">
      <c r="B53" s="296" t="s">
        <v>199</v>
      </c>
      <c r="C53" s="13" t="s">
        <v>192</v>
      </c>
      <c r="D53" s="47">
        <v>30.008136057103567</v>
      </c>
      <c r="E53" s="47">
        <v>22.659835089865478</v>
      </c>
      <c r="F53" s="47">
        <v>18.212664333858346</v>
      </c>
      <c r="G53" s="47">
        <v>14.534840503971852</v>
      </c>
      <c r="H53" s="47">
        <v>25.071286977639744</v>
      </c>
      <c r="I53" s="47">
        <v>27.817842087834986</v>
      </c>
      <c r="J53" s="47">
        <v>14.967457474528278</v>
      </c>
      <c r="K53" s="47">
        <v>5.4557302099087215</v>
      </c>
      <c r="L53" s="47">
        <v>19.364764861137342</v>
      </c>
      <c r="M53" s="47">
        <v>14.703196909740452</v>
      </c>
      <c r="N53" s="47">
        <v>11.88844363998869</v>
      </c>
      <c r="O53" s="47">
        <v>9.9689397700939022</v>
      </c>
      <c r="P53" s="47">
        <v>0.48761245900261824</v>
      </c>
    </row>
    <row r="54" spans="2:16" ht="16.5" customHeight="1" x14ac:dyDescent="0.3">
      <c r="B54" s="292"/>
      <c r="C54" s="9" t="s">
        <v>200</v>
      </c>
      <c r="D54" s="46">
        <v>20.142608870303686</v>
      </c>
      <c r="E54" s="46">
        <v>27.301973539025571</v>
      </c>
      <c r="F54" s="46">
        <v>12.229987773444812</v>
      </c>
      <c r="G54" s="46">
        <v>21.268145785216273</v>
      </c>
      <c r="H54" s="46">
        <v>26.925866714547393</v>
      </c>
      <c r="I54" s="46">
        <v>26.90504850352427</v>
      </c>
      <c r="J54" s="46">
        <v>9.0581315627918748</v>
      </c>
      <c r="K54" s="46">
        <v>3.401147723302528</v>
      </c>
      <c r="L54" s="46">
        <v>18.908683409114371</v>
      </c>
      <c r="M54" s="46">
        <v>10.051124063971189</v>
      </c>
      <c r="N54" s="46">
        <v>10.671840532030499</v>
      </c>
      <c r="O54" s="46">
        <v>5.788995005276278</v>
      </c>
      <c r="P54" s="46">
        <v>1.6208501751824651</v>
      </c>
    </row>
    <row r="55" spans="2:16" x14ac:dyDescent="0.3">
      <c r="B55" s="292"/>
      <c r="C55" s="9" t="s">
        <v>201</v>
      </c>
      <c r="D55" s="46">
        <v>19.168472884505437</v>
      </c>
      <c r="E55" s="46">
        <v>26.526066036904094</v>
      </c>
      <c r="F55" s="46">
        <v>12.269744808824596</v>
      </c>
      <c r="G55" s="46">
        <v>15.755924152079764</v>
      </c>
      <c r="H55" s="46">
        <v>17.751870158010128</v>
      </c>
      <c r="I55" s="46">
        <v>30.097050616905335</v>
      </c>
      <c r="J55" s="46">
        <v>9.3028257628868811</v>
      </c>
      <c r="K55" s="46">
        <v>1.9930087726354615</v>
      </c>
      <c r="L55" s="46">
        <v>14.719160087353881</v>
      </c>
      <c r="M55" s="46">
        <v>15.477660233433818</v>
      </c>
      <c r="N55" s="46">
        <v>10.374534985659164</v>
      </c>
      <c r="O55" s="46">
        <v>10.217341988998554</v>
      </c>
      <c r="P55" s="46">
        <v>0.77929246168664756</v>
      </c>
    </row>
    <row r="56" spans="2:16" x14ac:dyDescent="0.3">
      <c r="B56" s="292"/>
      <c r="C56" s="9" t="s">
        <v>202</v>
      </c>
      <c r="D56" s="46">
        <v>18.050005715925195</v>
      </c>
      <c r="E56" s="46">
        <v>17.515643420750148</v>
      </c>
      <c r="F56" s="46">
        <v>24.711052018180052</v>
      </c>
      <c r="G56" s="46">
        <v>12.777181117119904</v>
      </c>
      <c r="H56" s="46">
        <v>18.986132430384998</v>
      </c>
      <c r="I56" s="46">
        <v>27.529034460306796</v>
      </c>
      <c r="J56" s="46">
        <v>7.7517727617762171</v>
      </c>
      <c r="K56" s="46">
        <v>4.2481621987124596</v>
      </c>
      <c r="L56" s="46">
        <v>19.217755736576049</v>
      </c>
      <c r="M56" s="46">
        <v>9.7377353132805577</v>
      </c>
      <c r="N56" s="46">
        <v>5.7767252589111751</v>
      </c>
      <c r="O56" s="46">
        <v>18.129273156545448</v>
      </c>
      <c r="P56" s="46">
        <v>0.78728947498637247</v>
      </c>
    </row>
    <row r="57" spans="2:16" x14ac:dyDescent="0.3">
      <c r="B57" s="295"/>
      <c r="C57" s="12" t="s">
        <v>203</v>
      </c>
      <c r="D57" s="48">
        <v>27.196229445140123</v>
      </c>
      <c r="E57" s="48">
        <v>25.977860690057348</v>
      </c>
      <c r="F57" s="48">
        <v>25.927447080059757</v>
      </c>
      <c r="G57" s="48">
        <v>17.037438308938206</v>
      </c>
      <c r="H57" s="48">
        <v>21.002942008015797</v>
      </c>
      <c r="I57" s="48">
        <v>26.463817550790196</v>
      </c>
      <c r="J57" s="48">
        <v>9.3204805868296674</v>
      </c>
      <c r="K57" s="48">
        <v>8.1205759865026987</v>
      </c>
      <c r="L57" s="48">
        <v>18.807695855108513</v>
      </c>
      <c r="M57" s="48">
        <v>11.475685162339399</v>
      </c>
      <c r="N57" s="48">
        <v>10.508118792014246</v>
      </c>
      <c r="O57" s="48">
        <v>13.074560882105759</v>
      </c>
      <c r="P57" s="48">
        <v>0</v>
      </c>
    </row>
    <row r="58" spans="2:16" x14ac:dyDescent="0.3">
      <c r="B58" s="291" t="s">
        <v>204</v>
      </c>
      <c r="C58" s="13" t="s">
        <v>192</v>
      </c>
      <c r="D58" s="47">
        <v>30.008136057103567</v>
      </c>
      <c r="E58" s="47">
        <v>22.659835089865478</v>
      </c>
      <c r="F58" s="47">
        <v>18.212664333858346</v>
      </c>
      <c r="G58" s="47">
        <v>14.534840503971852</v>
      </c>
      <c r="H58" s="47">
        <v>25.071286977639744</v>
      </c>
      <c r="I58" s="47">
        <v>27.817842087834986</v>
      </c>
      <c r="J58" s="47">
        <v>14.967457474528278</v>
      </c>
      <c r="K58" s="47">
        <v>5.4557302099087215</v>
      </c>
      <c r="L58" s="47">
        <v>19.364764861137342</v>
      </c>
      <c r="M58" s="47">
        <v>14.703196909740452</v>
      </c>
      <c r="N58" s="47">
        <v>11.88844363998869</v>
      </c>
      <c r="O58" s="47">
        <v>9.9689397700939022</v>
      </c>
      <c r="P58" s="47">
        <v>0.48761245900261824</v>
      </c>
    </row>
    <row r="59" spans="2:16" x14ac:dyDescent="0.3">
      <c r="B59" s="295"/>
      <c r="C59" s="12" t="s">
        <v>193</v>
      </c>
      <c r="D59" s="48">
        <v>22.868694039419328</v>
      </c>
      <c r="E59" s="48">
        <v>24.190989005334874</v>
      </c>
      <c r="F59" s="48">
        <v>21.831830236939222</v>
      </c>
      <c r="G59" s="48">
        <v>15.987287868320454</v>
      </c>
      <c r="H59" s="48">
        <v>20.132102303601673</v>
      </c>
      <c r="I59" s="48">
        <v>27.549674357864575</v>
      </c>
      <c r="J59" s="48">
        <v>8.9344479521738549</v>
      </c>
      <c r="K59" s="48">
        <v>5.5826172988107681</v>
      </c>
      <c r="L59" s="48">
        <v>17.99580575091468</v>
      </c>
      <c r="M59" s="48">
        <v>11.88377649415607</v>
      </c>
      <c r="N59" s="48">
        <v>9.378760416129122</v>
      </c>
      <c r="O59" s="48">
        <v>13.216830082358044</v>
      </c>
      <c r="P59" s="48">
        <v>0.44839160203580086</v>
      </c>
    </row>
    <row r="60" spans="2:16" x14ac:dyDescent="0.3">
      <c r="B60" s="291" t="s">
        <v>209</v>
      </c>
      <c r="C60" s="13" t="s">
        <v>205</v>
      </c>
      <c r="D60" s="47">
        <v>22.618084987555434</v>
      </c>
      <c r="E60" s="47">
        <v>16.815046859451201</v>
      </c>
      <c r="F60" s="47">
        <v>18.626982396099866</v>
      </c>
      <c r="G60" s="47">
        <v>13.644247826381337</v>
      </c>
      <c r="H60" s="47">
        <v>22.029082262544129</v>
      </c>
      <c r="I60" s="47">
        <v>24.91019695612275</v>
      </c>
      <c r="J60" s="47">
        <v>15.015332239551354</v>
      </c>
      <c r="K60" s="47">
        <v>6.112940449376147</v>
      </c>
      <c r="L60" s="47">
        <v>23.897476133439433</v>
      </c>
      <c r="M60" s="47">
        <v>16.711269859749937</v>
      </c>
      <c r="N60" s="47">
        <v>13.931658024795931</v>
      </c>
      <c r="O60" s="47">
        <v>15.358204457672334</v>
      </c>
      <c r="P60" s="47">
        <v>1.1278787339075786</v>
      </c>
    </row>
    <row r="61" spans="2:16" x14ac:dyDescent="0.3">
      <c r="B61" s="292"/>
      <c r="C61" s="9" t="s">
        <v>206</v>
      </c>
      <c r="D61" s="46">
        <v>24.124683359330483</v>
      </c>
      <c r="E61" s="46">
        <v>18.43361932109168</v>
      </c>
      <c r="F61" s="46">
        <v>13.972679861171617</v>
      </c>
      <c r="G61" s="46">
        <v>12.430839593833545</v>
      </c>
      <c r="H61" s="46">
        <v>19.049294749113916</v>
      </c>
      <c r="I61" s="46">
        <v>30.102377115171699</v>
      </c>
      <c r="J61" s="46">
        <v>8.7003396799612052</v>
      </c>
      <c r="K61" s="46">
        <v>4.7212134800117926</v>
      </c>
      <c r="L61" s="46">
        <v>15.974009191550412</v>
      </c>
      <c r="M61" s="46">
        <v>12.756146930372072</v>
      </c>
      <c r="N61" s="46">
        <v>8.8033848736969027</v>
      </c>
      <c r="O61" s="46">
        <v>14.155676307816556</v>
      </c>
      <c r="P61" s="46">
        <v>0.27769771049042041</v>
      </c>
    </row>
    <row r="62" spans="2:16" x14ac:dyDescent="0.3">
      <c r="B62" s="292"/>
      <c r="C62" s="9" t="s">
        <v>207</v>
      </c>
      <c r="D62" s="46">
        <v>28.003078038004283</v>
      </c>
      <c r="E62" s="46">
        <v>24.113057441950922</v>
      </c>
      <c r="F62" s="46">
        <v>19.490586177746966</v>
      </c>
      <c r="G62" s="46">
        <v>13.988017797189817</v>
      </c>
      <c r="H62" s="46">
        <v>24.973217371325116</v>
      </c>
      <c r="I62" s="46">
        <v>27.111704190576528</v>
      </c>
      <c r="J62" s="46">
        <v>11.320204679836525</v>
      </c>
      <c r="K62" s="46">
        <v>5.0525707591066897</v>
      </c>
      <c r="L62" s="46">
        <v>17.399686656676288</v>
      </c>
      <c r="M62" s="46">
        <v>10.787389095441959</v>
      </c>
      <c r="N62" s="46">
        <v>9.2261537127415743</v>
      </c>
      <c r="O62" s="46">
        <v>9.8048198059118992</v>
      </c>
      <c r="P62" s="46">
        <v>0.29134095460755466</v>
      </c>
    </row>
    <row r="63" spans="2:16" x14ac:dyDescent="0.3">
      <c r="B63" s="293"/>
      <c r="C63" s="25" t="s">
        <v>208</v>
      </c>
      <c r="D63" s="49">
        <v>28.331318806199786</v>
      </c>
      <c r="E63" s="49">
        <v>27.727251909445972</v>
      </c>
      <c r="F63" s="49">
        <v>24.218320492822453</v>
      </c>
      <c r="G63" s="49">
        <v>18.3517223070148</v>
      </c>
      <c r="H63" s="49">
        <v>23.447329938528782</v>
      </c>
      <c r="I63" s="49">
        <v>27.52117401316292</v>
      </c>
      <c r="J63" s="49">
        <v>14.036933088982886</v>
      </c>
      <c r="K63" s="49">
        <v>6.1901376565346293</v>
      </c>
      <c r="L63" s="49">
        <v>19.919055696762733</v>
      </c>
      <c r="M63" s="49">
        <v>14.857756396326963</v>
      </c>
      <c r="N63" s="49">
        <v>12.109618959505115</v>
      </c>
      <c r="O63" s="49">
        <v>10.078474400200488</v>
      </c>
      <c r="P63" s="49">
        <v>0.53283345246088265</v>
      </c>
    </row>
    <row r="66" spans="2:51" ht="18.75" customHeight="1" x14ac:dyDescent="0.3">
      <c r="B66" s="1" t="s">
        <v>136</v>
      </c>
      <c r="F66" s="304"/>
      <c r="G66" s="304"/>
      <c r="H66" s="304"/>
      <c r="I66" s="304"/>
      <c r="J66" s="304"/>
      <c r="K66" s="304"/>
      <c r="L66" s="304"/>
      <c r="M66" s="304"/>
      <c r="N66" s="304"/>
      <c r="O66" s="304"/>
      <c r="P66" s="304"/>
      <c r="Q66" s="304"/>
      <c r="R66" s="304"/>
      <c r="S66" s="304"/>
      <c r="T66" s="304"/>
      <c r="U66" s="304"/>
      <c r="V66" s="304"/>
      <c r="W66" s="304"/>
      <c r="X66" s="304"/>
      <c r="Y66" s="304"/>
      <c r="Z66" s="304"/>
      <c r="AA66" s="304"/>
      <c r="AB66" s="304"/>
      <c r="AC66" s="304"/>
      <c r="AD66" s="304"/>
      <c r="AE66" s="304"/>
      <c r="AF66" s="304"/>
      <c r="AG66" s="304"/>
      <c r="AH66" s="304"/>
      <c r="AI66" s="304"/>
      <c r="AJ66" s="304"/>
      <c r="AK66" s="304"/>
      <c r="AL66" s="304"/>
      <c r="AM66" s="304"/>
      <c r="AN66" s="304"/>
      <c r="AO66" s="304"/>
      <c r="AP66" s="304"/>
      <c r="AQ66" s="304"/>
      <c r="AR66" s="304"/>
      <c r="AS66" s="304"/>
      <c r="AT66" s="304"/>
      <c r="AU66" s="304"/>
      <c r="AV66" s="304"/>
      <c r="AW66" s="304"/>
      <c r="AX66" s="304"/>
      <c r="AY66" s="304"/>
    </row>
    <row r="67" spans="2:51" ht="13.5" customHeight="1" x14ac:dyDescent="0.3">
      <c r="M67" s="30"/>
      <c r="N67" s="30"/>
      <c r="P67" s="30" t="s">
        <v>53</v>
      </c>
    </row>
    <row r="68" spans="2:51" ht="28.5" customHeight="1" x14ac:dyDescent="0.3">
      <c r="B68" s="305"/>
      <c r="C68" s="306"/>
      <c r="D68" s="226" t="s">
        <v>35</v>
      </c>
      <c r="E68" s="226" t="s">
        <v>280</v>
      </c>
      <c r="F68" s="226" t="s">
        <v>83</v>
      </c>
      <c r="G68" s="226" t="s">
        <v>286</v>
      </c>
      <c r="H68" s="226" t="s">
        <v>16</v>
      </c>
      <c r="I68" s="226" t="s">
        <v>14</v>
      </c>
      <c r="J68" s="226" t="s">
        <v>18</v>
      </c>
      <c r="K68" s="226" t="s">
        <v>230</v>
      </c>
      <c r="L68" s="226" t="s">
        <v>231</v>
      </c>
      <c r="M68" s="227" t="s">
        <v>284</v>
      </c>
      <c r="N68" s="227" t="s">
        <v>285</v>
      </c>
      <c r="O68" s="227" t="s">
        <v>19</v>
      </c>
      <c r="P68" s="227" t="s">
        <v>12</v>
      </c>
    </row>
    <row r="69" spans="2:51" x14ac:dyDescent="0.3">
      <c r="B69" s="292" t="s">
        <v>20</v>
      </c>
      <c r="C69" s="292"/>
      <c r="D69" s="72">
        <v>1.2103617559913373</v>
      </c>
      <c r="E69" s="72">
        <v>1.1819739654530752</v>
      </c>
      <c r="F69" s="73">
        <v>1.2442002970364952</v>
      </c>
      <c r="G69" s="72">
        <v>1.2562293042166468</v>
      </c>
      <c r="H69" s="73">
        <v>1.1647765657937923</v>
      </c>
      <c r="I69" s="72">
        <v>1.5056845441188018</v>
      </c>
      <c r="J69" s="72">
        <v>1.2765519937956187</v>
      </c>
      <c r="K69" s="72">
        <v>1.3680539266838263</v>
      </c>
      <c r="L69" s="73">
        <v>1.5586244416470474</v>
      </c>
      <c r="M69" s="72">
        <v>1.4225096423996864</v>
      </c>
      <c r="N69" s="72">
        <v>1.3457627574475466</v>
      </c>
      <c r="O69" s="72">
        <v>1.2524312835206746</v>
      </c>
      <c r="P69" s="72">
        <v>1.5212851160450025</v>
      </c>
    </row>
    <row r="70" spans="2:51" x14ac:dyDescent="0.3">
      <c r="B70" s="296" t="s">
        <v>5</v>
      </c>
      <c r="C70" s="13" t="s">
        <v>0</v>
      </c>
      <c r="D70" s="74">
        <v>1.1880610805414555</v>
      </c>
      <c r="E70" s="74">
        <v>1.1531632696917546</v>
      </c>
      <c r="F70" s="75">
        <v>1.1889939993680121</v>
      </c>
      <c r="G70" s="74">
        <v>1.1588586059162476</v>
      </c>
      <c r="H70" s="75">
        <v>1.2105017119375028</v>
      </c>
      <c r="I70" s="74">
        <v>1.457809221177377</v>
      </c>
      <c r="J70" s="74">
        <v>1.3614355787559025</v>
      </c>
      <c r="K70" s="74">
        <v>1.4183641053150062</v>
      </c>
      <c r="L70" s="75">
        <v>1.1698419360106671</v>
      </c>
      <c r="M70" s="74">
        <v>1.1098137731444071</v>
      </c>
      <c r="N70" s="74">
        <v>1.1692950322954003</v>
      </c>
      <c r="O70" s="74">
        <v>1.0952644661466067</v>
      </c>
      <c r="P70" s="74">
        <v>1</v>
      </c>
    </row>
    <row r="71" spans="2:51" x14ac:dyDescent="0.3">
      <c r="B71" s="295"/>
      <c r="C71" s="12" t="s">
        <v>1</v>
      </c>
      <c r="D71" s="76">
        <v>1.21260101663876</v>
      </c>
      <c r="E71" s="76">
        <v>1.1866018602739392</v>
      </c>
      <c r="F71" s="76">
        <v>1.256303822171799</v>
      </c>
      <c r="G71" s="76">
        <v>1.2841560836649402</v>
      </c>
      <c r="H71" s="76">
        <v>1.1610432170281857</v>
      </c>
      <c r="I71" s="76">
        <v>1.5109950903423979</v>
      </c>
      <c r="J71" s="76">
        <v>1.2665670133506266</v>
      </c>
      <c r="K71" s="76">
        <v>1.3626738355452457</v>
      </c>
      <c r="L71" s="76">
        <v>1.5920308431019323</v>
      </c>
      <c r="M71" s="76">
        <v>1.4463421654379283</v>
      </c>
      <c r="N71" s="76">
        <v>1.3605146176689893</v>
      </c>
      <c r="O71" s="76">
        <v>1.265815458155138</v>
      </c>
      <c r="P71" s="76">
        <v>1.6070883006100916</v>
      </c>
    </row>
    <row r="72" spans="2:51" x14ac:dyDescent="0.3">
      <c r="B72" s="296" t="s">
        <v>4</v>
      </c>
      <c r="C72" s="9" t="s">
        <v>175</v>
      </c>
      <c r="D72" s="72">
        <v>1.056349636720896</v>
      </c>
      <c r="E72" s="72">
        <v>1.595212262741234</v>
      </c>
      <c r="F72" s="73">
        <v>1.7655254632524702</v>
      </c>
      <c r="G72" s="72">
        <v>1.9532786167177376</v>
      </c>
      <c r="H72" s="73">
        <v>1.1120684075799852</v>
      </c>
      <c r="I72" s="72">
        <v>1.4846257263804856</v>
      </c>
      <c r="J72" s="72">
        <v>1.6389814996466783</v>
      </c>
      <c r="K72" s="72">
        <v>1.1418876651731154</v>
      </c>
      <c r="L72" s="73">
        <v>1.3915099729038287</v>
      </c>
      <c r="M72" s="72">
        <v>1.4407998643589814</v>
      </c>
      <c r="N72" s="72">
        <v>1.6199230063307595</v>
      </c>
      <c r="O72" s="72">
        <v>1</v>
      </c>
      <c r="P72" s="72">
        <v>1</v>
      </c>
    </row>
    <row r="73" spans="2:51" x14ac:dyDescent="0.3">
      <c r="B73" s="292"/>
      <c r="C73" s="9" t="s">
        <v>176</v>
      </c>
      <c r="D73" s="72">
        <v>1.4334852238099485</v>
      </c>
      <c r="E73" s="72">
        <v>1.2434517304568113</v>
      </c>
      <c r="F73" s="73">
        <v>1.3143161769127001</v>
      </c>
      <c r="G73" s="72">
        <v>1.3426642174969898</v>
      </c>
      <c r="H73" s="73">
        <v>1.2139663833603329</v>
      </c>
      <c r="I73" s="72">
        <v>1.4369484551177139</v>
      </c>
      <c r="J73" s="72">
        <v>1.3287808801547842</v>
      </c>
      <c r="K73" s="72">
        <v>1.3819035659692138</v>
      </c>
      <c r="L73" s="73">
        <v>1.5770527249698836</v>
      </c>
      <c r="M73" s="72">
        <v>1.5859389695969914</v>
      </c>
      <c r="N73" s="72">
        <v>1.550022839185683</v>
      </c>
      <c r="O73" s="72">
        <v>1.2490280839676264</v>
      </c>
      <c r="P73" s="72">
        <v>1</v>
      </c>
    </row>
    <row r="74" spans="2:51" x14ac:dyDescent="0.3">
      <c r="B74" s="292"/>
      <c r="C74" s="9" t="s">
        <v>177</v>
      </c>
      <c r="D74" s="72">
        <v>1.1301474575160473</v>
      </c>
      <c r="E74" s="72">
        <v>1.0681750936457746</v>
      </c>
      <c r="F74" s="73">
        <v>1.2504257272717896</v>
      </c>
      <c r="G74" s="72">
        <v>1.2473013763077252</v>
      </c>
      <c r="H74" s="73">
        <v>1.1502018898180832</v>
      </c>
      <c r="I74" s="72">
        <v>1.7066795581685772</v>
      </c>
      <c r="J74" s="72">
        <v>1.2799626578096492</v>
      </c>
      <c r="K74" s="72">
        <v>1.9496231352530493</v>
      </c>
      <c r="L74" s="73">
        <v>1.5678523235965722</v>
      </c>
      <c r="M74" s="72">
        <v>1.3000325410545046</v>
      </c>
      <c r="N74" s="72">
        <v>1.2113174680333614</v>
      </c>
      <c r="O74" s="72">
        <v>1.1836107510579688</v>
      </c>
      <c r="P74" s="72">
        <v>1</v>
      </c>
    </row>
    <row r="75" spans="2:51" x14ac:dyDescent="0.3">
      <c r="B75" s="292"/>
      <c r="C75" s="9" t="s">
        <v>178</v>
      </c>
      <c r="D75" s="72">
        <v>1.1472871167127823</v>
      </c>
      <c r="E75" s="72">
        <v>1.0846367509238479</v>
      </c>
      <c r="F75" s="73">
        <v>1.1763910142707801</v>
      </c>
      <c r="G75" s="72">
        <v>1.2659704664203786</v>
      </c>
      <c r="H75" s="73">
        <v>1.1708456759699373</v>
      </c>
      <c r="I75" s="72">
        <v>1.3380267829609962</v>
      </c>
      <c r="J75" s="72">
        <v>1.2292690656956411</v>
      </c>
      <c r="K75" s="72">
        <v>1.2139067524034914</v>
      </c>
      <c r="L75" s="73">
        <v>1.3983558665038274</v>
      </c>
      <c r="M75" s="72">
        <v>1.3105778076120262</v>
      </c>
      <c r="N75" s="72">
        <v>1.3324864046486138</v>
      </c>
      <c r="O75" s="72">
        <v>1.1587726205293183</v>
      </c>
      <c r="P75" s="72">
        <v>1</v>
      </c>
    </row>
    <row r="76" spans="2:51" x14ac:dyDescent="0.3">
      <c r="B76" s="292"/>
      <c r="C76" s="9" t="s">
        <v>179</v>
      </c>
      <c r="D76" s="72">
        <v>1.2587831328455579</v>
      </c>
      <c r="E76" s="72">
        <v>1.2963700503849251</v>
      </c>
      <c r="F76" s="73">
        <v>1.2720189807762723</v>
      </c>
      <c r="G76" s="72">
        <v>1.2007890970563138</v>
      </c>
      <c r="H76" s="73">
        <v>1.1516682995931597</v>
      </c>
      <c r="I76" s="72">
        <v>1.5815980629335222</v>
      </c>
      <c r="J76" s="72">
        <v>1.1945456633377782</v>
      </c>
      <c r="K76" s="72">
        <v>1.3717837714410486</v>
      </c>
      <c r="L76" s="73">
        <v>1.7908695469714835</v>
      </c>
      <c r="M76" s="72">
        <v>1.5058881474369472</v>
      </c>
      <c r="N76" s="72">
        <v>1.2399934800249881</v>
      </c>
      <c r="O76" s="72">
        <v>1.2579110654673531</v>
      </c>
      <c r="P76" s="72">
        <v>1</v>
      </c>
    </row>
    <row r="77" spans="2:51" x14ac:dyDescent="0.3">
      <c r="B77" s="298"/>
      <c r="C77" s="12" t="s">
        <v>180</v>
      </c>
      <c r="D77" s="76">
        <v>1.0490768990609971</v>
      </c>
      <c r="E77" s="76">
        <v>1.1272203846718583</v>
      </c>
      <c r="F77" s="77">
        <v>1.1846826131590384</v>
      </c>
      <c r="G77" s="76">
        <v>1.126777384411896</v>
      </c>
      <c r="H77" s="77">
        <v>1.1354132763779472</v>
      </c>
      <c r="I77" s="76">
        <v>1.5218825967732967</v>
      </c>
      <c r="J77" s="76">
        <v>1.1468345959179271</v>
      </c>
      <c r="K77" s="76">
        <v>1.3209457690305919</v>
      </c>
      <c r="L77" s="77">
        <v>1.5276162647454912</v>
      </c>
      <c r="M77" s="76">
        <v>1.3841254430317316</v>
      </c>
      <c r="N77" s="76">
        <v>1.1967440575736108</v>
      </c>
      <c r="O77" s="76">
        <v>1.4129896878609565</v>
      </c>
      <c r="P77" s="76">
        <v>2.6543623822898921</v>
      </c>
    </row>
    <row r="78" spans="2:51" x14ac:dyDescent="0.3">
      <c r="B78" s="292" t="s">
        <v>223</v>
      </c>
      <c r="C78" s="9" t="s">
        <v>210</v>
      </c>
      <c r="D78" s="72">
        <v>1</v>
      </c>
      <c r="E78" s="72">
        <v>1</v>
      </c>
      <c r="F78" s="73">
        <v>0</v>
      </c>
      <c r="G78" s="72">
        <v>0</v>
      </c>
      <c r="H78" s="73">
        <v>0</v>
      </c>
      <c r="I78" s="72">
        <v>1</v>
      </c>
      <c r="J78" s="72">
        <v>0</v>
      </c>
      <c r="K78" s="72">
        <v>2</v>
      </c>
      <c r="L78" s="73">
        <v>0</v>
      </c>
      <c r="M78" s="72">
        <v>0</v>
      </c>
      <c r="N78" s="72">
        <v>0</v>
      </c>
      <c r="O78" s="72">
        <v>0</v>
      </c>
      <c r="P78" s="72">
        <v>0</v>
      </c>
    </row>
    <row r="79" spans="2:51" x14ac:dyDescent="0.3">
      <c r="B79" s="292"/>
      <c r="C79" s="9" t="s">
        <v>211</v>
      </c>
      <c r="D79" s="72">
        <v>1.6538543759604454</v>
      </c>
      <c r="E79" s="72">
        <v>1.2056684539839682</v>
      </c>
      <c r="F79" s="73">
        <v>1</v>
      </c>
      <c r="G79" s="72">
        <v>1.0698382050353534</v>
      </c>
      <c r="H79" s="73">
        <v>1.1358184288831124</v>
      </c>
      <c r="I79" s="72">
        <v>1.2801379253722505</v>
      </c>
      <c r="J79" s="72">
        <v>0</v>
      </c>
      <c r="K79" s="72">
        <v>1.3020417004820779</v>
      </c>
      <c r="L79" s="73">
        <v>1</v>
      </c>
      <c r="M79" s="72">
        <v>1</v>
      </c>
      <c r="N79" s="72">
        <v>1</v>
      </c>
      <c r="O79" s="72">
        <v>1</v>
      </c>
      <c r="P79" s="72">
        <v>0</v>
      </c>
    </row>
    <row r="80" spans="2:51" x14ac:dyDescent="0.3">
      <c r="B80" s="292"/>
      <c r="C80" s="9" t="s">
        <v>212</v>
      </c>
      <c r="D80" s="72">
        <v>1.125315687890873</v>
      </c>
      <c r="E80" s="72">
        <v>1</v>
      </c>
      <c r="F80" s="73">
        <v>1.4894764638305054</v>
      </c>
      <c r="G80" s="72">
        <v>1.3108336633054551</v>
      </c>
      <c r="H80" s="73">
        <v>1.2018500376420693</v>
      </c>
      <c r="I80" s="72">
        <v>1.2007434944237918</v>
      </c>
      <c r="J80" s="72">
        <v>1.9039157212424846</v>
      </c>
      <c r="K80" s="72">
        <v>2</v>
      </c>
      <c r="L80" s="73">
        <v>1.6603677875030951</v>
      </c>
      <c r="M80" s="72">
        <v>1</v>
      </c>
      <c r="N80" s="72">
        <v>1</v>
      </c>
      <c r="O80" s="72">
        <v>0</v>
      </c>
      <c r="P80" s="72">
        <v>0</v>
      </c>
    </row>
    <row r="81" spans="2:16" x14ac:dyDescent="0.3">
      <c r="B81" s="292"/>
      <c r="C81" s="9" t="s">
        <v>213</v>
      </c>
      <c r="D81" s="72">
        <v>1.2938389453747674</v>
      </c>
      <c r="E81" s="72">
        <v>1.3259550313254604</v>
      </c>
      <c r="F81" s="73">
        <v>1.3513457950009924</v>
      </c>
      <c r="G81" s="72">
        <v>1.2411421409152896</v>
      </c>
      <c r="H81" s="73">
        <v>1.6037251966042334</v>
      </c>
      <c r="I81" s="72">
        <v>1.4047318252491836</v>
      </c>
      <c r="J81" s="72">
        <v>1.3928072346740847</v>
      </c>
      <c r="K81" s="72">
        <v>0</v>
      </c>
      <c r="L81" s="73">
        <v>1.3615600792917137</v>
      </c>
      <c r="M81" s="72">
        <v>1</v>
      </c>
      <c r="N81" s="72">
        <v>2.1527652213266797</v>
      </c>
      <c r="O81" s="72">
        <v>1.1922154614831093</v>
      </c>
      <c r="P81" s="72">
        <v>0</v>
      </c>
    </row>
    <row r="82" spans="2:16" x14ac:dyDescent="0.3">
      <c r="B82" s="292"/>
      <c r="C82" s="9" t="s">
        <v>214</v>
      </c>
      <c r="D82" s="72">
        <v>1.0667437693075266</v>
      </c>
      <c r="E82" s="72">
        <v>1.138036161498432</v>
      </c>
      <c r="F82" s="73">
        <v>1.2051301065076376</v>
      </c>
      <c r="G82" s="72">
        <v>1.1101936190805248</v>
      </c>
      <c r="H82" s="73">
        <v>1</v>
      </c>
      <c r="I82" s="72">
        <v>1.7352955394331642</v>
      </c>
      <c r="J82" s="72">
        <v>1</v>
      </c>
      <c r="K82" s="72">
        <v>1.3779412648149612</v>
      </c>
      <c r="L82" s="73">
        <v>1</v>
      </c>
      <c r="M82" s="72">
        <v>1.3049672661515006</v>
      </c>
      <c r="N82" s="72">
        <v>1</v>
      </c>
      <c r="O82" s="72">
        <v>1</v>
      </c>
      <c r="P82" s="72">
        <v>0</v>
      </c>
    </row>
    <row r="83" spans="2:16" x14ac:dyDescent="0.3">
      <c r="B83" s="292"/>
      <c r="C83" s="12" t="s">
        <v>215</v>
      </c>
      <c r="D83" s="76">
        <v>1</v>
      </c>
      <c r="E83" s="76">
        <v>1.1834865009449738</v>
      </c>
      <c r="F83" s="77">
        <v>1.0608058265597089</v>
      </c>
      <c r="G83" s="76">
        <v>1.0839330244940593</v>
      </c>
      <c r="H83" s="77">
        <v>1</v>
      </c>
      <c r="I83" s="76">
        <v>1.3132374503164461</v>
      </c>
      <c r="J83" s="76">
        <v>1.2173257023826158</v>
      </c>
      <c r="K83" s="76">
        <v>1</v>
      </c>
      <c r="L83" s="77">
        <v>1</v>
      </c>
      <c r="M83" s="76">
        <v>1</v>
      </c>
      <c r="N83" s="76">
        <v>1</v>
      </c>
      <c r="O83" s="76">
        <v>1.1770031750628147</v>
      </c>
      <c r="P83" s="76">
        <v>1</v>
      </c>
    </row>
    <row r="84" spans="2:16" x14ac:dyDescent="0.3">
      <c r="B84" s="292"/>
      <c r="C84" s="9" t="s">
        <v>216</v>
      </c>
      <c r="D84" s="72">
        <v>1.0641836675080427</v>
      </c>
      <c r="E84" s="72">
        <v>1.6553317198230062</v>
      </c>
      <c r="F84" s="73">
        <v>1.7655254632524702</v>
      </c>
      <c r="G84" s="72">
        <v>1.9532786167177376</v>
      </c>
      <c r="H84" s="73">
        <v>1.1120684075799852</v>
      </c>
      <c r="I84" s="72">
        <v>1.4956757618494461</v>
      </c>
      <c r="J84" s="72">
        <v>1.6389814996466783</v>
      </c>
      <c r="K84" s="72">
        <v>1</v>
      </c>
      <c r="L84" s="73">
        <v>1.3915099729038287</v>
      </c>
      <c r="M84" s="72">
        <v>1.4407998643589814</v>
      </c>
      <c r="N84" s="72">
        <v>1.6199230063307595</v>
      </c>
      <c r="O84" s="72">
        <v>1</v>
      </c>
      <c r="P84" s="72">
        <v>1</v>
      </c>
    </row>
    <row r="85" spans="2:16" x14ac:dyDescent="0.3">
      <c r="B85" s="292"/>
      <c r="C85" s="9" t="s">
        <v>217</v>
      </c>
      <c r="D85" s="72">
        <v>1.4209477900576548</v>
      </c>
      <c r="E85" s="72">
        <v>1.2494479624337389</v>
      </c>
      <c r="F85" s="73">
        <v>1.367008214766364</v>
      </c>
      <c r="G85" s="72">
        <v>1.3809000556045226</v>
      </c>
      <c r="H85" s="73">
        <v>1.2203374007839924</v>
      </c>
      <c r="I85" s="72">
        <v>1.449996342418107</v>
      </c>
      <c r="J85" s="72">
        <v>1.3287808801547842</v>
      </c>
      <c r="K85" s="72">
        <v>1.3974985377670228</v>
      </c>
      <c r="L85" s="73">
        <v>1.5999449973830282</v>
      </c>
      <c r="M85" s="72">
        <v>1.6381889891829886</v>
      </c>
      <c r="N85" s="72">
        <v>1.5661657377137594</v>
      </c>
      <c r="O85" s="72">
        <v>1.2555904292271713</v>
      </c>
      <c r="P85" s="72">
        <v>1</v>
      </c>
    </row>
    <row r="86" spans="2:16" x14ac:dyDescent="0.3">
      <c r="B86" s="292"/>
      <c r="C86" s="9" t="s">
        <v>218</v>
      </c>
      <c r="D86" s="72">
        <v>1.1307065849514537</v>
      </c>
      <c r="E86" s="72">
        <v>1.0793994670077107</v>
      </c>
      <c r="F86" s="73">
        <v>1.2294613130064223</v>
      </c>
      <c r="G86" s="72">
        <v>1.2314931149451156</v>
      </c>
      <c r="H86" s="73">
        <v>1.1467348175959955</v>
      </c>
      <c r="I86" s="72">
        <v>1.751267452640745</v>
      </c>
      <c r="J86" s="72">
        <v>1.2076674827240121</v>
      </c>
      <c r="K86" s="72">
        <v>1.9440378425586278</v>
      </c>
      <c r="L86" s="73">
        <v>1.5615300090832409</v>
      </c>
      <c r="M86" s="72">
        <v>1.3108091252123018</v>
      </c>
      <c r="N86" s="72">
        <v>1.2415522402945482</v>
      </c>
      <c r="O86" s="72">
        <v>1.1836107510579688</v>
      </c>
      <c r="P86" s="72">
        <v>1</v>
      </c>
    </row>
    <row r="87" spans="2:16" x14ac:dyDescent="0.3">
      <c r="B87" s="292"/>
      <c r="C87" s="9" t="s">
        <v>219</v>
      </c>
      <c r="D87" s="72">
        <v>1.1323466917511389</v>
      </c>
      <c r="E87" s="72">
        <v>1.0636471903451914</v>
      </c>
      <c r="F87" s="73">
        <v>1.1424133606148594</v>
      </c>
      <c r="G87" s="72">
        <v>1.2782868337260711</v>
      </c>
      <c r="H87" s="73">
        <v>1.1308604767007711</v>
      </c>
      <c r="I87" s="72">
        <v>1.3330467034721514</v>
      </c>
      <c r="J87" s="72">
        <v>1.1928671987590576</v>
      </c>
      <c r="K87" s="72">
        <v>1.2139067524034914</v>
      </c>
      <c r="L87" s="73">
        <v>1.4013203206824516</v>
      </c>
      <c r="M87" s="72">
        <v>1.32161303989964</v>
      </c>
      <c r="N87" s="72">
        <v>1.2930734862409061</v>
      </c>
      <c r="O87" s="72">
        <v>1.1552343541851482</v>
      </c>
      <c r="P87" s="72">
        <v>1</v>
      </c>
    </row>
    <row r="88" spans="2:16" x14ac:dyDescent="0.3">
      <c r="B88" s="292"/>
      <c r="C88" s="9" t="s">
        <v>220</v>
      </c>
      <c r="D88" s="72">
        <v>1.2918312004684964</v>
      </c>
      <c r="E88" s="72">
        <v>1.3484791105497951</v>
      </c>
      <c r="F88" s="73">
        <v>1.2949570079846846</v>
      </c>
      <c r="G88" s="72">
        <v>1.2388031999989302</v>
      </c>
      <c r="H88" s="73">
        <v>1.1717199769676243</v>
      </c>
      <c r="I88" s="72">
        <v>1.5491612595549187</v>
      </c>
      <c r="J88" s="72">
        <v>1.2208961172086215</v>
      </c>
      <c r="K88" s="72">
        <v>1.3706944080665415</v>
      </c>
      <c r="L88" s="73">
        <v>1.9509845246681177</v>
      </c>
      <c r="M88" s="72">
        <v>1.5444014987756871</v>
      </c>
      <c r="N88" s="72">
        <v>1.2954823166002674</v>
      </c>
      <c r="O88" s="72">
        <v>1.301667403653016</v>
      </c>
      <c r="P88" s="72">
        <v>1</v>
      </c>
    </row>
    <row r="89" spans="2:16" x14ac:dyDescent="0.3">
      <c r="B89" s="295"/>
      <c r="C89" s="9" t="s">
        <v>221</v>
      </c>
      <c r="D89" s="76">
        <v>1.0530444084300901</v>
      </c>
      <c r="E89" s="76">
        <v>1.121743898727465</v>
      </c>
      <c r="F89" s="77">
        <v>1.2182917593629814</v>
      </c>
      <c r="G89" s="76">
        <v>1.1371753493814951</v>
      </c>
      <c r="H89" s="77">
        <v>1.1409278701892582</v>
      </c>
      <c r="I89" s="76">
        <v>1.5485079554338748</v>
      </c>
      <c r="J89" s="76">
        <v>1.1312991371137386</v>
      </c>
      <c r="K89" s="76">
        <v>1.339744429447304</v>
      </c>
      <c r="L89" s="77">
        <v>1.5628093660589599</v>
      </c>
      <c r="M89" s="76">
        <v>1.4219876607032884</v>
      </c>
      <c r="N89" s="76">
        <v>1.2050234059678535</v>
      </c>
      <c r="O89" s="76">
        <v>1.4393097536888619</v>
      </c>
      <c r="P89" s="76">
        <v>4</v>
      </c>
    </row>
    <row r="90" spans="2:16" ht="16.5" customHeight="1" x14ac:dyDescent="0.3">
      <c r="B90" s="291" t="s">
        <v>222</v>
      </c>
      <c r="C90" s="13" t="s">
        <v>226</v>
      </c>
      <c r="D90" s="74">
        <v>1.2417884533772938</v>
      </c>
      <c r="E90" s="74">
        <v>1.3041409267072848</v>
      </c>
      <c r="F90" s="74">
        <v>1.4144343413694667</v>
      </c>
      <c r="G90" s="74">
        <v>1.3968856415596103</v>
      </c>
      <c r="H90" s="74">
        <v>1.1191349216061959</v>
      </c>
      <c r="I90" s="74">
        <v>1.7189313134028927</v>
      </c>
      <c r="J90" s="74">
        <v>1.3489664517299291</v>
      </c>
      <c r="K90" s="74">
        <v>1.508007083872233</v>
      </c>
      <c r="L90" s="74">
        <v>1.9147487185948979</v>
      </c>
      <c r="M90" s="74">
        <v>1.2866692735431704</v>
      </c>
      <c r="N90" s="74">
        <v>1.2957980692649154</v>
      </c>
      <c r="O90" s="74">
        <v>1.2991848324582267</v>
      </c>
      <c r="P90" s="74">
        <v>1</v>
      </c>
    </row>
    <row r="91" spans="2:16" x14ac:dyDescent="0.3">
      <c r="B91" s="294"/>
      <c r="C91" s="9" t="s">
        <v>227</v>
      </c>
      <c r="D91" s="72">
        <v>1.153592592974227</v>
      </c>
      <c r="E91" s="72">
        <v>1.1560711719969348</v>
      </c>
      <c r="F91" s="72">
        <v>1.2022911241643968</v>
      </c>
      <c r="G91" s="72">
        <v>1.2504916154995711</v>
      </c>
      <c r="H91" s="72">
        <v>1.1698717613379159</v>
      </c>
      <c r="I91" s="72">
        <v>1.4697124551519745</v>
      </c>
      <c r="J91" s="72">
        <v>1.2706356983562961</v>
      </c>
      <c r="K91" s="72">
        <v>1.5294268924982839</v>
      </c>
      <c r="L91" s="72">
        <v>1.4793778287264567</v>
      </c>
      <c r="M91" s="72">
        <v>1.4429594476537697</v>
      </c>
      <c r="N91" s="72">
        <v>1.4927318694033413</v>
      </c>
      <c r="O91" s="72">
        <v>1.2758163671144256</v>
      </c>
      <c r="P91" s="72">
        <v>1.9700857437097714</v>
      </c>
    </row>
    <row r="92" spans="2:16" x14ac:dyDescent="0.3">
      <c r="B92" s="292"/>
      <c r="C92" s="9" t="s">
        <v>228</v>
      </c>
      <c r="D92" s="72">
        <v>1.2083013153612212</v>
      </c>
      <c r="E92" s="72">
        <v>1.162669519709606</v>
      </c>
      <c r="F92" s="72">
        <v>1.213080521122657</v>
      </c>
      <c r="G92" s="72">
        <v>1.1893586839579242</v>
      </c>
      <c r="H92" s="72">
        <v>1.2212596182124105</v>
      </c>
      <c r="I92" s="72">
        <v>1.5280982308314026</v>
      </c>
      <c r="J92" s="72">
        <v>1.190258706985901</v>
      </c>
      <c r="K92" s="72">
        <v>1.1220779406073271</v>
      </c>
      <c r="L92" s="72">
        <v>1.4775568966828683</v>
      </c>
      <c r="M92" s="72">
        <v>1.3735768429497826</v>
      </c>
      <c r="N92" s="72">
        <v>1.3763933093572123</v>
      </c>
      <c r="O92" s="72">
        <v>1.3232378954803472</v>
      </c>
      <c r="P92" s="72">
        <v>1</v>
      </c>
    </row>
    <row r="93" spans="2:16" x14ac:dyDescent="0.3">
      <c r="B93" s="295"/>
      <c r="C93" s="12" t="s">
        <v>229</v>
      </c>
      <c r="D93" s="76">
        <v>1.2320721872726694</v>
      </c>
      <c r="E93" s="76">
        <v>1.0959251527495746</v>
      </c>
      <c r="F93" s="76">
        <v>1.1634142145135962</v>
      </c>
      <c r="G93" s="76">
        <v>1.1883827230980197</v>
      </c>
      <c r="H93" s="76">
        <v>1.1607359487504754</v>
      </c>
      <c r="I93" s="76">
        <v>1.3180411904987566</v>
      </c>
      <c r="J93" s="76">
        <v>1.2766599273856114</v>
      </c>
      <c r="K93" s="76">
        <v>1.1422520702382919</v>
      </c>
      <c r="L93" s="76">
        <v>1.4512554942381257</v>
      </c>
      <c r="M93" s="76">
        <v>1.5063970306927916</v>
      </c>
      <c r="N93" s="76">
        <v>1.2512810377362547</v>
      </c>
      <c r="O93" s="76">
        <v>1.1491486074468014</v>
      </c>
      <c r="P93" s="76">
        <v>1</v>
      </c>
    </row>
    <row r="94" spans="2:16" x14ac:dyDescent="0.3">
      <c r="B94" s="296" t="s">
        <v>199</v>
      </c>
      <c r="C94" s="13" t="s">
        <v>192</v>
      </c>
      <c r="D94" s="74">
        <v>1.2427445716796519</v>
      </c>
      <c r="E94" s="74">
        <v>1.159728829328408</v>
      </c>
      <c r="F94" s="74">
        <v>1.2377463732023195</v>
      </c>
      <c r="G94" s="74">
        <v>1.3718591751121358</v>
      </c>
      <c r="H94" s="74">
        <v>1.1651351202961848</v>
      </c>
      <c r="I94" s="74">
        <v>1.4803109281125861</v>
      </c>
      <c r="J94" s="74">
        <v>1.3382170996719431</v>
      </c>
      <c r="K94" s="74">
        <v>1.4012912386103387</v>
      </c>
      <c r="L94" s="74">
        <v>1.53937948579725</v>
      </c>
      <c r="M94" s="74">
        <v>1.4293584050379637</v>
      </c>
      <c r="N94" s="74">
        <v>1.384064718679231</v>
      </c>
      <c r="O94" s="74">
        <v>1.3106163027759274</v>
      </c>
      <c r="P94" s="74">
        <v>1</v>
      </c>
    </row>
    <row r="95" spans="2:16" ht="16.5" customHeight="1" x14ac:dyDescent="0.3">
      <c r="B95" s="292"/>
      <c r="C95" s="9" t="s">
        <v>200</v>
      </c>
      <c r="D95" s="72">
        <v>1.1022644378817839</v>
      </c>
      <c r="E95" s="72">
        <v>1.2509794015916531</v>
      </c>
      <c r="F95" s="72">
        <v>1.2028876778139961</v>
      </c>
      <c r="G95" s="72">
        <v>1.1162594155951422</v>
      </c>
      <c r="H95" s="72">
        <v>1.1945115806218085</v>
      </c>
      <c r="I95" s="72">
        <v>1.5170423069997663</v>
      </c>
      <c r="J95" s="72">
        <v>1.1602292395721532</v>
      </c>
      <c r="K95" s="72">
        <v>1</v>
      </c>
      <c r="L95" s="72">
        <v>1.4052703959909798</v>
      </c>
      <c r="M95" s="72">
        <v>1.8420776670484371</v>
      </c>
      <c r="N95" s="72">
        <v>1</v>
      </c>
      <c r="O95" s="72">
        <v>1.2507132120390205</v>
      </c>
      <c r="P95" s="72">
        <v>1</v>
      </c>
    </row>
    <row r="96" spans="2:16" ht="16.5" customHeight="1" x14ac:dyDescent="0.3">
      <c r="B96" s="292"/>
      <c r="C96" s="9" t="s">
        <v>201</v>
      </c>
      <c r="D96" s="72">
        <v>1.1951049297546172</v>
      </c>
      <c r="E96" s="72">
        <v>1.227213622615497</v>
      </c>
      <c r="F96" s="72">
        <v>1.1221651733468638</v>
      </c>
      <c r="G96" s="72">
        <v>1.1156991168515422</v>
      </c>
      <c r="H96" s="72">
        <v>1.0549986994935374</v>
      </c>
      <c r="I96" s="72">
        <v>1.3947906308665752</v>
      </c>
      <c r="J96" s="72">
        <v>1.0837694353897922</v>
      </c>
      <c r="K96" s="72">
        <v>1.251817082310142</v>
      </c>
      <c r="L96" s="72">
        <v>1.4043182736130486</v>
      </c>
      <c r="M96" s="72">
        <v>1.3519579246908573</v>
      </c>
      <c r="N96" s="72">
        <v>1.3946843922019112</v>
      </c>
      <c r="O96" s="72">
        <v>1.1778912025379227</v>
      </c>
      <c r="P96" s="72">
        <v>4</v>
      </c>
    </row>
    <row r="97" spans="2:51" ht="16.5" customHeight="1" x14ac:dyDescent="0.3">
      <c r="B97" s="292"/>
      <c r="C97" s="9" t="s">
        <v>202</v>
      </c>
      <c r="D97" s="72">
        <v>1.2217665526116446</v>
      </c>
      <c r="E97" s="72">
        <v>1.3888075571055571</v>
      </c>
      <c r="F97" s="72">
        <v>1.4302489383521166</v>
      </c>
      <c r="G97" s="72">
        <v>1.2945678186128653</v>
      </c>
      <c r="H97" s="72">
        <v>1.1864268551935704</v>
      </c>
      <c r="I97" s="72">
        <v>1.6895356097229923</v>
      </c>
      <c r="J97" s="72">
        <v>1.2740230253873792</v>
      </c>
      <c r="K97" s="72">
        <v>1.8838411192816984</v>
      </c>
      <c r="L97" s="72">
        <v>1.4503440195186685</v>
      </c>
      <c r="M97" s="72">
        <v>1.273452247327638</v>
      </c>
      <c r="N97" s="72">
        <v>1.3941006595190628</v>
      </c>
      <c r="O97" s="72">
        <v>1.2984610868950843</v>
      </c>
      <c r="P97" s="72">
        <v>1</v>
      </c>
    </row>
    <row r="98" spans="2:51" x14ac:dyDescent="0.3">
      <c r="B98" s="295"/>
      <c r="C98" s="12" t="s">
        <v>203</v>
      </c>
      <c r="D98" s="76">
        <v>1.1374223137378239</v>
      </c>
      <c r="E98" s="76">
        <v>1.130663237412699</v>
      </c>
      <c r="F98" s="76">
        <v>1.1981601969770324</v>
      </c>
      <c r="G98" s="76">
        <v>1.0918315486325179</v>
      </c>
      <c r="H98" s="76">
        <v>1.1926060894596138</v>
      </c>
      <c r="I98" s="76">
        <v>1.5324239329249143</v>
      </c>
      <c r="J98" s="76">
        <v>1.1477623198401976</v>
      </c>
      <c r="K98" s="76">
        <v>1.2167461022808395</v>
      </c>
      <c r="L98" s="76">
        <v>1.7310605251122486</v>
      </c>
      <c r="M98" s="76">
        <v>1.4647680255179516</v>
      </c>
      <c r="N98" s="76">
        <v>1.2496910785230619</v>
      </c>
      <c r="O98" s="76">
        <v>1.1450560870488227</v>
      </c>
      <c r="P98" s="76">
        <v>0</v>
      </c>
    </row>
    <row r="99" spans="2:51" x14ac:dyDescent="0.3">
      <c r="B99" s="291" t="s">
        <v>204</v>
      </c>
      <c r="C99" s="13" t="s">
        <v>192</v>
      </c>
      <c r="D99" s="74">
        <v>1.2427445716796519</v>
      </c>
      <c r="E99" s="74">
        <v>1.159728829328408</v>
      </c>
      <c r="F99" s="74">
        <v>1.2377463732023195</v>
      </c>
      <c r="G99" s="74">
        <v>1.3718591751121358</v>
      </c>
      <c r="H99" s="74">
        <v>1.1651351202961848</v>
      </c>
      <c r="I99" s="74">
        <v>1.4803109281125861</v>
      </c>
      <c r="J99" s="74">
        <v>1.3382170996719431</v>
      </c>
      <c r="K99" s="74">
        <v>1.4012912386103387</v>
      </c>
      <c r="L99" s="74">
        <v>1.53937948579725</v>
      </c>
      <c r="M99" s="74">
        <v>1.4293584050379637</v>
      </c>
      <c r="N99" s="74">
        <v>1.384064718679231</v>
      </c>
      <c r="O99" s="74">
        <v>1.3106163027759274</v>
      </c>
      <c r="P99" s="74">
        <v>1</v>
      </c>
    </row>
    <row r="100" spans="2:51" x14ac:dyDescent="0.3">
      <c r="B100" s="295"/>
      <c r="C100" s="12" t="s">
        <v>193</v>
      </c>
      <c r="D100" s="76">
        <v>1.1621081487892564</v>
      </c>
      <c r="E100" s="76">
        <v>1.205636197497099</v>
      </c>
      <c r="F100" s="76">
        <v>1.2503142866144539</v>
      </c>
      <c r="G100" s="76">
        <v>1.136851651101652</v>
      </c>
      <c r="H100" s="76">
        <v>1.1642695048035685</v>
      </c>
      <c r="I100" s="76">
        <v>1.5347787730155933</v>
      </c>
      <c r="J100" s="76">
        <v>1.1592413787664586</v>
      </c>
      <c r="K100" s="76">
        <v>1.3311681916379907</v>
      </c>
      <c r="L100" s="76">
        <v>1.582141087054918</v>
      </c>
      <c r="M100" s="76">
        <v>1.4128871642485534</v>
      </c>
      <c r="N100" s="76">
        <v>1.2906289361465193</v>
      </c>
      <c r="O100" s="76">
        <v>1.202594458321522</v>
      </c>
      <c r="P100" s="76">
        <v>2.1650246319903603</v>
      </c>
    </row>
    <row r="101" spans="2:51" x14ac:dyDescent="0.3">
      <c r="B101" s="291" t="s">
        <v>209</v>
      </c>
      <c r="C101" s="13" t="s">
        <v>205</v>
      </c>
      <c r="D101" s="74">
        <v>1.2404914709590118</v>
      </c>
      <c r="E101" s="74">
        <v>1.31497344546638</v>
      </c>
      <c r="F101" s="74">
        <v>1.2788110286598844</v>
      </c>
      <c r="G101" s="74">
        <v>1.3501830864585789</v>
      </c>
      <c r="H101" s="74">
        <v>1.1911932923338349</v>
      </c>
      <c r="I101" s="74">
        <v>1.5089951914072239</v>
      </c>
      <c r="J101" s="74">
        <v>1.3387570863822977</v>
      </c>
      <c r="K101" s="74">
        <v>1.8492997553545063</v>
      </c>
      <c r="L101" s="74">
        <v>1.9027245886424853</v>
      </c>
      <c r="M101" s="74">
        <v>1.6252940889524194</v>
      </c>
      <c r="N101" s="74">
        <v>1.478654956576813</v>
      </c>
      <c r="O101" s="74">
        <v>1.4008428957864836</v>
      </c>
      <c r="P101" s="74">
        <v>2.9792852071649127</v>
      </c>
    </row>
    <row r="102" spans="2:51" x14ac:dyDescent="0.3">
      <c r="B102" s="292"/>
      <c r="C102" s="9" t="s">
        <v>206</v>
      </c>
      <c r="D102" s="72">
        <v>1.1781335212768438</v>
      </c>
      <c r="E102" s="72">
        <v>1.2651435353427392</v>
      </c>
      <c r="F102" s="72">
        <v>1.3567153025051206</v>
      </c>
      <c r="G102" s="72">
        <v>1.2174031341346612</v>
      </c>
      <c r="H102" s="72">
        <v>1.1913545907435668</v>
      </c>
      <c r="I102" s="72">
        <v>1.5790395297597928</v>
      </c>
      <c r="J102" s="72">
        <v>1.1480845818879422</v>
      </c>
      <c r="K102" s="72">
        <v>1.4209896891798302</v>
      </c>
      <c r="L102" s="72">
        <v>1.5853101109372032</v>
      </c>
      <c r="M102" s="72">
        <v>1.3365031168571417</v>
      </c>
      <c r="N102" s="72">
        <v>1.3572834860013898</v>
      </c>
      <c r="O102" s="72">
        <v>1.2921407636656232</v>
      </c>
      <c r="P102" s="72">
        <v>1</v>
      </c>
    </row>
    <row r="103" spans="2:51" x14ac:dyDescent="0.3">
      <c r="B103" s="292"/>
      <c r="C103" s="9" t="s">
        <v>207</v>
      </c>
      <c r="D103" s="72">
        <v>1.1870795742193851</v>
      </c>
      <c r="E103" s="72">
        <v>1.103665793263966</v>
      </c>
      <c r="F103" s="72">
        <v>1.2410181043542829</v>
      </c>
      <c r="G103" s="72">
        <v>1.2618521230236623</v>
      </c>
      <c r="H103" s="72">
        <v>1.1212248092934525</v>
      </c>
      <c r="I103" s="72">
        <v>1.5149381422909893</v>
      </c>
      <c r="J103" s="72">
        <v>1.2097209294894613</v>
      </c>
      <c r="K103" s="72">
        <v>1.3053699477935872</v>
      </c>
      <c r="L103" s="72">
        <v>1.4661239683411591</v>
      </c>
      <c r="M103" s="72">
        <v>1.4143098885243814</v>
      </c>
      <c r="N103" s="72">
        <v>1.2472070485836508</v>
      </c>
      <c r="O103" s="72">
        <v>1.2410678895593543</v>
      </c>
      <c r="P103" s="72">
        <v>1</v>
      </c>
    </row>
    <row r="104" spans="2:51" x14ac:dyDescent="0.3">
      <c r="B104" s="293"/>
      <c r="C104" s="25" t="s">
        <v>208</v>
      </c>
      <c r="D104" s="78">
        <v>1.2383195714272937</v>
      </c>
      <c r="E104" s="78">
        <v>1.1791575179642961</v>
      </c>
      <c r="F104" s="78">
        <v>1.1990162588492219</v>
      </c>
      <c r="G104" s="78">
        <v>1.248036688069488</v>
      </c>
      <c r="H104" s="78">
        <v>1.1815235442280811</v>
      </c>
      <c r="I104" s="78">
        <v>1.4488521419971969</v>
      </c>
      <c r="J104" s="78">
        <v>1.3483135092771279</v>
      </c>
      <c r="K104" s="78">
        <v>1.2437809242402516</v>
      </c>
      <c r="L104" s="78">
        <v>1.4881086268662773</v>
      </c>
      <c r="M104" s="78">
        <v>1.4044593267671828</v>
      </c>
      <c r="N104" s="78">
        <v>1.3555854930635878</v>
      </c>
      <c r="O104" s="78">
        <v>1.1604726396061138</v>
      </c>
      <c r="P104" s="78">
        <v>1</v>
      </c>
    </row>
    <row r="105" spans="2:51" x14ac:dyDescent="0.3">
      <c r="B105" s="60"/>
      <c r="C105" s="9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</row>
    <row r="106" spans="2:51" x14ac:dyDescent="0.3">
      <c r="B106" s="60"/>
      <c r="C106" s="9"/>
      <c r="D106" s="58"/>
      <c r="E106" s="58"/>
      <c r="F106" s="65"/>
      <c r="G106" s="58"/>
      <c r="H106" s="65"/>
      <c r="I106" s="58"/>
      <c r="J106" s="58"/>
      <c r="K106" s="58"/>
      <c r="L106" s="65"/>
      <c r="M106" s="58"/>
      <c r="N106" s="58"/>
    </row>
    <row r="107" spans="2:51" ht="18.75" customHeight="1" x14ac:dyDescent="0.3">
      <c r="B107" s="1" t="s">
        <v>135</v>
      </c>
      <c r="F107" s="304"/>
      <c r="G107" s="304"/>
      <c r="H107" s="304"/>
      <c r="I107" s="304"/>
      <c r="J107" s="304"/>
      <c r="K107" s="304"/>
      <c r="L107" s="304"/>
      <c r="M107" s="304"/>
      <c r="N107" s="304"/>
      <c r="O107" s="304"/>
      <c r="P107" s="304"/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  <c r="AA107" s="304"/>
      <c r="AB107" s="304"/>
      <c r="AC107" s="304"/>
      <c r="AD107" s="304"/>
      <c r="AE107" s="304"/>
      <c r="AF107" s="304"/>
      <c r="AG107" s="304"/>
      <c r="AH107" s="304"/>
      <c r="AI107" s="304"/>
      <c r="AJ107" s="304"/>
      <c r="AK107" s="304"/>
      <c r="AL107" s="304"/>
      <c r="AM107" s="304"/>
      <c r="AN107" s="304"/>
      <c r="AO107" s="304"/>
      <c r="AP107" s="304"/>
      <c r="AQ107" s="304"/>
      <c r="AR107" s="304"/>
      <c r="AS107" s="304"/>
      <c r="AT107" s="304"/>
      <c r="AU107" s="304"/>
      <c r="AV107" s="304"/>
      <c r="AW107" s="304"/>
      <c r="AX107" s="304"/>
      <c r="AY107" s="304"/>
    </row>
    <row r="108" spans="2:51" ht="13.5" customHeight="1" x14ac:dyDescent="0.3">
      <c r="M108" s="30"/>
      <c r="N108" s="30"/>
      <c r="O108" s="30"/>
      <c r="P108" s="30" t="s">
        <v>225</v>
      </c>
    </row>
    <row r="109" spans="2:51" ht="28.5" customHeight="1" x14ac:dyDescent="0.3">
      <c r="B109" s="305"/>
      <c r="C109" s="306"/>
      <c r="D109" s="226" t="s">
        <v>35</v>
      </c>
      <c r="E109" s="226" t="s">
        <v>280</v>
      </c>
      <c r="F109" s="226" t="s">
        <v>83</v>
      </c>
      <c r="G109" s="226" t="s">
        <v>286</v>
      </c>
      <c r="H109" s="226" t="s">
        <v>16</v>
      </c>
      <c r="I109" s="226" t="s">
        <v>14</v>
      </c>
      <c r="J109" s="226" t="s">
        <v>18</v>
      </c>
      <c r="K109" s="226" t="s">
        <v>230</v>
      </c>
      <c r="L109" s="226" t="s">
        <v>231</v>
      </c>
      <c r="M109" s="227" t="s">
        <v>284</v>
      </c>
      <c r="N109" s="227" t="s">
        <v>285</v>
      </c>
      <c r="O109" s="227" t="s">
        <v>19</v>
      </c>
      <c r="P109" s="227" t="s">
        <v>12</v>
      </c>
    </row>
    <row r="110" spans="2:51" x14ac:dyDescent="0.3">
      <c r="B110" s="292" t="s">
        <v>20</v>
      </c>
      <c r="C110" s="292"/>
      <c r="D110" s="86">
        <v>25.856938408133576</v>
      </c>
      <c r="E110" s="86">
        <v>19.902890380923939</v>
      </c>
      <c r="F110" s="88">
        <v>19.146404598609031</v>
      </c>
      <c r="G110" s="86">
        <v>20.706208902864198</v>
      </c>
      <c r="H110" s="88">
        <v>16.317406652373329</v>
      </c>
      <c r="I110" s="86">
        <v>8.8926862515134353</v>
      </c>
      <c r="J110" s="86">
        <v>8.6809730657953512</v>
      </c>
      <c r="K110" s="86">
        <v>7.7761979647941812</v>
      </c>
      <c r="L110" s="88">
        <v>9.0763801376163862</v>
      </c>
      <c r="M110" s="86">
        <v>11.324023146339934</v>
      </c>
      <c r="N110" s="86">
        <v>9.754208369619942</v>
      </c>
      <c r="O110" s="86">
        <v>15.076759683710076</v>
      </c>
      <c r="P110" s="86">
        <v>7.6726204497345529</v>
      </c>
    </row>
    <row r="111" spans="2:51" x14ac:dyDescent="0.3">
      <c r="B111" s="296" t="s">
        <v>5</v>
      </c>
      <c r="C111" s="13" t="s">
        <v>0</v>
      </c>
      <c r="D111" s="84">
        <v>27.077673155217088</v>
      </c>
      <c r="E111" s="84">
        <v>18.369537946215985</v>
      </c>
      <c r="F111" s="89">
        <v>20.830982564106026</v>
      </c>
      <c r="G111" s="84">
        <v>24.573725063510199</v>
      </c>
      <c r="H111" s="89">
        <v>18.602777731243034</v>
      </c>
      <c r="I111" s="84">
        <v>10.607090449647979</v>
      </c>
      <c r="J111" s="84">
        <v>10.570320202905895</v>
      </c>
      <c r="K111" s="84">
        <v>16.822321690165875</v>
      </c>
      <c r="L111" s="89">
        <v>7.7587597047072174</v>
      </c>
      <c r="M111" s="84">
        <v>11.544680857951501</v>
      </c>
      <c r="N111" s="84">
        <v>12.381257783791641</v>
      </c>
      <c r="O111" s="84">
        <v>18.457494514691994</v>
      </c>
      <c r="P111" s="84">
        <v>24.499999999999996</v>
      </c>
    </row>
    <row r="112" spans="2:51" x14ac:dyDescent="0.3">
      <c r="B112" s="295"/>
      <c r="C112" s="12" t="s">
        <v>1</v>
      </c>
      <c r="D112" s="90">
        <v>25.734361704740426</v>
      </c>
      <c r="E112" s="90">
        <v>20.149194526090444</v>
      </c>
      <c r="F112" s="90">
        <v>18.777074782829505</v>
      </c>
      <c r="G112" s="90">
        <v>19.59697098307587</v>
      </c>
      <c r="H112" s="90">
        <v>16.130811572514332</v>
      </c>
      <c r="I112" s="90">
        <v>8.7025168243273576</v>
      </c>
      <c r="J112" s="90">
        <v>8.4587263943490623</v>
      </c>
      <c r="K112" s="90">
        <v>6.8088197638506962</v>
      </c>
      <c r="L112" s="90">
        <v>9.1895975702651942</v>
      </c>
      <c r="M112" s="90">
        <v>11.30720543138875</v>
      </c>
      <c r="N112" s="90">
        <v>9.534599567391254</v>
      </c>
      <c r="O112" s="90">
        <v>14.788859565054757</v>
      </c>
      <c r="P112" s="90">
        <v>4.9028449298565002</v>
      </c>
    </row>
    <row r="113" spans="2:16" x14ac:dyDescent="0.3">
      <c r="B113" s="296" t="s">
        <v>4</v>
      </c>
      <c r="C113" s="9" t="s">
        <v>175</v>
      </c>
      <c r="D113" s="86">
        <v>8.5807514255199653</v>
      </c>
      <c r="E113" s="86">
        <v>18.413601736254257</v>
      </c>
      <c r="F113" s="88">
        <v>21.008080946636703</v>
      </c>
      <c r="G113" s="86">
        <v>15.761577983736988</v>
      </c>
      <c r="H113" s="88">
        <v>6.1487259022025116</v>
      </c>
      <c r="I113" s="86">
        <v>4.6729228015033604</v>
      </c>
      <c r="J113" s="86">
        <v>6.5482543228179271</v>
      </c>
      <c r="K113" s="86">
        <v>2.8126345314790715</v>
      </c>
      <c r="L113" s="88">
        <v>3.3849808328686342</v>
      </c>
      <c r="M113" s="86">
        <v>3.6391019013150432</v>
      </c>
      <c r="N113" s="86">
        <v>3.968396165699084</v>
      </c>
      <c r="O113" s="86">
        <v>7.7310622093631691</v>
      </c>
      <c r="P113" s="86">
        <v>5</v>
      </c>
    </row>
    <row r="114" spans="2:16" x14ac:dyDescent="0.3">
      <c r="B114" s="292"/>
      <c r="C114" s="9" t="s">
        <v>176</v>
      </c>
      <c r="D114" s="86">
        <v>25.367085258315079</v>
      </c>
      <c r="E114" s="86">
        <v>20.663776787565475</v>
      </c>
      <c r="F114" s="88">
        <v>14.506280566343561</v>
      </c>
      <c r="G114" s="86">
        <v>13.87276165856405</v>
      </c>
      <c r="H114" s="88">
        <v>13.473813813784364</v>
      </c>
      <c r="I114" s="86">
        <v>7.4220175569024214</v>
      </c>
      <c r="J114" s="86">
        <v>8.2264400808663822</v>
      </c>
      <c r="K114" s="86">
        <v>6.7794983614307238</v>
      </c>
      <c r="L114" s="88">
        <v>9.6889254705425998</v>
      </c>
      <c r="M114" s="86">
        <v>17.830215391344016</v>
      </c>
      <c r="N114" s="86">
        <v>11.51635597863687</v>
      </c>
      <c r="O114" s="86">
        <v>15.373363541668025</v>
      </c>
      <c r="P114" s="86">
        <v>14.899999999999999</v>
      </c>
    </row>
    <row r="115" spans="2:16" x14ac:dyDescent="0.3">
      <c r="B115" s="292"/>
      <c r="C115" s="9" t="s">
        <v>177</v>
      </c>
      <c r="D115" s="86">
        <v>21.400328301792541</v>
      </c>
      <c r="E115" s="86">
        <v>17.042405323532645</v>
      </c>
      <c r="F115" s="88">
        <v>14.107821851767914</v>
      </c>
      <c r="G115" s="86">
        <v>24.54788518686707</v>
      </c>
      <c r="H115" s="88">
        <v>14.779798628036618</v>
      </c>
      <c r="I115" s="86">
        <v>11.052171627712031</v>
      </c>
      <c r="J115" s="86">
        <v>9.1033141558561592</v>
      </c>
      <c r="K115" s="86">
        <v>7.5088294559986632</v>
      </c>
      <c r="L115" s="88">
        <v>11.44629853021299</v>
      </c>
      <c r="M115" s="86">
        <v>6.3830719286291862</v>
      </c>
      <c r="N115" s="86">
        <v>11.205719827070787</v>
      </c>
      <c r="O115" s="86">
        <v>14.394408117282858</v>
      </c>
      <c r="P115" s="86">
        <v>1.5</v>
      </c>
    </row>
    <row r="116" spans="2:16" x14ac:dyDescent="0.3">
      <c r="B116" s="292"/>
      <c r="C116" s="9" t="s">
        <v>178</v>
      </c>
      <c r="D116" s="86">
        <v>31.991646270836274</v>
      </c>
      <c r="E116" s="86">
        <v>21.852835741468947</v>
      </c>
      <c r="F116" s="88">
        <v>24.575646946045509</v>
      </c>
      <c r="G116" s="86">
        <v>22.359271347851845</v>
      </c>
      <c r="H116" s="88">
        <v>16.780651823554056</v>
      </c>
      <c r="I116" s="86">
        <v>7.6096470570947643</v>
      </c>
      <c r="J116" s="86">
        <v>9.548510175202491</v>
      </c>
      <c r="K116" s="86">
        <v>5.5148779893681468</v>
      </c>
      <c r="L116" s="88">
        <v>7.431507763249634</v>
      </c>
      <c r="M116" s="86">
        <v>10.309189286356254</v>
      </c>
      <c r="N116" s="86">
        <v>8.3890166723049937</v>
      </c>
      <c r="O116" s="86">
        <v>9.2220157431884822</v>
      </c>
      <c r="P116" s="86">
        <v>4</v>
      </c>
    </row>
    <row r="117" spans="2:16" x14ac:dyDescent="0.3">
      <c r="B117" s="292"/>
      <c r="C117" s="9" t="s">
        <v>179</v>
      </c>
      <c r="D117" s="86">
        <v>34.398684658101175</v>
      </c>
      <c r="E117" s="86">
        <v>25.893065851221845</v>
      </c>
      <c r="F117" s="88">
        <v>20.717437167353001</v>
      </c>
      <c r="G117" s="86">
        <v>29.566241692304544</v>
      </c>
      <c r="H117" s="88">
        <v>20.119492888472038</v>
      </c>
      <c r="I117" s="86">
        <v>9.9992797146640164</v>
      </c>
      <c r="J117" s="86">
        <v>9.2494317326097857</v>
      </c>
      <c r="K117" s="86">
        <v>12.826704496425283</v>
      </c>
      <c r="L117" s="88">
        <v>10.190659907211685</v>
      </c>
      <c r="M117" s="86">
        <v>13.449403178045893</v>
      </c>
      <c r="N117" s="86">
        <v>11.478472919634358</v>
      </c>
      <c r="O117" s="86">
        <v>18.521763691618517</v>
      </c>
      <c r="P117" s="86">
        <v>4</v>
      </c>
    </row>
    <row r="118" spans="2:16" x14ac:dyDescent="0.3">
      <c r="B118" s="298"/>
      <c r="C118" s="12" t="s">
        <v>180</v>
      </c>
      <c r="D118" s="90">
        <v>19.211924895276823</v>
      </c>
      <c r="E118" s="90">
        <v>14.091173049319883</v>
      </c>
      <c r="F118" s="91">
        <v>17.981430712110186</v>
      </c>
      <c r="G118" s="90">
        <v>16.424873445905433</v>
      </c>
      <c r="H118" s="91">
        <v>18.193877459315846</v>
      </c>
      <c r="I118" s="90">
        <v>10.071368489461925</v>
      </c>
      <c r="J118" s="90">
        <v>7.5767543391673433</v>
      </c>
      <c r="K118" s="90">
        <v>8.2843968066362326</v>
      </c>
      <c r="L118" s="91">
        <v>8.9274449357262764</v>
      </c>
      <c r="M118" s="90">
        <v>10.242605489825586</v>
      </c>
      <c r="N118" s="90">
        <v>7.9645498563123063</v>
      </c>
      <c r="O118" s="90">
        <v>17.723406411127225</v>
      </c>
      <c r="P118" s="90">
        <v>11.651118830881833</v>
      </c>
    </row>
    <row r="119" spans="2:16" x14ac:dyDescent="0.3">
      <c r="B119" s="292" t="s">
        <v>223</v>
      </c>
      <c r="C119" s="9" t="s">
        <v>210</v>
      </c>
      <c r="D119" s="86">
        <v>6</v>
      </c>
      <c r="E119" s="86">
        <v>46.370000000000005</v>
      </c>
      <c r="F119" s="88">
        <v>0</v>
      </c>
      <c r="G119" s="86">
        <v>0</v>
      </c>
      <c r="H119" s="88">
        <v>0</v>
      </c>
      <c r="I119" s="86">
        <v>2.2999999999999998</v>
      </c>
      <c r="J119" s="86">
        <v>0</v>
      </c>
      <c r="K119" s="86">
        <v>3.4</v>
      </c>
      <c r="L119" s="88">
        <v>0</v>
      </c>
      <c r="M119" s="86">
        <v>0</v>
      </c>
      <c r="N119" s="86">
        <v>0</v>
      </c>
      <c r="O119" s="86">
        <v>0</v>
      </c>
      <c r="P119" s="86">
        <v>0</v>
      </c>
    </row>
    <row r="120" spans="2:16" x14ac:dyDescent="0.3">
      <c r="B120" s="292"/>
      <c r="C120" s="9" t="s">
        <v>211</v>
      </c>
      <c r="D120" s="86">
        <v>18.619997639419012</v>
      </c>
      <c r="E120" s="86">
        <v>8.8527152701973399</v>
      </c>
      <c r="F120" s="88">
        <v>11.717136692081638</v>
      </c>
      <c r="G120" s="86">
        <v>4.6730469174794518</v>
      </c>
      <c r="H120" s="88">
        <v>13.745479327042759</v>
      </c>
      <c r="I120" s="86">
        <v>5.6047421573454157</v>
      </c>
      <c r="J120" s="86">
        <v>0</v>
      </c>
      <c r="K120" s="86">
        <v>7.877830030701598</v>
      </c>
      <c r="L120" s="88">
        <v>3.7936382586188584</v>
      </c>
      <c r="M120" s="86">
        <v>6.6387609641228194</v>
      </c>
      <c r="N120" s="86">
        <v>7</v>
      </c>
      <c r="O120" s="86">
        <v>7</v>
      </c>
      <c r="P120" s="86">
        <v>0</v>
      </c>
    </row>
    <row r="121" spans="2:16" x14ac:dyDescent="0.3">
      <c r="B121" s="292"/>
      <c r="C121" s="9" t="s">
        <v>212</v>
      </c>
      <c r="D121" s="86">
        <v>12.739187816705041</v>
      </c>
      <c r="E121" s="86">
        <v>13.272008548342207</v>
      </c>
      <c r="F121" s="88">
        <v>21.644837167195757</v>
      </c>
      <c r="G121" s="86">
        <v>25.574729621853141</v>
      </c>
      <c r="H121" s="88">
        <v>31.380348281856669</v>
      </c>
      <c r="I121" s="86">
        <v>9.2044609665427526</v>
      </c>
      <c r="J121" s="86">
        <v>10.68031855373915</v>
      </c>
      <c r="K121" s="86">
        <v>31</v>
      </c>
      <c r="L121" s="88">
        <v>8.4735954337465955</v>
      </c>
      <c r="M121" s="86">
        <v>10</v>
      </c>
      <c r="N121" s="86">
        <v>9.407696466799246</v>
      </c>
      <c r="O121" s="86">
        <v>0</v>
      </c>
      <c r="P121" s="86">
        <v>0</v>
      </c>
    </row>
    <row r="122" spans="2:16" x14ac:dyDescent="0.3">
      <c r="B122" s="292"/>
      <c r="C122" s="9" t="s">
        <v>213</v>
      </c>
      <c r="D122" s="86">
        <v>34.252358790173048</v>
      </c>
      <c r="E122" s="86">
        <v>12.351735755081</v>
      </c>
      <c r="F122" s="88">
        <v>19.877483022600082</v>
      </c>
      <c r="G122" s="86">
        <v>24.461523342818644</v>
      </c>
      <c r="H122" s="88">
        <v>16.367346650550516</v>
      </c>
      <c r="I122" s="86">
        <v>11.062272056497596</v>
      </c>
      <c r="J122" s="86">
        <v>10.747226611460484</v>
      </c>
      <c r="K122" s="86">
        <v>0</v>
      </c>
      <c r="L122" s="88">
        <v>6.4581151987236227</v>
      </c>
      <c r="M122" s="86">
        <v>10.855033942095375</v>
      </c>
      <c r="N122" s="86">
        <v>9.49297393862342</v>
      </c>
      <c r="O122" s="86">
        <v>8.9248449077236067</v>
      </c>
      <c r="P122" s="86">
        <v>0</v>
      </c>
    </row>
    <row r="123" spans="2:16" x14ac:dyDescent="0.3">
      <c r="B123" s="292"/>
      <c r="C123" s="9" t="s">
        <v>214</v>
      </c>
      <c r="D123" s="86">
        <v>24.447979366698483</v>
      </c>
      <c r="E123" s="86">
        <v>25.551461673156645</v>
      </c>
      <c r="F123" s="88">
        <v>24.360268362494288</v>
      </c>
      <c r="G123" s="86">
        <v>35.354629208767705</v>
      </c>
      <c r="H123" s="88">
        <v>19.343753132802547</v>
      </c>
      <c r="I123" s="86">
        <v>9.9258697340955884</v>
      </c>
      <c r="J123" s="86">
        <v>4.7711674018046448</v>
      </c>
      <c r="K123" s="86">
        <v>29.290540454781112</v>
      </c>
      <c r="L123" s="88">
        <v>9.3316004757849029</v>
      </c>
      <c r="M123" s="86">
        <v>11.88825188784903</v>
      </c>
      <c r="N123" s="86">
        <v>16.931422249035631</v>
      </c>
      <c r="O123" s="86">
        <v>13.438454118386025</v>
      </c>
      <c r="P123" s="86">
        <v>0</v>
      </c>
    </row>
    <row r="124" spans="2:16" x14ac:dyDescent="0.3">
      <c r="B124" s="292"/>
      <c r="C124" s="12" t="s">
        <v>215</v>
      </c>
      <c r="D124" s="90">
        <v>46.905955590709084</v>
      </c>
      <c r="E124" s="90">
        <v>19.891995268784935</v>
      </c>
      <c r="F124" s="91">
        <v>21.438297250141947</v>
      </c>
      <c r="G124" s="90">
        <v>21.592657872797261</v>
      </c>
      <c r="H124" s="91">
        <v>12.36510572162948</v>
      </c>
      <c r="I124" s="90">
        <v>15.770850175705451</v>
      </c>
      <c r="J124" s="90">
        <v>15.557856427088167</v>
      </c>
      <c r="K124" s="90">
        <v>10</v>
      </c>
      <c r="L124" s="91">
        <v>6.5297292748471802</v>
      </c>
      <c r="M124" s="90">
        <v>17.993174061433443</v>
      </c>
      <c r="N124" s="90">
        <v>5</v>
      </c>
      <c r="O124" s="90">
        <v>36.560668804110229</v>
      </c>
      <c r="P124" s="90">
        <v>24.499999999999996</v>
      </c>
    </row>
    <row r="125" spans="2:16" x14ac:dyDescent="0.3">
      <c r="B125" s="292"/>
      <c r="C125" s="9" t="s">
        <v>216</v>
      </c>
      <c r="D125" s="86">
        <v>8.9395414248528038</v>
      </c>
      <c r="E125" s="86">
        <v>15.589863734221741</v>
      </c>
      <c r="F125" s="88">
        <v>21.008080946636703</v>
      </c>
      <c r="G125" s="86">
        <v>15.761577983736988</v>
      </c>
      <c r="H125" s="88">
        <v>6.1487259022025116</v>
      </c>
      <c r="I125" s="86">
        <v>4.7270282269778852</v>
      </c>
      <c r="J125" s="86">
        <v>6.5482543228179271</v>
      </c>
      <c r="K125" s="86">
        <v>2.7155144790694297</v>
      </c>
      <c r="L125" s="88">
        <v>3.3849808328686342</v>
      </c>
      <c r="M125" s="86">
        <v>3.6391019013150432</v>
      </c>
      <c r="N125" s="86">
        <v>3.968396165699084</v>
      </c>
      <c r="O125" s="86">
        <v>7.7310622093631691</v>
      </c>
      <c r="P125" s="86">
        <v>5</v>
      </c>
    </row>
    <row r="126" spans="2:16" x14ac:dyDescent="0.3">
      <c r="B126" s="292"/>
      <c r="C126" s="9" t="s">
        <v>217</v>
      </c>
      <c r="D126" s="86">
        <v>25.750946444045191</v>
      </c>
      <c r="E126" s="86">
        <v>22.538200378193025</v>
      </c>
      <c r="F126" s="88">
        <v>14.973853301687505</v>
      </c>
      <c r="G126" s="86">
        <v>15.162077146855543</v>
      </c>
      <c r="H126" s="88">
        <v>13.451666263922636</v>
      </c>
      <c r="I126" s="86">
        <v>7.573229370584099</v>
      </c>
      <c r="J126" s="86">
        <v>8.2264400808663822</v>
      </c>
      <c r="K126" s="86">
        <v>6.5650223871663957</v>
      </c>
      <c r="L126" s="88">
        <v>9.9227975501105963</v>
      </c>
      <c r="M126" s="86">
        <v>18.828192558522879</v>
      </c>
      <c r="N126" s="86">
        <v>11.648908794784917</v>
      </c>
      <c r="O126" s="86">
        <v>15.594016978295098</v>
      </c>
      <c r="P126" s="86">
        <v>14.899999999999999</v>
      </c>
    </row>
    <row r="127" spans="2:16" x14ac:dyDescent="0.3">
      <c r="B127" s="292"/>
      <c r="C127" s="9" t="s">
        <v>218</v>
      </c>
      <c r="D127" s="86">
        <v>22.402586613506738</v>
      </c>
      <c r="E127" s="86">
        <v>17.66316488342801</v>
      </c>
      <c r="F127" s="88">
        <v>13.446836181229148</v>
      </c>
      <c r="G127" s="86">
        <v>24.292383205526765</v>
      </c>
      <c r="H127" s="88">
        <v>13.665425567219561</v>
      </c>
      <c r="I127" s="86">
        <v>11.215009452249628</v>
      </c>
      <c r="J127" s="86">
        <v>8.9205923844002779</v>
      </c>
      <c r="K127" s="86">
        <v>4.9043588546248387</v>
      </c>
      <c r="L127" s="88">
        <v>11.649446881169796</v>
      </c>
      <c r="M127" s="86">
        <v>6.2531589211372918</v>
      </c>
      <c r="N127" s="86">
        <v>11.462976490819575</v>
      </c>
      <c r="O127" s="86">
        <v>14.394408117282858</v>
      </c>
      <c r="P127" s="86">
        <v>1.5</v>
      </c>
    </row>
    <row r="128" spans="2:16" x14ac:dyDescent="0.3">
      <c r="B128" s="292"/>
      <c r="C128" s="9" t="s">
        <v>219</v>
      </c>
      <c r="D128" s="86">
        <v>31.761174866532592</v>
      </c>
      <c r="E128" s="86">
        <v>22.679229470929791</v>
      </c>
      <c r="F128" s="88">
        <v>25.488068921274241</v>
      </c>
      <c r="G128" s="86">
        <v>21.31642583924814</v>
      </c>
      <c r="H128" s="88">
        <v>16.818828934999086</v>
      </c>
      <c r="I128" s="86">
        <v>7.3518802323933814</v>
      </c>
      <c r="J128" s="86">
        <v>9.2816885733713566</v>
      </c>
      <c r="K128" s="86">
        <v>5.5148779893681468</v>
      </c>
      <c r="L128" s="88">
        <v>7.5099291770575807</v>
      </c>
      <c r="M128" s="86">
        <v>10.289794717841049</v>
      </c>
      <c r="N128" s="86">
        <v>8.3359735157851063</v>
      </c>
      <c r="O128" s="86">
        <v>9.2534565399511468</v>
      </c>
      <c r="P128" s="86">
        <v>4</v>
      </c>
    </row>
    <row r="129" spans="2:16" x14ac:dyDescent="0.3">
      <c r="B129" s="292"/>
      <c r="C129" s="9" t="s">
        <v>220</v>
      </c>
      <c r="D129" s="86">
        <v>36.111102233891941</v>
      </c>
      <c r="E129" s="86">
        <v>26.005490757807266</v>
      </c>
      <c r="F129" s="88">
        <v>19.468210566016953</v>
      </c>
      <c r="G129" s="86">
        <v>27.137418931621148</v>
      </c>
      <c r="H129" s="88">
        <v>20.222051454427849</v>
      </c>
      <c r="I129" s="86">
        <v>10.014772390015313</v>
      </c>
      <c r="J129" s="86">
        <v>9.8559952285302206</v>
      </c>
      <c r="K129" s="86">
        <v>9.9139770588414446</v>
      </c>
      <c r="L129" s="88">
        <v>10.364580223437919</v>
      </c>
      <c r="M129" s="86">
        <v>13.748651159378698</v>
      </c>
      <c r="N129" s="86">
        <v>10.217697776239135</v>
      </c>
      <c r="O129" s="86">
        <v>19.384181177994016</v>
      </c>
      <c r="P129" s="86">
        <v>4</v>
      </c>
    </row>
    <row r="130" spans="2:16" x14ac:dyDescent="0.3">
      <c r="B130" s="295"/>
      <c r="C130" s="9" t="s">
        <v>221</v>
      </c>
      <c r="D130" s="90">
        <v>16.973064487338512</v>
      </c>
      <c r="E130" s="90">
        <v>13.526568213318315</v>
      </c>
      <c r="F130" s="91">
        <v>17.043544477944209</v>
      </c>
      <c r="G130" s="90">
        <v>15.17069573046494</v>
      </c>
      <c r="H130" s="91">
        <v>18.431249373000856</v>
      </c>
      <c r="I130" s="90">
        <v>9.3440534924317351</v>
      </c>
      <c r="J130" s="90">
        <v>5.8178078717711079</v>
      </c>
      <c r="K130" s="90">
        <v>8.1839092945581466</v>
      </c>
      <c r="L130" s="91">
        <v>9.0873775530706524</v>
      </c>
      <c r="M130" s="90">
        <v>9.4786526726926059</v>
      </c>
      <c r="N130" s="90">
        <v>8.0893035154327624</v>
      </c>
      <c r="O130" s="90">
        <v>15.622447418504875</v>
      </c>
      <c r="P130" s="90">
        <v>1.2</v>
      </c>
    </row>
    <row r="131" spans="2:16" ht="16.5" customHeight="1" x14ac:dyDescent="0.3">
      <c r="B131" s="291" t="s">
        <v>222</v>
      </c>
      <c r="C131" s="13" t="s">
        <v>226</v>
      </c>
      <c r="D131" s="80">
        <v>16.592532263783909</v>
      </c>
      <c r="E131" s="80">
        <v>14.052230698060912</v>
      </c>
      <c r="F131" s="80">
        <v>15.463624096631829</v>
      </c>
      <c r="G131" s="80">
        <v>13.136309388371483</v>
      </c>
      <c r="H131" s="80">
        <v>12.214242805939671</v>
      </c>
      <c r="I131" s="80">
        <v>7.7970099599274176</v>
      </c>
      <c r="J131" s="80">
        <v>7.8972158284811371</v>
      </c>
      <c r="K131" s="80">
        <v>5.2172066701122235</v>
      </c>
      <c r="L131" s="80">
        <v>6.7270897882348448</v>
      </c>
      <c r="M131" s="80">
        <v>6.2784826414704193</v>
      </c>
      <c r="N131" s="80">
        <v>5.7654735233487608</v>
      </c>
      <c r="O131" s="80">
        <v>11.367009699581091</v>
      </c>
      <c r="P131" s="80">
        <v>4</v>
      </c>
    </row>
    <row r="132" spans="2:16" ht="16.5" customHeight="1" x14ac:dyDescent="0.3">
      <c r="B132" s="294"/>
      <c r="C132" s="9" t="s">
        <v>227</v>
      </c>
      <c r="D132" s="79">
        <v>23.558525118029088</v>
      </c>
      <c r="E132" s="79">
        <v>21.142943386577024</v>
      </c>
      <c r="F132" s="79">
        <v>15.10632341574496</v>
      </c>
      <c r="G132" s="79">
        <v>18.011670918881979</v>
      </c>
      <c r="H132" s="79">
        <v>12.982392657780306</v>
      </c>
      <c r="I132" s="79">
        <v>8.34395881922703</v>
      </c>
      <c r="J132" s="79">
        <v>8.8358192240575359</v>
      </c>
      <c r="K132" s="79">
        <v>7.843214983033362</v>
      </c>
      <c r="L132" s="79">
        <v>6.5756920770490686</v>
      </c>
      <c r="M132" s="79">
        <v>8.8058228628532191</v>
      </c>
      <c r="N132" s="79">
        <v>9.3519233461552354</v>
      </c>
      <c r="O132" s="79">
        <v>13.62999516356726</v>
      </c>
      <c r="P132" s="79">
        <v>7.8693108303356691</v>
      </c>
    </row>
    <row r="133" spans="2:16" ht="16.5" customHeight="1" x14ac:dyDescent="0.3">
      <c r="B133" s="292"/>
      <c r="C133" s="9" t="s">
        <v>228</v>
      </c>
      <c r="D133" s="79">
        <v>26.603752451928113</v>
      </c>
      <c r="E133" s="79">
        <v>18.873575981959569</v>
      </c>
      <c r="F133" s="79">
        <v>23.898463819934964</v>
      </c>
      <c r="G133" s="79">
        <v>20.508829964602054</v>
      </c>
      <c r="H133" s="79">
        <v>16.121276950803214</v>
      </c>
      <c r="I133" s="79">
        <v>9.5765316391573307</v>
      </c>
      <c r="J133" s="79">
        <v>5.9238580940793479</v>
      </c>
      <c r="K133" s="79">
        <v>5.0731208053218486</v>
      </c>
      <c r="L133" s="79">
        <v>8.7950897120008253</v>
      </c>
      <c r="M133" s="79">
        <v>14.018749917760976</v>
      </c>
      <c r="N133" s="79">
        <v>7.2305886851064578</v>
      </c>
      <c r="O133" s="79">
        <v>13.959797683477573</v>
      </c>
      <c r="P133" s="79">
        <v>14.899999999999999</v>
      </c>
    </row>
    <row r="134" spans="2:16" ht="16.5" customHeight="1" x14ac:dyDescent="0.3">
      <c r="B134" s="295"/>
      <c r="C134" s="12" t="s">
        <v>229</v>
      </c>
      <c r="D134" s="81">
        <v>35.780929569723334</v>
      </c>
      <c r="E134" s="81">
        <v>25.117464496330498</v>
      </c>
      <c r="F134" s="81">
        <v>21.248577897780109</v>
      </c>
      <c r="G134" s="81">
        <v>28.634656537077998</v>
      </c>
      <c r="H134" s="81">
        <v>22.653708373385349</v>
      </c>
      <c r="I134" s="81">
        <v>9.9823973859409207</v>
      </c>
      <c r="J134" s="81">
        <v>11.213528842835194</v>
      </c>
      <c r="K134" s="81">
        <v>12.904913065315045</v>
      </c>
      <c r="L134" s="81">
        <v>12.542407935585675</v>
      </c>
      <c r="M134" s="81">
        <v>14.770856336310056</v>
      </c>
      <c r="N134" s="81">
        <v>14.678940694827967</v>
      </c>
      <c r="O134" s="81">
        <v>19.890703058222645</v>
      </c>
      <c r="P134" s="81">
        <v>5</v>
      </c>
    </row>
    <row r="135" spans="2:16" x14ac:dyDescent="0.3">
      <c r="B135" s="296" t="s">
        <v>199</v>
      </c>
      <c r="C135" s="13" t="s">
        <v>192</v>
      </c>
      <c r="D135" s="80">
        <v>26.537946386027357</v>
      </c>
      <c r="E135" s="80">
        <v>21.460782566008021</v>
      </c>
      <c r="F135" s="80">
        <v>19.798184960451263</v>
      </c>
      <c r="G135" s="80">
        <v>22.66195824603146</v>
      </c>
      <c r="H135" s="80">
        <v>16.517087419053659</v>
      </c>
      <c r="I135" s="80">
        <v>9.3594226389708197</v>
      </c>
      <c r="J135" s="80">
        <v>9.8631436930951892</v>
      </c>
      <c r="K135" s="80">
        <v>8.4759509624526483</v>
      </c>
      <c r="L135" s="80">
        <v>8.9513232252687729</v>
      </c>
      <c r="M135" s="80">
        <v>10.795744092403755</v>
      </c>
      <c r="N135" s="80">
        <v>9.927367423464128</v>
      </c>
      <c r="O135" s="80">
        <v>15.18698266006899</v>
      </c>
      <c r="P135" s="80">
        <v>11.527137662029832</v>
      </c>
    </row>
    <row r="136" spans="2:16" x14ac:dyDescent="0.3">
      <c r="B136" s="292"/>
      <c r="C136" s="9" t="s">
        <v>200</v>
      </c>
      <c r="D136" s="79">
        <v>27.825959976926896</v>
      </c>
      <c r="E136" s="79">
        <v>20.937575685744637</v>
      </c>
      <c r="F136" s="79">
        <v>16.131773599035505</v>
      </c>
      <c r="G136" s="79">
        <v>27.825554654481998</v>
      </c>
      <c r="H136" s="79">
        <v>15.103252763512049</v>
      </c>
      <c r="I136" s="79">
        <v>6.2045808112472827</v>
      </c>
      <c r="J136" s="79">
        <v>9.9427006220625795</v>
      </c>
      <c r="K136" s="79">
        <v>5</v>
      </c>
      <c r="L136" s="79">
        <v>7.2443180779663132</v>
      </c>
      <c r="M136" s="79">
        <v>11.34464769458096</v>
      </c>
      <c r="N136" s="79">
        <v>8.8243722616522646</v>
      </c>
      <c r="O136" s="79">
        <v>18.806815483327885</v>
      </c>
      <c r="P136" s="79">
        <v>4</v>
      </c>
    </row>
    <row r="137" spans="2:16" x14ac:dyDescent="0.3">
      <c r="B137" s="292"/>
      <c r="C137" s="9" t="s">
        <v>201</v>
      </c>
      <c r="D137" s="79">
        <v>33.801173573180726</v>
      </c>
      <c r="E137" s="79">
        <v>24.871356436760639</v>
      </c>
      <c r="F137" s="79">
        <v>21.762224445952288</v>
      </c>
      <c r="G137" s="79">
        <v>18.301895008353359</v>
      </c>
      <c r="H137" s="79">
        <v>16.668866271624463</v>
      </c>
      <c r="I137" s="79">
        <v>6.9052443730043453</v>
      </c>
      <c r="J137" s="79">
        <v>4.9930666345367625</v>
      </c>
      <c r="K137" s="79">
        <v>8.0819965784847181</v>
      </c>
      <c r="L137" s="79">
        <v>11.873278666084115</v>
      </c>
      <c r="M137" s="79">
        <v>8.9746897620736394</v>
      </c>
      <c r="N137" s="79">
        <v>11.031802890727111</v>
      </c>
      <c r="O137" s="79">
        <v>17.787213565811445</v>
      </c>
      <c r="P137" s="79">
        <v>1.2</v>
      </c>
    </row>
    <row r="138" spans="2:16" x14ac:dyDescent="0.3">
      <c r="B138" s="292"/>
      <c r="C138" s="9" t="s">
        <v>202</v>
      </c>
      <c r="D138" s="79">
        <v>20.363416518844087</v>
      </c>
      <c r="E138" s="79">
        <v>15.878854808495833</v>
      </c>
      <c r="F138" s="79">
        <v>21.941337771350529</v>
      </c>
      <c r="G138" s="79">
        <v>20.136292196124327</v>
      </c>
      <c r="H138" s="79">
        <v>16.084098425805141</v>
      </c>
      <c r="I138" s="79">
        <v>11.006947099546915</v>
      </c>
      <c r="J138" s="79">
        <v>7.6660409873454762</v>
      </c>
      <c r="K138" s="79">
        <v>7.9171235229596189</v>
      </c>
      <c r="L138" s="79">
        <v>9.0543237612469145</v>
      </c>
      <c r="M138" s="79">
        <v>12.770205709954853</v>
      </c>
      <c r="N138" s="79">
        <v>13.499664292998082</v>
      </c>
      <c r="O138" s="79">
        <v>15.270901999729498</v>
      </c>
      <c r="P138" s="79">
        <v>4</v>
      </c>
    </row>
    <row r="139" spans="2:16" ht="16.5" customHeight="1" x14ac:dyDescent="0.3">
      <c r="B139" s="295"/>
      <c r="C139" s="12" t="s">
        <v>203</v>
      </c>
      <c r="D139" s="81">
        <v>23.12315026630737</v>
      </c>
      <c r="E139" s="81">
        <v>15.586800484751338</v>
      </c>
      <c r="F139" s="81">
        <v>16.390168027792885</v>
      </c>
      <c r="G139" s="81">
        <v>17.029334716764581</v>
      </c>
      <c r="H139" s="81">
        <v>15.90372534427614</v>
      </c>
      <c r="I139" s="81">
        <v>8.0382330118196315</v>
      </c>
      <c r="J139" s="81">
        <v>6.2090251369850629</v>
      </c>
      <c r="K139" s="81">
        <v>6.7420278184460773</v>
      </c>
      <c r="L139" s="81">
        <v>8.5925484285763574</v>
      </c>
      <c r="M139" s="81">
        <v>13.764425628664426</v>
      </c>
      <c r="N139" s="81">
        <v>7.8348751481671055</v>
      </c>
      <c r="O139" s="81">
        <v>13.591096573893624</v>
      </c>
      <c r="P139" s="81">
        <v>0</v>
      </c>
    </row>
    <row r="140" spans="2:16" x14ac:dyDescent="0.3">
      <c r="B140" s="291" t="s">
        <v>204</v>
      </c>
      <c r="C140" s="13" t="s">
        <v>192</v>
      </c>
      <c r="D140" s="80">
        <v>26.537946386027357</v>
      </c>
      <c r="E140" s="80">
        <v>21.460782566008021</v>
      </c>
      <c r="F140" s="80">
        <v>19.798184960451263</v>
      </c>
      <c r="G140" s="80">
        <v>22.66195824603146</v>
      </c>
      <c r="H140" s="80">
        <v>16.517087419053659</v>
      </c>
      <c r="I140" s="80">
        <v>9.3594226389708197</v>
      </c>
      <c r="J140" s="80">
        <v>9.8631436930951892</v>
      </c>
      <c r="K140" s="80">
        <v>8.4759509624526483</v>
      </c>
      <c r="L140" s="80">
        <v>8.9513232252687729</v>
      </c>
      <c r="M140" s="80">
        <v>10.795744092403755</v>
      </c>
      <c r="N140" s="80">
        <v>9.927367423464128</v>
      </c>
      <c r="O140" s="80">
        <v>15.18698266006899</v>
      </c>
      <c r="P140" s="80">
        <v>11.527137662029832</v>
      </c>
    </row>
    <row r="141" spans="2:16" x14ac:dyDescent="0.3">
      <c r="B141" s="295"/>
      <c r="C141" s="12" t="s">
        <v>193</v>
      </c>
      <c r="D141" s="81">
        <v>24.842168976622109</v>
      </c>
      <c r="E141" s="81">
        <v>18.245754808615231</v>
      </c>
      <c r="F141" s="81">
        <v>18.528954123237916</v>
      </c>
      <c r="G141" s="81">
        <v>18.687070034504362</v>
      </c>
      <c r="H141" s="81">
        <v>16.035021891882103</v>
      </c>
      <c r="I141" s="81">
        <v>8.3575108438056862</v>
      </c>
      <c r="J141" s="81">
        <v>6.4320324147229284</v>
      </c>
      <c r="K141" s="81">
        <v>6.999633851359615</v>
      </c>
      <c r="L141" s="81">
        <v>9.2291951966082255</v>
      </c>
      <c r="M141" s="81">
        <v>12.066252644233632</v>
      </c>
      <c r="N141" s="81">
        <v>9.5049542838160299</v>
      </c>
      <c r="O141" s="81">
        <v>14.982351135323544</v>
      </c>
      <c r="P141" s="81">
        <v>2.9126436768089974</v>
      </c>
    </row>
    <row r="142" spans="2:16" x14ac:dyDescent="0.3">
      <c r="B142" s="291" t="s">
        <v>209</v>
      </c>
      <c r="C142" s="13" t="s">
        <v>205</v>
      </c>
      <c r="D142" s="80">
        <v>24.119030772050014</v>
      </c>
      <c r="E142" s="80">
        <v>28.455168927945444</v>
      </c>
      <c r="F142" s="80">
        <v>21.329702913015041</v>
      </c>
      <c r="G142" s="80">
        <v>14.725925527503382</v>
      </c>
      <c r="H142" s="80">
        <v>14.350391608018793</v>
      </c>
      <c r="I142" s="80">
        <v>7.7584975133561365</v>
      </c>
      <c r="J142" s="80">
        <v>7.8782557924705259</v>
      </c>
      <c r="K142" s="80">
        <v>6.6851981804635994</v>
      </c>
      <c r="L142" s="80">
        <v>7.9129759573083094</v>
      </c>
      <c r="M142" s="80">
        <v>9.257442220384144</v>
      </c>
      <c r="N142" s="80">
        <v>11.055180869560756</v>
      </c>
      <c r="O142" s="80">
        <v>15.999384906495221</v>
      </c>
      <c r="P142" s="80">
        <v>2.1526671399794144</v>
      </c>
    </row>
    <row r="143" spans="2:16" x14ac:dyDescent="0.3">
      <c r="B143" s="292"/>
      <c r="C143" s="9" t="s">
        <v>206</v>
      </c>
      <c r="D143" s="79">
        <v>25.314750951105502</v>
      </c>
      <c r="E143" s="79">
        <v>19.225202033235018</v>
      </c>
      <c r="F143" s="79">
        <v>19.012583736886011</v>
      </c>
      <c r="G143" s="79">
        <v>16.229743457837099</v>
      </c>
      <c r="H143" s="79">
        <v>15.609377416618459</v>
      </c>
      <c r="I143" s="79">
        <v>9.4354570414035965</v>
      </c>
      <c r="J143" s="79">
        <v>6.550002883519892</v>
      </c>
      <c r="K143" s="79">
        <v>8.2232894913731371</v>
      </c>
      <c r="L143" s="79">
        <v>9.5064688641961546</v>
      </c>
      <c r="M143" s="79">
        <v>15.058694132334441</v>
      </c>
      <c r="N143" s="79">
        <v>7.9270772863952894</v>
      </c>
      <c r="O143" s="79">
        <v>14.74028056618854</v>
      </c>
      <c r="P143" s="79">
        <v>1.5</v>
      </c>
    </row>
    <row r="144" spans="2:16" x14ac:dyDescent="0.3">
      <c r="B144" s="292"/>
      <c r="C144" s="9" t="s">
        <v>207</v>
      </c>
      <c r="D144" s="79">
        <v>33.621684106862951</v>
      </c>
      <c r="E144" s="79">
        <v>22.713123563713989</v>
      </c>
      <c r="F144" s="79">
        <v>20.291286690454388</v>
      </c>
      <c r="G144" s="79">
        <v>26.129945574948223</v>
      </c>
      <c r="H144" s="79">
        <v>17.086660231902624</v>
      </c>
      <c r="I144" s="79">
        <v>10.085736229273403</v>
      </c>
      <c r="J144" s="79">
        <v>9.392700063176088</v>
      </c>
      <c r="K144" s="79">
        <v>7.9783173916730004</v>
      </c>
      <c r="L144" s="79">
        <v>11.067805865972028</v>
      </c>
      <c r="M144" s="79">
        <v>17.624278922148033</v>
      </c>
      <c r="N144" s="79">
        <v>13.298792376260074</v>
      </c>
      <c r="O144" s="79">
        <v>19.536088070367715</v>
      </c>
      <c r="P144" s="79">
        <v>4</v>
      </c>
    </row>
    <row r="145" spans="2:21" x14ac:dyDescent="0.3">
      <c r="B145" s="293"/>
      <c r="C145" s="25" t="s">
        <v>208</v>
      </c>
      <c r="D145" s="82">
        <v>20.394657334004016</v>
      </c>
      <c r="E145" s="82">
        <v>16.679759116733695</v>
      </c>
      <c r="F145" s="82">
        <v>17.956906468097607</v>
      </c>
      <c r="G145" s="82">
        <v>20.547224619139506</v>
      </c>
      <c r="H145" s="82">
        <v>16.556799421787012</v>
      </c>
      <c r="I145" s="82">
        <v>7.8947129122631035</v>
      </c>
      <c r="J145" s="82">
        <v>9.275853890128781</v>
      </c>
      <c r="K145" s="82">
        <v>7.7564728022725458</v>
      </c>
      <c r="L145" s="82">
        <v>7.8862088661633107</v>
      </c>
      <c r="M145" s="82">
        <v>6.4017337000709622</v>
      </c>
      <c r="N145" s="82">
        <v>7.95068980912394</v>
      </c>
      <c r="O145" s="82">
        <v>11.468445770287008</v>
      </c>
      <c r="P145" s="82">
        <v>14.694883901599678</v>
      </c>
    </row>
    <row r="146" spans="2:21" x14ac:dyDescent="0.3">
      <c r="B146" s="60"/>
      <c r="C146" s="9"/>
      <c r="D146" s="58"/>
      <c r="E146" s="58"/>
      <c r="F146" s="50"/>
      <c r="G146" s="58"/>
      <c r="H146" s="50"/>
      <c r="I146" s="58"/>
      <c r="J146" s="58"/>
      <c r="K146" s="58"/>
      <c r="L146" s="50"/>
      <c r="M146" s="58"/>
      <c r="N146" s="58"/>
    </row>
    <row r="147" spans="2:21" x14ac:dyDescent="0.3">
      <c r="B147" s="60"/>
      <c r="C147" s="9"/>
      <c r="D147" s="58"/>
      <c r="E147" s="58"/>
      <c r="F147" s="50"/>
      <c r="G147" s="58"/>
      <c r="H147" s="50"/>
      <c r="I147" s="58"/>
      <c r="J147" s="58"/>
      <c r="K147" s="58"/>
      <c r="L147" s="50"/>
      <c r="M147" s="58"/>
      <c r="N147" s="58"/>
    </row>
    <row r="148" spans="2:21" ht="17.25" customHeight="1" x14ac:dyDescent="0.3">
      <c r="B148" s="1" t="s">
        <v>487</v>
      </c>
      <c r="D148" s="59"/>
      <c r="E148" s="59"/>
      <c r="F148" s="304"/>
      <c r="G148" s="304"/>
      <c r="H148" s="304"/>
      <c r="I148" s="304"/>
      <c r="J148" s="304"/>
      <c r="K148" s="304"/>
      <c r="L148" s="304"/>
      <c r="M148" s="304"/>
      <c r="N148" s="304"/>
      <c r="O148" s="304"/>
      <c r="P148" s="304"/>
      <c r="Q148" s="304"/>
      <c r="R148" s="304"/>
      <c r="S148" s="304"/>
      <c r="T148" s="304"/>
      <c r="U148" s="304"/>
    </row>
    <row r="149" spans="2:21" ht="10.5" customHeight="1" x14ac:dyDescent="0.3"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30"/>
      <c r="P149" s="30"/>
      <c r="Q149" s="30" t="s">
        <v>52</v>
      </c>
    </row>
    <row r="150" spans="2:21" s="22" customFormat="1" ht="20.25" customHeight="1" x14ac:dyDescent="0.3">
      <c r="B150" s="307"/>
      <c r="C150" s="307"/>
      <c r="D150" s="300" t="s">
        <v>120</v>
      </c>
      <c r="E150" s="300"/>
      <c r="F150" s="300"/>
      <c r="G150" s="300"/>
      <c r="H150" s="300"/>
      <c r="I150" s="300"/>
      <c r="J150" s="301"/>
      <c r="K150" s="299" t="s">
        <v>125</v>
      </c>
      <c r="L150" s="300"/>
      <c r="M150" s="300"/>
      <c r="N150" s="300"/>
      <c r="O150" s="300"/>
      <c r="P150" s="301"/>
      <c r="Q150" s="212" t="s">
        <v>38</v>
      </c>
    </row>
    <row r="151" spans="2:21" s="22" customFormat="1" ht="27" x14ac:dyDescent="0.3">
      <c r="B151" s="300"/>
      <c r="C151" s="300"/>
      <c r="D151" s="202" t="s">
        <v>39</v>
      </c>
      <c r="E151" s="202" t="s">
        <v>40</v>
      </c>
      <c r="F151" s="202" t="s">
        <v>116</v>
      </c>
      <c r="G151" s="202" t="s">
        <v>117</v>
      </c>
      <c r="H151" s="202" t="s">
        <v>115</v>
      </c>
      <c r="I151" s="202" t="s">
        <v>119</v>
      </c>
      <c r="J151" s="202" t="s">
        <v>300</v>
      </c>
      <c r="K151" s="214" t="s">
        <v>298</v>
      </c>
      <c r="L151" s="202" t="s">
        <v>299</v>
      </c>
      <c r="M151" s="202" t="s">
        <v>121</v>
      </c>
      <c r="N151" s="202" t="s">
        <v>118</v>
      </c>
      <c r="O151" s="202" t="s">
        <v>122</v>
      </c>
      <c r="P151" s="202" t="s">
        <v>124</v>
      </c>
      <c r="Q151" s="214" t="s">
        <v>38</v>
      </c>
    </row>
    <row r="152" spans="2:21" ht="21.75" customHeight="1" x14ac:dyDescent="0.3">
      <c r="B152" s="292" t="s">
        <v>20</v>
      </c>
      <c r="C152" s="292"/>
      <c r="D152" s="86">
        <v>28.666613307633686</v>
      </c>
      <c r="E152" s="86">
        <v>10.071332903645459</v>
      </c>
      <c r="F152" s="88">
        <v>9.3846835055664037</v>
      </c>
      <c r="G152" s="88">
        <v>7.5285492787419557</v>
      </c>
      <c r="H152" s="88">
        <v>12.390822345968648</v>
      </c>
      <c r="I152" s="86">
        <v>0.38135411059096014</v>
      </c>
      <c r="J152" s="86">
        <v>1.4620047654051611</v>
      </c>
      <c r="K152" s="92">
        <v>10.780097891688342</v>
      </c>
      <c r="L152" s="86">
        <v>3.1381835056996508</v>
      </c>
      <c r="M152" s="88">
        <v>3.4576065505266333</v>
      </c>
      <c r="N152" s="86">
        <v>8.4295997962392946</v>
      </c>
      <c r="O152" s="86">
        <v>2.8725444736262138</v>
      </c>
      <c r="P152" s="86">
        <v>0.91274533122705481</v>
      </c>
      <c r="Q152" s="92">
        <v>0.52386223344014327</v>
      </c>
    </row>
    <row r="153" spans="2:21" x14ac:dyDescent="0.3">
      <c r="B153" s="296" t="s">
        <v>5</v>
      </c>
      <c r="C153" s="13" t="s">
        <v>0</v>
      </c>
      <c r="D153" s="84">
        <v>0</v>
      </c>
      <c r="E153" s="84">
        <v>0</v>
      </c>
      <c r="F153" s="89">
        <v>0</v>
      </c>
      <c r="G153" s="89">
        <v>0</v>
      </c>
      <c r="H153" s="89">
        <v>0</v>
      </c>
      <c r="I153" s="84">
        <v>0</v>
      </c>
      <c r="J153" s="84">
        <v>0</v>
      </c>
      <c r="K153" s="93">
        <v>0</v>
      </c>
      <c r="L153" s="84">
        <v>0</v>
      </c>
      <c r="M153" s="89">
        <v>0</v>
      </c>
      <c r="N153" s="84">
        <v>0</v>
      </c>
      <c r="O153" s="84">
        <v>0</v>
      </c>
      <c r="P153" s="84">
        <v>0</v>
      </c>
      <c r="Q153" s="93">
        <v>0</v>
      </c>
    </row>
    <row r="154" spans="2:21" x14ac:dyDescent="0.3">
      <c r="B154" s="295"/>
      <c r="C154" s="12" t="s">
        <v>1</v>
      </c>
      <c r="D154" s="90">
        <v>28.666613307633686</v>
      </c>
      <c r="E154" s="90">
        <v>10.071332903645459</v>
      </c>
      <c r="F154" s="91">
        <v>9.3846835055664037</v>
      </c>
      <c r="G154" s="91">
        <v>7.5285492787419557</v>
      </c>
      <c r="H154" s="91">
        <v>12.390822345968648</v>
      </c>
      <c r="I154" s="90">
        <v>0.38135411059096014</v>
      </c>
      <c r="J154" s="90">
        <v>1.4620047654051611</v>
      </c>
      <c r="K154" s="94">
        <v>10.780097891688342</v>
      </c>
      <c r="L154" s="90">
        <v>3.1381835056996508</v>
      </c>
      <c r="M154" s="91">
        <v>3.4576065505266333</v>
      </c>
      <c r="N154" s="90">
        <v>8.4295997962392946</v>
      </c>
      <c r="O154" s="90">
        <v>2.8725444736262138</v>
      </c>
      <c r="P154" s="90">
        <v>0.91274533122705481</v>
      </c>
      <c r="Q154" s="94">
        <v>0.52386223344014327</v>
      </c>
    </row>
    <row r="155" spans="2:21" x14ac:dyDescent="0.3">
      <c r="B155" s="296" t="s">
        <v>4</v>
      </c>
      <c r="C155" s="9" t="s">
        <v>175</v>
      </c>
      <c r="D155" s="86">
        <v>20.257809978474906</v>
      </c>
      <c r="E155" s="86">
        <v>11.783866545187689</v>
      </c>
      <c r="F155" s="88">
        <v>15.931709430152038</v>
      </c>
      <c r="G155" s="88">
        <v>1.8666782050874988</v>
      </c>
      <c r="H155" s="88">
        <v>0</v>
      </c>
      <c r="I155" s="86">
        <v>0</v>
      </c>
      <c r="J155" s="86">
        <v>0</v>
      </c>
      <c r="K155" s="92">
        <v>41.193293427091163</v>
      </c>
      <c r="L155" s="86">
        <v>5.2918928414629214</v>
      </c>
      <c r="M155" s="88">
        <v>0</v>
      </c>
      <c r="N155" s="86">
        <v>0</v>
      </c>
      <c r="O155" s="86">
        <v>0</v>
      </c>
      <c r="P155" s="86">
        <v>1.5284842548561344</v>
      </c>
      <c r="Q155" s="92">
        <v>2.1462653176876496</v>
      </c>
    </row>
    <row r="156" spans="2:21" x14ac:dyDescent="0.3">
      <c r="B156" s="292"/>
      <c r="C156" s="9" t="s">
        <v>176</v>
      </c>
      <c r="D156" s="86">
        <v>39.288671605307869</v>
      </c>
      <c r="E156" s="86">
        <v>10.330367138428471</v>
      </c>
      <c r="F156" s="88">
        <v>11.561037226455618</v>
      </c>
      <c r="G156" s="88">
        <v>3.0677985876042797</v>
      </c>
      <c r="H156" s="88">
        <v>8.0012995829691977</v>
      </c>
      <c r="I156" s="86">
        <v>0.98801242196713246</v>
      </c>
      <c r="J156" s="86">
        <v>1.8569058914570156</v>
      </c>
      <c r="K156" s="92">
        <v>13.671372675242004</v>
      </c>
      <c r="L156" s="86">
        <v>2.5899771388859492</v>
      </c>
      <c r="M156" s="88">
        <v>1.4608485086977958</v>
      </c>
      <c r="N156" s="86">
        <v>4.9996787382369057</v>
      </c>
      <c r="O156" s="86">
        <v>0.37971614831977274</v>
      </c>
      <c r="P156" s="86">
        <v>1.2745041019284178</v>
      </c>
      <c r="Q156" s="92">
        <v>0.5298102344994926</v>
      </c>
    </row>
    <row r="157" spans="2:21" x14ac:dyDescent="0.3">
      <c r="B157" s="292"/>
      <c r="C157" s="9" t="s">
        <v>177</v>
      </c>
      <c r="D157" s="86">
        <v>29.335103254909122</v>
      </c>
      <c r="E157" s="86">
        <v>12.396794998287607</v>
      </c>
      <c r="F157" s="88">
        <v>14.150049799112891</v>
      </c>
      <c r="G157" s="88">
        <v>4.8275060889645065</v>
      </c>
      <c r="H157" s="88">
        <v>7.7542866728084219</v>
      </c>
      <c r="I157" s="86">
        <v>0.57356451167281808</v>
      </c>
      <c r="J157" s="86">
        <v>0</v>
      </c>
      <c r="K157" s="92">
        <v>13.888538356399302</v>
      </c>
      <c r="L157" s="86">
        <v>2.776293381375833</v>
      </c>
      <c r="M157" s="88">
        <v>4.1792631613594278</v>
      </c>
      <c r="N157" s="86">
        <v>7.143201578085864</v>
      </c>
      <c r="O157" s="86">
        <v>1.1949920305812627</v>
      </c>
      <c r="P157" s="86">
        <v>1.5107917249605494</v>
      </c>
      <c r="Q157" s="92">
        <v>0.26961444148252672</v>
      </c>
    </row>
    <row r="158" spans="2:21" x14ac:dyDescent="0.3">
      <c r="B158" s="292"/>
      <c r="C158" s="9" t="s">
        <v>178</v>
      </c>
      <c r="D158" s="86">
        <v>21.474875755282856</v>
      </c>
      <c r="E158" s="86">
        <v>10.759029636262255</v>
      </c>
      <c r="F158" s="88">
        <v>4.2851714572822592</v>
      </c>
      <c r="G158" s="88">
        <v>11.242312034087416</v>
      </c>
      <c r="H158" s="88">
        <v>17.913368685226057</v>
      </c>
      <c r="I158" s="86">
        <v>0</v>
      </c>
      <c r="J158" s="86">
        <v>1.0410336570505492</v>
      </c>
      <c r="K158" s="92">
        <v>9.6569425530815298</v>
      </c>
      <c r="L158" s="86">
        <v>4.1035937807854843</v>
      </c>
      <c r="M158" s="88">
        <v>3.0948802542550755</v>
      </c>
      <c r="N158" s="86">
        <v>10.801482600969909</v>
      </c>
      <c r="O158" s="86">
        <v>3.5654573104923295</v>
      </c>
      <c r="P158" s="86">
        <v>1.0410336570505492</v>
      </c>
      <c r="Q158" s="92">
        <v>1.0208186181737158</v>
      </c>
    </row>
    <row r="159" spans="2:21" x14ac:dyDescent="0.3">
      <c r="B159" s="292"/>
      <c r="C159" s="9" t="s">
        <v>179</v>
      </c>
      <c r="D159" s="86">
        <v>28.723732647147276</v>
      </c>
      <c r="E159" s="86">
        <v>8.1957982085034633</v>
      </c>
      <c r="F159" s="88">
        <v>7.7024247751763211</v>
      </c>
      <c r="G159" s="88">
        <v>10.560743980721972</v>
      </c>
      <c r="H159" s="88">
        <v>13.826803472411264</v>
      </c>
      <c r="I159" s="86">
        <v>0</v>
      </c>
      <c r="J159" s="86">
        <v>1.1919970664157438</v>
      </c>
      <c r="K159" s="92">
        <v>4.5169683354679</v>
      </c>
      <c r="L159" s="86">
        <v>4.3025572113931183</v>
      </c>
      <c r="M159" s="88">
        <v>7.6015700443060412</v>
      </c>
      <c r="N159" s="86">
        <v>9.9300838783341998</v>
      </c>
      <c r="O159" s="86">
        <v>3.0795365432531772</v>
      </c>
      <c r="P159" s="86">
        <v>0</v>
      </c>
      <c r="Q159" s="92">
        <v>0.36778383686944754</v>
      </c>
    </row>
    <row r="160" spans="2:21" x14ac:dyDescent="0.3">
      <c r="B160" s="298"/>
      <c r="C160" s="12" t="s">
        <v>180</v>
      </c>
      <c r="D160" s="90">
        <v>26.406102949759987</v>
      </c>
      <c r="E160" s="90">
        <v>8.3428413702436277</v>
      </c>
      <c r="F160" s="91">
        <v>8.7519922419315623</v>
      </c>
      <c r="G160" s="91">
        <v>8.743832347124247</v>
      </c>
      <c r="H160" s="91">
        <v>16.33760025219653</v>
      </c>
      <c r="I160" s="90">
        <v>0.44906568190602569</v>
      </c>
      <c r="J160" s="90">
        <v>3.5046965213546306</v>
      </c>
      <c r="K160" s="94">
        <v>6.0260827189811712</v>
      </c>
      <c r="L160" s="90">
        <v>1.2991032577881403</v>
      </c>
      <c r="M160" s="91">
        <v>1.8232570112173552</v>
      </c>
      <c r="N160" s="90">
        <v>10.894112860889837</v>
      </c>
      <c r="O160" s="90">
        <v>6.8125164676036629</v>
      </c>
      <c r="P160" s="90">
        <v>0.60879631900319897</v>
      </c>
      <c r="Q160" s="94">
        <v>0</v>
      </c>
    </row>
    <row r="161" spans="2:17" x14ac:dyDescent="0.3">
      <c r="B161" s="292" t="s">
        <v>223</v>
      </c>
      <c r="C161" s="9" t="s">
        <v>210</v>
      </c>
      <c r="D161" s="86">
        <v>0</v>
      </c>
      <c r="E161" s="86">
        <v>0</v>
      </c>
      <c r="F161" s="88">
        <v>0</v>
      </c>
      <c r="G161" s="88">
        <v>0</v>
      </c>
      <c r="H161" s="88">
        <v>0</v>
      </c>
      <c r="I161" s="86">
        <v>0</v>
      </c>
      <c r="J161" s="86">
        <v>0</v>
      </c>
      <c r="K161" s="92">
        <v>0</v>
      </c>
      <c r="L161" s="86">
        <v>0</v>
      </c>
      <c r="M161" s="88">
        <v>0</v>
      </c>
      <c r="N161" s="86">
        <v>0</v>
      </c>
      <c r="O161" s="86">
        <v>0</v>
      </c>
      <c r="P161" s="86">
        <v>0</v>
      </c>
      <c r="Q161" s="92">
        <v>0</v>
      </c>
    </row>
    <row r="162" spans="2:17" x14ac:dyDescent="0.3">
      <c r="B162" s="292"/>
      <c r="C162" s="9" t="s">
        <v>211</v>
      </c>
      <c r="D162" s="86">
        <v>0</v>
      </c>
      <c r="E162" s="86">
        <v>0</v>
      </c>
      <c r="F162" s="88">
        <v>0</v>
      </c>
      <c r="G162" s="88">
        <v>0</v>
      </c>
      <c r="H162" s="88">
        <v>0</v>
      </c>
      <c r="I162" s="86">
        <v>0</v>
      </c>
      <c r="J162" s="86">
        <v>0</v>
      </c>
      <c r="K162" s="92">
        <v>0</v>
      </c>
      <c r="L162" s="86">
        <v>0</v>
      </c>
      <c r="M162" s="88">
        <v>0</v>
      </c>
      <c r="N162" s="86">
        <v>0</v>
      </c>
      <c r="O162" s="86">
        <v>0</v>
      </c>
      <c r="P162" s="86">
        <v>0</v>
      </c>
      <c r="Q162" s="92">
        <v>0</v>
      </c>
    </row>
    <row r="163" spans="2:17" x14ac:dyDescent="0.3">
      <c r="B163" s="292"/>
      <c r="C163" s="9" t="s">
        <v>212</v>
      </c>
      <c r="D163" s="86">
        <v>0</v>
      </c>
      <c r="E163" s="86">
        <v>0</v>
      </c>
      <c r="F163" s="88">
        <v>0</v>
      </c>
      <c r="G163" s="88">
        <v>0</v>
      </c>
      <c r="H163" s="88">
        <v>0</v>
      </c>
      <c r="I163" s="86">
        <v>0</v>
      </c>
      <c r="J163" s="86">
        <v>0</v>
      </c>
      <c r="K163" s="92">
        <v>0</v>
      </c>
      <c r="L163" s="86">
        <v>0</v>
      </c>
      <c r="M163" s="88">
        <v>0</v>
      </c>
      <c r="N163" s="86">
        <v>0</v>
      </c>
      <c r="O163" s="86">
        <v>0</v>
      </c>
      <c r="P163" s="86">
        <v>0</v>
      </c>
      <c r="Q163" s="92">
        <v>0</v>
      </c>
    </row>
    <row r="164" spans="2:17" x14ac:dyDescent="0.3">
      <c r="B164" s="292"/>
      <c r="C164" s="9" t="s">
        <v>213</v>
      </c>
      <c r="D164" s="86">
        <v>0</v>
      </c>
      <c r="E164" s="86">
        <v>0</v>
      </c>
      <c r="F164" s="88">
        <v>0</v>
      </c>
      <c r="G164" s="88">
        <v>0</v>
      </c>
      <c r="H164" s="88">
        <v>0</v>
      </c>
      <c r="I164" s="86">
        <v>0</v>
      </c>
      <c r="J164" s="86">
        <v>0</v>
      </c>
      <c r="K164" s="92">
        <v>0</v>
      </c>
      <c r="L164" s="86">
        <v>0</v>
      </c>
      <c r="M164" s="88">
        <v>0</v>
      </c>
      <c r="N164" s="86">
        <v>0</v>
      </c>
      <c r="O164" s="86">
        <v>0</v>
      </c>
      <c r="P164" s="86">
        <v>0</v>
      </c>
      <c r="Q164" s="92">
        <v>0</v>
      </c>
    </row>
    <row r="165" spans="2:17" x14ac:dyDescent="0.3">
      <c r="B165" s="292"/>
      <c r="C165" s="9" t="s">
        <v>214</v>
      </c>
      <c r="D165" s="86">
        <v>0</v>
      </c>
      <c r="E165" s="86">
        <v>0</v>
      </c>
      <c r="F165" s="88">
        <v>0</v>
      </c>
      <c r="G165" s="88">
        <v>0</v>
      </c>
      <c r="H165" s="88">
        <v>0</v>
      </c>
      <c r="I165" s="86">
        <v>0</v>
      </c>
      <c r="J165" s="86">
        <v>0</v>
      </c>
      <c r="K165" s="92">
        <v>0</v>
      </c>
      <c r="L165" s="86">
        <v>0</v>
      </c>
      <c r="M165" s="88">
        <v>0</v>
      </c>
      <c r="N165" s="86">
        <v>0</v>
      </c>
      <c r="O165" s="86">
        <v>0</v>
      </c>
      <c r="P165" s="86">
        <v>0</v>
      </c>
      <c r="Q165" s="92">
        <v>0</v>
      </c>
    </row>
    <row r="166" spans="2:17" x14ac:dyDescent="0.3">
      <c r="B166" s="292"/>
      <c r="C166" s="12" t="s">
        <v>215</v>
      </c>
      <c r="D166" s="90">
        <v>0</v>
      </c>
      <c r="E166" s="90">
        <v>0</v>
      </c>
      <c r="F166" s="91">
        <v>0</v>
      </c>
      <c r="G166" s="91">
        <v>0</v>
      </c>
      <c r="H166" s="91">
        <v>0</v>
      </c>
      <c r="I166" s="90">
        <v>0</v>
      </c>
      <c r="J166" s="90">
        <v>0</v>
      </c>
      <c r="K166" s="94">
        <v>0</v>
      </c>
      <c r="L166" s="90">
        <v>0</v>
      </c>
      <c r="M166" s="91">
        <v>0</v>
      </c>
      <c r="N166" s="90">
        <v>0</v>
      </c>
      <c r="O166" s="90">
        <v>0</v>
      </c>
      <c r="P166" s="90">
        <v>0</v>
      </c>
      <c r="Q166" s="94">
        <v>0</v>
      </c>
    </row>
    <row r="167" spans="2:17" x14ac:dyDescent="0.3">
      <c r="B167" s="292"/>
      <c r="C167" s="9" t="s">
        <v>216</v>
      </c>
      <c r="D167" s="86">
        <v>20.257809978474906</v>
      </c>
      <c r="E167" s="86">
        <v>11.783866545187689</v>
      </c>
      <c r="F167" s="88">
        <v>15.931709430152038</v>
      </c>
      <c r="G167" s="88">
        <v>1.8666782050874988</v>
      </c>
      <c r="H167" s="88">
        <v>0</v>
      </c>
      <c r="I167" s="86">
        <v>0</v>
      </c>
      <c r="J167" s="86">
        <v>0</v>
      </c>
      <c r="K167" s="92">
        <v>41.193293427091163</v>
      </c>
      <c r="L167" s="86">
        <v>5.2918928414629214</v>
      </c>
      <c r="M167" s="88">
        <v>0</v>
      </c>
      <c r="N167" s="86">
        <v>0</v>
      </c>
      <c r="O167" s="86">
        <v>0</v>
      </c>
      <c r="P167" s="86">
        <v>1.5284842548561344</v>
      </c>
      <c r="Q167" s="92">
        <v>2.1462653176876496</v>
      </c>
    </row>
    <row r="168" spans="2:17" x14ac:dyDescent="0.3">
      <c r="B168" s="292"/>
      <c r="C168" s="9" t="s">
        <v>217</v>
      </c>
      <c r="D168" s="86">
        <v>39.288671605307869</v>
      </c>
      <c r="E168" s="86">
        <v>10.330367138428471</v>
      </c>
      <c r="F168" s="88">
        <v>11.561037226455618</v>
      </c>
      <c r="G168" s="88">
        <v>3.0677985876042797</v>
      </c>
      <c r="H168" s="88">
        <v>8.0012995829691977</v>
      </c>
      <c r="I168" s="86">
        <v>0.98801242196713246</v>
      </c>
      <c r="J168" s="86">
        <v>1.8569058914570156</v>
      </c>
      <c r="K168" s="92">
        <v>13.671372675242004</v>
      </c>
      <c r="L168" s="86">
        <v>2.5899771388859492</v>
      </c>
      <c r="M168" s="88">
        <v>1.4608485086977958</v>
      </c>
      <c r="N168" s="86">
        <v>4.9996787382369057</v>
      </c>
      <c r="O168" s="86">
        <v>0.37971614831977274</v>
      </c>
      <c r="P168" s="86">
        <v>1.2745041019284178</v>
      </c>
      <c r="Q168" s="92">
        <v>0.5298102344994926</v>
      </c>
    </row>
    <row r="169" spans="2:17" x14ac:dyDescent="0.3">
      <c r="B169" s="292"/>
      <c r="C169" s="9" t="s">
        <v>218</v>
      </c>
      <c r="D169" s="86">
        <v>29.335103254909122</v>
      </c>
      <c r="E169" s="86">
        <v>12.396794998287607</v>
      </c>
      <c r="F169" s="88">
        <v>14.150049799112891</v>
      </c>
      <c r="G169" s="88">
        <v>4.8275060889645065</v>
      </c>
      <c r="H169" s="88">
        <v>7.7542866728084219</v>
      </c>
      <c r="I169" s="86">
        <v>0.57356451167281808</v>
      </c>
      <c r="J169" s="86">
        <v>0</v>
      </c>
      <c r="K169" s="92">
        <v>13.888538356399302</v>
      </c>
      <c r="L169" s="86">
        <v>2.776293381375833</v>
      </c>
      <c r="M169" s="88">
        <v>4.1792631613594278</v>
      </c>
      <c r="N169" s="86">
        <v>7.143201578085864</v>
      </c>
      <c r="O169" s="86">
        <v>1.1949920305812627</v>
      </c>
      <c r="P169" s="86">
        <v>1.5107917249605494</v>
      </c>
      <c r="Q169" s="92">
        <v>0.26961444148252672</v>
      </c>
    </row>
    <row r="170" spans="2:17" x14ac:dyDescent="0.3">
      <c r="B170" s="292"/>
      <c r="C170" s="9" t="s">
        <v>219</v>
      </c>
      <c r="D170" s="86">
        <v>21.474875755282856</v>
      </c>
      <c r="E170" s="86">
        <v>10.759029636262255</v>
      </c>
      <c r="F170" s="88">
        <v>4.2851714572822592</v>
      </c>
      <c r="G170" s="88">
        <v>11.242312034087416</v>
      </c>
      <c r="H170" s="88">
        <v>17.913368685226057</v>
      </c>
      <c r="I170" s="86">
        <v>0</v>
      </c>
      <c r="J170" s="86">
        <v>1.0410336570505492</v>
      </c>
      <c r="K170" s="92">
        <v>9.6569425530815298</v>
      </c>
      <c r="L170" s="86">
        <v>4.1035937807854843</v>
      </c>
      <c r="M170" s="88">
        <v>3.0948802542550755</v>
      </c>
      <c r="N170" s="86">
        <v>10.801482600969909</v>
      </c>
      <c r="O170" s="86">
        <v>3.5654573104923295</v>
      </c>
      <c r="P170" s="86">
        <v>1.0410336570505492</v>
      </c>
      <c r="Q170" s="92">
        <v>1.0208186181737158</v>
      </c>
    </row>
    <row r="171" spans="2:17" x14ac:dyDescent="0.3">
      <c r="B171" s="292"/>
      <c r="C171" s="9" t="s">
        <v>220</v>
      </c>
      <c r="D171" s="86">
        <v>28.723732647147276</v>
      </c>
      <c r="E171" s="86">
        <v>8.1957982085034633</v>
      </c>
      <c r="F171" s="88">
        <v>7.7024247751763211</v>
      </c>
      <c r="G171" s="88">
        <v>10.560743980721972</v>
      </c>
      <c r="H171" s="88">
        <v>13.826803472411264</v>
      </c>
      <c r="I171" s="86">
        <v>0</v>
      </c>
      <c r="J171" s="86">
        <v>1.1919970664157438</v>
      </c>
      <c r="K171" s="92">
        <v>4.5169683354679</v>
      </c>
      <c r="L171" s="86">
        <v>4.3025572113931183</v>
      </c>
      <c r="M171" s="88">
        <v>7.6015700443060412</v>
      </c>
      <c r="N171" s="86">
        <v>9.9300838783341998</v>
      </c>
      <c r="O171" s="86">
        <v>3.0795365432531772</v>
      </c>
      <c r="P171" s="86">
        <v>0</v>
      </c>
      <c r="Q171" s="92">
        <v>0.36778383686944754</v>
      </c>
    </row>
    <row r="172" spans="2:17" x14ac:dyDescent="0.3">
      <c r="B172" s="295"/>
      <c r="C172" s="9" t="s">
        <v>221</v>
      </c>
      <c r="D172" s="86">
        <v>26.406102949759987</v>
      </c>
      <c r="E172" s="86">
        <v>8.3428413702436277</v>
      </c>
      <c r="F172" s="88">
        <v>8.7519922419315623</v>
      </c>
      <c r="G172" s="88">
        <v>8.743832347124247</v>
      </c>
      <c r="H172" s="88">
        <v>16.33760025219653</v>
      </c>
      <c r="I172" s="86">
        <v>0.44906568190602569</v>
      </c>
      <c r="J172" s="86">
        <v>3.5046965213546306</v>
      </c>
      <c r="K172" s="92">
        <v>6.0260827189811712</v>
      </c>
      <c r="L172" s="86">
        <v>1.2991032577881403</v>
      </c>
      <c r="M172" s="88">
        <v>1.8232570112173552</v>
      </c>
      <c r="N172" s="86">
        <v>10.894112860889837</v>
      </c>
      <c r="O172" s="86">
        <v>6.8125164676036629</v>
      </c>
      <c r="P172" s="86">
        <v>0.60879631900319897</v>
      </c>
      <c r="Q172" s="92">
        <v>0</v>
      </c>
    </row>
    <row r="173" spans="2:17" ht="16.5" customHeight="1" x14ac:dyDescent="0.3">
      <c r="B173" s="291" t="s">
        <v>222</v>
      </c>
      <c r="C173" s="13" t="s">
        <v>226</v>
      </c>
      <c r="D173" s="84">
        <v>25.115474561037367</v>
      </c>
      <c r="E173" s="84">
        <v>10.508257507672552</v>
      </c>
      <c r="F173" s="89">
        <v>9.9238622309403546</v>
      </c>
      <c r="G173" s="89">
        <v>11.272438100513259</v>
      </c>
      <c r="H173" s="89">
        <v>8.0782563249684074</v>
      </c>
      <c r="I173" s="84">
        <v>0.3288041550871309</v>
      </c>
      <c r="J173" s="84">
        <v>2.179769862155263</v>
      </c>
      <c r="K173" s="93">
        <v>8.891263625833993</v>
      </c>
      <c r="L173" s="84">
        <v>1.8879119032465859</v>
      </c>
      <c r="M173" s="89">
        <v>4.6634267896346584</v>
      </c>
      <c r="N173" s="84">
        <v>13.123172183868299</v>
      </c>
      <c r="O173" s="84">
        <v>1.9029768961332671</v>
      </c>
      <c r="P173" s="84">
        <v>1.4159461293601228</v>
      </c>
      <c r="Q173" s="93">
        <v>0.70843972954871148</v>
      </c>
    </row>
    <row r="174" spans="2:17" ht="16.5" customHeight="1" x14ac:dyDescent="0.3">
      <c r="B174" s="294"/>
      <c r="C174" s="9" t="s">
        <v>227</v>
      </c>
      <c r="D174" s="86">
        <v>31.417825851656161</v>
      </c>
      <c r="E174" s="86">
        <v>7.5251422469624991</v>
      </c>
      <c r="F174" s="88">
        <v>7.4186006614071491</v>
      </c>
      <c r="G174" s="88">
        <v>7.0289729746129419</v>
      </c>
      <c r="H174" s="88">
        <v>12.31056578145324</v>
      </c>
      <c r="I174" s="86">
        <v>0.39667718823331943</v>
      </c>
      <c r="J174" s="86">
        <v>1.2257006549360139</v>
      </c>
      <c r="K174" s="92">
        <v>14.119859699025048</v>
      </c>
      <c r="L174" s="86">
        <v>3.084131318187421</v>
      </c>
      <c r="M174" s="88">
        <v>3.8032375409776193</v>
      </c>
      <c r="N174" s="86">
        <v>5.4378619134070521</v>
      </c>
      <c r="O174" s="86">
        <v>4.786871739146874</v>
      </c>
      <c r="P174" s="86">
        <v>0.96210437634133406</v>
      </c>
      <c r="Q174" s="92">
        <v>0.48244805365333854</v>
      </c>
    </row>
    <row r="175" spans="2:17" x14ac:dyDescent="0.3">
      <c r="B175" s="292"/>
      <c r="C175" s="9" t="s">
        <v>228</v>
      </c>
      <c r="D175" s="86">
        <v>22.378477094547819</v>
      </c>
      <c r="E175" s="86">
        <v>11.686421387677541</v>
      </c>
      <c r="F175" s="88">
        <v>12.182425592973745</v>
      </c>
      <c r="G175" s="88">
        <v>9.412881962685324</v>
      </c>
      <c r="H175" s="88">
        <v>12.693448757596062</v>
      </c>
      <c r="I175" s="86">
        <v>0.46701277123634394</v>
      </c>
      <c r="J175" s="86">
        <v>1.8552049737081702</v>
      </c>
      <c r="K175" s="92">
        <v>9.2092175475553617</v>
      </c>
      <c r="L175" s="86">
        <v>5.8628542476428489</v>
      </c>
      <c r="M175" s="88">
        <v>3.2894467302104964</v>
      </c>
      <c r="N175" s="86">
        <v>7.4442778550253745</v>
      </c>
      <c r="O175" s="86">
        <v>1.8797450069028856</v>
      </c>
      <c r="P175" s="86">
        <v>1.0896891482500974</v>
      </c>
      <c r="Q175" s="92">
        <v>0.54889692398790801</v>
      </c>
    </row>
    <row r="176" spans="2:17" x14ac:dyDescent="0.3">
      <c r="B176" s="295"/>
      <c r="C176" s="12" t="s">
        <v>229</v>
      </c>
      <c r="D176" s="90">
        <v>33.588670720200156</v>
      </c>
      <c r="E176" s="90">
        <v>10.965167617155725</v>
      </c>
      <c r="F176" s="91">
        <v>8.8112055518780785</v>
      </c>
      <c r="G176" s="91">
        <v>3.3919804403502236</v>
      </c>
      <c r="H176" s="91">
        <v>16.043428271076042</v>
      </c>
      <c r="I176" s="90">
        <v>0.35300845874942116</v>
      </c>
      <c r="J176" s="90">
        <v>0.77954514591563562</v>
      </c>
      <c r="K176" s="94">
        <v>10.379942943785899</v>
      </c>
      <c r="L176" s="90">
        <v>2.3787935389283801</v>
      </c>
      <c r="M176" s="91">
        <v>2.1890407072866744</v>
      </c>
      <c r="N176" s="90">
        <v>7.8273208810234971</v>
      </c>
      <c r="O176" s="90">
        <v>2.6085426454517111</v>
      </c>
      <c r="P176" s="90">
        <v>0.29999950633747552</v>
      </c>
      <c r="Q176" s="94">
        <v>0.38335357186102242</v>
      </c>
    </row>
    <row r="177" spans="2:21" x14ac:dyDescent="0.3">
      <c r="B177" s="296" t="s">
        <v>199</v>
      </c>
      <c r="C177" s="13" t="s">
        <v>192</v>
      </c>
      <c r="D177" s="84">
        <v>31.097231840788314</v>
      </c>
      <c r="E177" s="84">
        <v>12.576939858614578</v>
      </c>
      <c r="F177" s="89">
        <v>9.7132425530609439</v>
      </c>
      <c r="G177" s="89">
        <v>6.8264452486700602</v>
      </c>
      <c r="H177" s="89">
        <v>11.241421806294669</v>
      </c>
      <c r="I177" s="84">
        <v>0.35503570361186809</v>
      </c>
      <c r="J177" s="84">
        <v>0.9702658470293517</v>
      </c>
      <c r="K177" s="93">
        <v>10.084957013078414</v>
      </c>
      <c r="L177" s="84">
        <v>2.9997793437333735</v>
      </c>
      <c r="M177" s="89">
        <v>2.7656463081233031</v>
      </c>
      <c r="N177" s="84">
        <v>8.0855823840074148</v>
      </c>
      <c r="O177" s="84">
        <v>2.4960497084340312</v>
      </c>
      <c r="P177" s="84">
        <v>0.59366869205389095</v>
      </c>
      <c r="Q177" s="93">
        <v>0.19373369250007105</v>
      </c>
    </row>
    <row r="178" spans="2:21" x14ac:dyDescent="0.3">
      <c r="B178" s="292"/>
      <c r="C178" s="9" t="s">
        <v>200</v>
      </c>
      <c r="D178" s="86">
        <v>23.678829520840541</v>
      </c>
      <c r="E178" s="86">
        <v>4.7293891052146479</v>
      </c>
      <c r="F178" s="88">
        <v>7.0055070364010055</v>
      </c>
      <c r="G178" s="88">
        <v>20.400303471902347</v>
      </c>
      <c r="H178" s="88">
        <v>18.474668755312496</v>
      </c>
      <c r="I178" s="86">
        <v>0</v>
      </c>
      <c r="J178" s="86">
        <v>2.4607509509718946</v>
      </c>
      <c r="K178" s="92">
        <v>8.5499005183946508</v>
      </c>
      <c r="L178" s="86">
        <v>2.6900185410428925</v>
      </c>
      <c r="M178" s="88">
        <v>0</v>
      </c>
      <c r="N178" s="86">
        <v>4.0150900959457179</v>
      </c>
      <c r="O178" s="86">
        <v>2.1598170645747929</v>
      </c>
      <c r="P178" s="86">
        <v>4.0350278115643379</v>
      </c>
      <c r="Q178" s="92">
        <v>1.8006971278346737</v>
      </c>
    </row>
    <row r="179" spans="2:21" x14ac:dyDescent="0.3">
      <c r="B179" s="292"/>
      <c r="C179" s="9" t="s">
        <v>201</v>
      </c>
      <c r="D179" s="86">
        <v>27.653596475153041</v>
      </c>
      <c r="E179" s="86">
        <v>8.9703430444183976</v>
      </c>
      <c r="F179" s="88">
        <v>7.7675140099281101</v>
      </c>
      <c r="G179" s="88">
        <v>5.3166932719061668</v>
      </c>
      <c r="H179" s="88">
        <v>14.300313986774777</v>
      </c>
      <c r="I179" s="86">
        <v>0.830843846711111</v>
      </c>
      <c r="J179" s="86">
        <v>2.3264332697438128</v>
      </c>
      <c r="K179" s="92">
        <v>9.305921984089327</v>
      </c>
      <c r="L179" s="86">
        <v>3.6512397926470355</v>
      </c>
      <c r="M179" s="88">
        <v>3.4001943404302128</v>
      </c>
      <c r="N179" s="86">
        <v>11.733883878115229</v>
      </c>
      <c r="O179" s="86">
        <v>1.3739635630013181</v>
      </c>
      <c r="P179" s="86">
        <v>1.4272337582725336</v>
      </c>
      <c r="Q179" s="92">
        <v>1.9418247788088996</v>
      </c>
    </row>
    <row r="180" spans="2:21" x14ac:dyDescent="0.3">
      <c r="B180" s="292"/>
      <c r="C180" s="9" t="s">
        <v>202</v>
      </c>
      <c r="D180" s="86">
        <v>22.280014040900049</v>
      </c>
      <c r="E180" s="86">
        <v>5.6199996341843796</v>
      </c>
      <c r="F180" s="88">
        <v>13.217713391567035</v>
      </c>
      <c r="G180" s="88">
        <v>3.8723613236800394</v>
      </c>
      <c r="H180" s="88">
        <v>13.004738638067684</v>
      </c>
      <c r="I180" s="86">
        <v>0</v>
      </c>
      <c r="J180" s="86">
        <v>2.8694150246280143</v>
      </c>
      <c r="K180" s="92">
        <v>10.995602043404777</v>
      </c>
      <c r="L180" s="86">
        <v>3.8259416059424169</v>
      </c>
      <c r="M180" s="88">
        <v>4.6791150279502265</v>
      </c>
      <c r="N180" s="86">
        <v>10.349311633372157</v>
      </c>
      <c r="O180" s="86">
        <v>6.8193622204552868</v>
      </c>
      <c r="P180" s="86">
        <v>1.7380379971467548</v>
      </c>
      <c r="Q180" s="92">
        <v>0.72838741870118284</v>
      </c>
    </row>
    <row r="181" spans="2:21" x14ac:dyDescent="0.3">
      <c r="B181" s="295"/>
      <c r="C181" s="12" t="s">
        <v>203</v>
      </c>
      <c r="D181" s="90">
        <v>26.270417401553786</v>
      </c>
      <c r="E181" s="90">
        <v>6.7162551884679091</v>
      </c>
      <c r="F181" s="91">
        <v>7.8754026683381619</v>
      </c>
      <c r="G181" s="91">
        <v>10.394381714512615</v>
      </c>
      <c r="H181" s="91">
        <v>13.486128722370406</v>
      </c>
      <c r="I181" s="90">
        <v>0.45875668445284135</v>
      </c>
      <c r="J181" s="90">
        <v>1.599495967343344</v>
      </c>
      <c r="K181" s="94">
        <v>13.406369823885386</v>
      </c>
      <c r="L181" s="90">
        <v>3.0145167288079886</v>
      </c>
      <c r="M181" s="91">
        <v>5.1416423314495256</v>
      </c>
      <c r="N181" s="90">
        <v>7.5085786607442317</v>
      </c>
      <c r="O181" s="90">
        <v>2.8733080031301181</v>
      </c>
      <c r="P181" s="90">
        <v>0.76516841440318439</v>
      </c>
      <c r="Q181" s="94">
        <v>0.48957769054037426</v>
      </c>
    </row>
    <row r="182" spans="2:21" x14ac:dyDescent="0.3">
      <c r="B182" s="291" t="s">
        <v>204</v>
      </c>
      <c r="C182" s="13" t="s">
        <v>192</v>
      </c>
      <c r="D182" s="84">
        <v>31.097231840788314</v>
      </c>
      <c r="E182" s="84">
        <v>12.576939858614578</v>
      </c>
      <c r="F182" s="89">
        <v>9.7132425530609439</v>
      </c>
      <c r="G182" s="89">
        <v>6.8264452486700602</v>
      </c>
      <c r="H182" s="89">
        <v>11.241421806294669</v>
      </c>
      <c r="I182" s="84">
        <v>0.35503570361186809</v>
      </c>
      <c r="J182" s="84">
        <v>0.9702658470293517</v>
      </c>
      <c r="K182" s="93">
        <v>10.084957013078414</v>
      </c>
      <c r="L182" s="84">
        <v>2.9997793437333735</v>
      </c>
      <c r="M182" s="89">
        <v>2.7656463081233031</v>
      </c>
      <c r="N182" s="84">
        <v>8.0855823840074148</v>
      </c>
      <c r="O182" s="84">
        <v>2.4960497084340312</v>
      </c>
      <c r="P182" s="84">
        <v>0.59366869205389095</v>
      </c>
      <c r="Q182" s="93">
        <v>0.19373369250007105</v>
      </c>
    </row>
    <row r="183" spans="2:21" x14ac:dyDescent="0.3">
      <c r="B183" s="295"/>
      <c r="C183" s="12" t="s">
        <v>193</v>
      </c>
      <c r="D183" s="90">
        <v>25.556757127571917</v>
      </c>
      <c r="E183" s="90">
        <v>6.8655327472532157</v>
      </c>
      <c r="F183" s="91">
        <v>8.9643084568170703</v>
      </c>
      <c r="G183" s="91">
        <v>8.4268566549027071</v>
      </c>
      <c r="H183" s="91">
        <v>13.861423480171755</v>
      </c>
      <c r="I183" s="90">
        <v>0.41502721045295493</v>
      </c>
      <c r="J183" s="90">
        <v>2.0911603870828097</v>
      </c>
      <c r="K183" s="94">
        <v>11.66949625999318</v>
      </c>
      <c r="L183" s="90">
        <v>3.3152647846277028</v>
      </c>
      <c r="M183" s="91">
        <v>4.3429354521385601</v>
      </c>
      <c r="N183" s="90">
        <v>8.8697530580059656</v>
      </c>
      <c r="O183" s="90">
        <v>3.3542509019790141</v>
      </c>
      <c r="P183" s="90">
        <v>1.3209881075866536</v>
      </c>
      <c r="Q183" s="94">
        <v>0.94624537141651932</v>
      </c>
    </row>
    <row r="184" spans="2:21" ht="16.5" customHeight="1" x14ac:dyDescent="0.3">
      <c r="B184" s="291" t="s">
        <v>209</v>
      </c>
      <c r="C184" s="13" t="s">
        <v>205</v>
      </c>
      <c r="D184" s="84">
        <v>25.046550006692396</v>
      </c>
      <c r="E184" s="84">
        <v>9.4691785201110577</v>
      </c>
      <c r="F184" s="89">
        <v>9.5586677481786264</v>
      </c>
      <c r="G184" s="89">
        <v>6.5871471860586492</v>
      </c>
      <c r="H184" s="89">
        <v>9.3793230920490842</v>
      </c>
      <c r="I184" s="84">
        <v>0</v>
      </c>
      <c r="J184" s="84">
        <v>1.3566455481258055</v>
      </c>
      <c r="K184" s="93">
        <v>14.501656413218525</v>
      </c>
      <c r="L184" s="84">
        <v>4.9252579946318837</v>
      </c>
      <c r="M184" s="89">
        <v>4.5992302234243763</v>
      </c>
      <c r="N184" s="84">
        <v>9.3139181366772412</v>
      </c>
      <c r="O184" s="84">
        <v>3.9557015145103644</v>
      </c>
      <c r="P184" s="84">
        <v>0.80936991114399104</v>
      </c>
      <c r="Q184" s="93">
        <v>0.49735370517802435</v>
      </c>
    </row>
    <row r="185" spans="2:21" x14ac:dyDescent="0.3">
      <c r="B185" s="292"/>
      <c r="C185" s="9" t="s">
        <v>206</v>
      </c>
      <c r="D185" s="86">
        <v>22.062145548051831</v>
      </c>
      <c r="E185" s="86">
        <v>8.1935635631885972</v>
      </c>
      <c r="F185" s="88">
        <v>7.2735852283940137</v>
      </c>
      <c r="G185" s="88">
        <v>11.29612637199973</v>
      </c>
      <c r="H185" s="88">
        <v>15.387734780975885</v>
      </c>
      <c r="I185" s="86">
        <v>0.50802517866066188</v>
      </c>
      <c r="J185" s="86">
        <v>2.6714177000183539</v>
      </c>
      <c r="K185" s="92">
        <v>10.17591802484357</v>
      </c>
      <c r="L185" s="86">
        <v>2.8883012093694767</v>
      </c>
      <c r="M185" s="88">
        <v>3.2460878781572311</v>
      </c>
      <c r="N185" s="86">
        <v>12.377582051841783</v>
      </c>
      <c r="O185" s="86">
        <v>2.8957208894838873</v>
      </c>
      <c r="P185" s="86">
        <v>0.50328379764742925</v>
      </c>
      <c r="Q185" s="92">
        <v>0.52050777736754772</v>
      </c>
    </row>
    <row r="186" spans="2:21" x14ac:dyDescent="0.3">
      <c r="B186" s="292"/>
      <c r="C186" s="9" t="s">
        <v>207</v>
      </c>
      <c r="D186" s="86">
        <v>33.797719195133944</v>
      </c>
      <c r="E186" s="86">
        <v>10.253908011034168</v>
      </c>
      <c r="F186" s="88">
        <v>10.701731009338246</v>
      </c>
      <c r="G186" s="88">
        <v>6.2538888493700107</v>
      </c>
      <c r="H186" s="88">
        <v>13.609024271279138</v>
      </c>
      <c r="I186" s="86">
        <v>0.61525096569900861</v>
      </c>
      <c r="J186" s="86">
        <v>1.0747418219169047</v>
      </c>
      <c r="K186" s="92">
        <v>8.6333519170820292</v>
      </c>
      <c r="L186" s="86">
        <v>2.9716299590108259</v>
      </c>
      <c r="M186" s="88">
        <v>3.0085302967149881</v>
      </c>
      <c r="N186" s="86">
        <v>5.7501214712415294</v>
      </c>
      <c r="O186" s="86">
        <v>1.968606214409468</v>
      </c>
      <c r="P186" s="86">
        <v>0.6329394017774036</v>
      </c>
      <c r="Q186" s="92">
        <v>0.72855661599233024</v>
      </c>
    </row>
    <row r="187" spans="2:21" x14ac:dyDescent="0.3">
      <c r="B187" s="293"/>
      <c r="C187" s="25" t="s">
        <v>208</v>
      </c>
      <c r="D187" s="87">
        <v>29.718738324790788</v>
      </c>
      <c r="E187" s="87">
        <v>11.267399677482286</v>
      </c>
      <c r="F187" s="95">
        <v>9.4645313662526434</v>
      </c>
      <c r="G187" s="95">
        <v>6.73710758190912</v>
      </c>
      <c r="H187" s="95">
        <v>10.791856904451654</v>
      </c>
      <c r="I187" s="87">
        <v>0.26189528251247512</v>
      </c>
      <c r="J187" s="87">
        <v>1.1118316306838723</v>
      </c>
      <c r="K187" s="96">
        <v>11.458730277054338</v>
      </c>
      <c r="L187" s="87">
        <v>2.7185144113409612</v>
      </c>
      <c r="M187" s="95">
        <v>3.5063552105751357</v>
      </c>
      <c r="N187" s="87">
        <v>7.9827767269841674</v>
      </c>
      <c r="O187" s="87">
        <v>3.1854534168017348</v>
      </c>
      <c r="P187" s="87">
        <v>1.4294154833225274</v>
      </c>
      <c r="Q187" s="96">
        <v>0.36539370583826469</v>
      </c>
    </row>
    <row r="188" spans="2:21" x14ac:dyDescent="0.3">
      <c r="B188" s="136"/>
    </row>
    <row r="189" spans="2:21" x14ac:dyDescent="0.3">
      <c r="B189" s="60"/>
      <c r="C189" s="9"/>
      <c r="D189" s="58"/>
      <c r="E189" s="58"/>
      <c r="F189" s="50"/>
      <c r="G189" s="58"/>
      <c r="H189" s="50"/>
      <c r="I189" s="58"/>
      <c r="J189" s="58"/>
      <c r="K189" s="58"/>
      <c r="L189" s="50"/>
      <c r="M189" s="58"/>
      <c r="N189" s="58"/>
    </row>
    <row r="190" spans="2:21" ht="17.25" customHeight="1" x14ac:dyDescent="0.3">
      <c r="B190" s="1" t="s">
        <v>488</v>
      </c>
      <c r="D190" s="59"/>
      <c r="E190" s="59"/>
      <c r="F190" s="304"/>
      <c r="G190" s="304"/>
      <c r="H190" s="304"/>
      <c r="I190" s="304"/>
      <c r="J190" s="304"/>
      <c r="K190" s="304"/>
      <c r="L190" s="304"/>
      <c r="M190" s="304"/>
      <c r="N190" s="304"/>
      <c r="O190" s="304"/>
      <c r="P190" s="304"/>
      <c r="Q190" s="304"/>
      <c r="R190" s="304"/>
      <c r="S190" s="304"/>
      <c r="T190" s="304"/>
      <c r="U190" s="304"/>
    </row>
    <row r="191" spans="2:21" ht="10.5" customHeight="1" x14ac:dyDescent="0.3"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30"/>
      <c r="P191" s="30"/>
      <c r="Q191" s="30" t="s">
        <v>157</v>
      </c>
    </row>
    <row r="192" spans="2:21" s="22" customFormat="1" ht="20.25" customHeight="1" x14ac:dyDescent="0.3">
      <c r="B192" s="307"/>
      <c r="C192" s="307"/>
      <c r="D192" s="300" t="s">
        <v>120</v>
      </c>
      <c r="E192" s="300"/>
      <c r="F192" s="300"/>
      <c r="G192" s="300"/>
      <c r="H192" s="300"/>
      <c r="I192" s="300"/>
      <c r="J192" s="301"/>
      <c r="K192" s="299" t="s">
        <v>125</v>
      </c>
      <c r="L192" s="300"/>
      <c r="M192" s="300"/>
      <c r="N192" s="300"/>
      <c r="O192" s="300"/>
      <c r="P192" s="301"/>
      <c r="Q192" s="212" t="s">
        <v>38</v>
      </c>
    </row>
    <row r="193" spans="2:17" s="22" customFormat="1" ht="27" x14ac:dyDescent="0.3">
      <c r="B193" s="300"/>
      <c r="C193" s="300"/>
      <c r="D193" s="202" t="s">
        <v>39</v>
      </c>
      <c r="E193" s="202" t="s">
        <v>40</v>
      </c>
      <c r="F193" s="202" t="s">
        <v>116</v>
      </c>
      <c r="G193" s="202" t="s">
        <v>117</v>
      </c>
      <c r="H193" s="202" t="s">
        <v>115</v>
      </c>
      <c r="I193" s="202" t="s">
        <v>119</v>
      </c>
      <c r="J193" s="202" t="s">
        <v>300</v>
      </c>
      <c r="K193" s="214" t="s">
        <v>298</v>
      </c>
      <c r="L193" s="202" t="s">
        <v>299</v>
      </c>
      <c r="M193" s="202" t="s">
        <v>121</v>
      </c>
      <c r="N193" s="202" t="s">
        <v>118</v>
      </c>
      <c r="O193" s="202" t="s">
        <v>122</v>
      </c>
      <c r="P193" s="202" t="s">
        <v>124</v>
      </c>
      <c r="Q193" s="214" t="s">
        <v>38</v>
      </c>
    </row>
    <row r="194" spans="2:17" ht="21.75" customHeight="1" x14ac:dyDescent="0.3">
      <c r="B194" s="292" t="s">
        <v>20</v>
      </c>
      <c r="C194" s="292"/>
      <c r="D194" s="86">
        <v>41.915173656952518</v>
      </c>
      <c r="E194" s="86">
        <v>28.42312680069287</v>
      </c>
      <c r="F194" s="88">
        <v>30.691691651244014</v>
      </c>
      <c r="G194" s="88">
        <v>22.3187440176923</v>
      </c>
      <c r="H194" s="88">
        <v>44.369458641714985</v>
      </c>
      <c r="I194" s="86">
        <v>4.1685352223766632</v>
      </c>
      <c r="J194" s="86">
        <v>10.697101321515033</v>
      </c>
      <c r="K194" s="92">
        <v>30.094412125724666</v>
      </c>
      <c r="L194" s="86">
        <v>19.1070153260514</v>
      </c>
      <c r="M194" s="88">
        <v>19.249317324448928</v>
      </c>
      <c r="N194" s="86">
        <v>31.520105892037986</v>
      </c>
      <c r="O194" s="86">
        <v>12.26474427036209</v>
      </c>
      <c r="P194" s="86">
        <v>3.8742191745650918</v>
      </c>
      <c r="Q194" s="92">
        <v>1.3063545746202556</v>
      </c>
    </row>
    <row r="195" spans="2:17" x14ac:dyDescent="0.3">
      <c r="B195" s="296" t="s">
        <v>5</v>
      </c>
      <c r="C195" s="13" t="s">
        <v>0</v>
      </c>
      <c r="D195" s="84">
        <v>0</v>
      </c>
      <c r="E195" s="84">
        <v>0</v>
      </c>
      <c r="F195" s="89">
        <v>0</v>
      </c>
      <c r="G195" s="89">
        <v>0</v>
      </c>
      <c r="H195" s="89">
        <v>0</v>
      </c>
      <c r="I195" s="84">
        <v>0</v>
      </c>
      <c r="J195" s="84">
        <v>0</v>
      </c>
      <c r="K195" s="93">
        <v>0</v>
      </c>
      <c r="L195" s="84">
        <v>0</v>
      </c>
      <c r="M195" s="89">
        <v>0</v>
      </c>
      <c r="N195" s="84">
        <v>0</v>
      </c>
      <c r="O195" s="84">
        <v>0</v>
      </c>
      <c r="P195" s="84">
        <v>0</v>
      </c>
      <c r="Q195" s="93">
        <v>0</v>
      </c>
    </row>
    <row r="196" spans="2:17" x14ac:dyDescent="0.3">
      <c r="B196" s="295"/>
      <c r="C196" s="12" t="s">
        <v>1</v>
      </c>
      <c r="D196" s="90">
        <v>41.915173656952518</v>
      </c>
      <c r="E196" s="90">
        <v>28.42312680069287</v>
      </c>
      <c r="F196" s="91">
        <v>30.691691651244014</v>
      </c>
      <c r="G196" s="91">
        <v>22.3187440176923</v>
      </c>
      <c r="H196" s="91">
        <v>44.369458641714985</v>
      </c>
      <c r="I196" s="90">
        <v>4.1685352223766632</v>
      </c>
      <c r="J196" s="90">
        <v>10.697101321515033</v>
      </c>
      <c r="K196" s="94">
        <v>30.094412125724666</v>
      </c>
      <c r="L196" s="90">
        <v>19.1070153260514</v>
      </c>
      <c r="M196" s="91">
        <v>19.249317324448928</v>
      </c>
      <c r="N196" s="90">
        <v>31.520105892037986</v>
      </c>
      <c r="O196" s="90">
        <v>12.26474427036209</v>
      </c>
      <c r="P196" s="90">
        <v>3.8742191745650918</v>
      </c>
      <c r="Q196" s="94">
        <v>1.3063545746202556</v>
      </c>
    </row>
    <row r="197" spans="2:17" x14ac:dyDescent="0.3">
      <c r="B197" s="296" t="s">
        <v>4</v>
      </c>
      <c r="C197" s="9" t="s">
        <v>175</v>
      </c>
      <c r="D197" s="86">
        <v>32.826700704099387</v>
      </c>
      <c r="E197" s="86">
        <v>21.30426673997497</v>
      </c>
      <c r="F197" s="88">
        <v>35.547575416407881</v>
      </c>
      <c r="G197" s="88">
        <v>10.059908502983061</v>
      </c>
      <c r="H197" s="88">
        <v>25.819744716115267</v>
      </c>
      <c r="I197" s="86">
        <v>2.2312732469936511</v>
      </c>
      <c r="J197" s="86">
        <v>20.26303654956088</v>
      </c>
      <c r="K197" s="92">
        <v>70.324424030136029</v>
      </c>
      <c r="L197" s="86">
        <v>29.535300938777187</v>
      </c>
      <c r="M197" s="88">
        <v>6.9701422024600292</v>
      </c>
      <c r="N197" s="86">
        <v>14.781473686918106</v>
      </c>
      <c r="O197" s="86">
        <v>7.8756832115906823</v>
      </c>
      <c r="P197" s="86">
        <v>15.936666171613901</v>
      </c>
      <c r="Q197" s="92">
        <v>6.5238038823689504</v>
      </c>
    </row>
    <row r="198" spans="2:17" x14ac:dyDescent="0.3">
      <c r="B198" s="292"/>
      <c r="C198" s="9" t="s">
        <v>176</v>
      </c>
      <c r="D198" s="86">
        <v>50.439418682982307</v>
      </c>
      <c r="E198" s="86">
        <v>34.24491567495798</v>
      </c>
      <c r="F198" s="88">
        <v>48.664028753251863</v>
      </c>
      <c r="G198" s="88">
        <v>19.052428196337925</v>
      </c>
      <c r="H198" s="88">
        <v>33.814791429222375</v>
      </c>
      <c r="I198" s="86">
        <v>7.4478550624236837</v>
      </c>
      <c r="J198" s="86">
        <v>8.3263004178757605</v>
      </c>
      <c r="K198" s="92">
        <v>34.995008013921527</v>
      </c>
      <c r="L198" s="86">
        <v>20.227662770337414</v>
      </c>
      <c r="M198" s="88">
        <v>11.093986651426702</v>
      </c>
      <c r="N198" s="86">
        <v>24.792734448340042</v>
      </c>
      <c r="O198" s="86">
        <v>2.8162812137218998</v>
      </c>
      <c r="P198" s="86">
        <v>3.5547784507007205</v>
      </c>
      <c r="Q198" s="92">
        <v>0.5298102344994926</v>
      </c>
    </row>
    <row r="199" spans="2:17" x14ac:dyDescent="0.3">
      <c r="B199" s="292"/>
      <c r="C199" s="9" t="s">
        <v>177</v>
      </c>
      <c r="D199" s="86">
        <v>43.156627851703973</v>
      </c>
      <c r="E199" s="86">
        <v>38.114604577803682</v>
      </c>
      <c r="F199" s="88">
        <v>38.969576697710046</v>
      </c>
      <c r="G199" s="88">
        <v>12.96348284473749</v>
      </c>
      <c r="H199" s="88">
        <v>41.478035380469862</v>
      </c>
      <c r="I199" s="86">
        <v>3.6055090939983767</v>
      </c>
      <c r="J199" s="86">
        <v>9.8791310440065985</v>
      </c>
      <c r="K199" s="92">
        <v>35.205940030260976</v>
      </c>
      <c r="L199" s="86">
        <v>17.173300472973182</v>
      </c>
      <c r="M199" s="88">
        <v>16.800309729667493</v>
      </c>
      <c r="N199" s="86">
        <v>30.444212546739514</v>
      </c>
      <c r="O199" s="86">
        <v>5.1720511843633696</v>
      </c>
      <c r="P199" s="86">
        <v>5.8757479934652723</v>
      </c>
      <c r="Q199" s="92">
        <v>1.1614705521005746</v>
      </c>
    </row>
    <row r="200" spans="2:17" x14ac:dyDescent="0.3">
      <c r="B200" s="292"/>
      <c r="C200" s="9" t="s">
        <v>178</v>
      </c>
      <c r="D200" s="86">
        <v>34.999443414849324</v>
      </c>
      <c r="E200" s="86">
        <v>27.951265129489872</v>
      </c>
      <c r="F200" s="88">
        <v>21.802929425130905</v>
      </c>
      <c r="G200" s="88">
        <v>26.594409644851918</v>
      </c>
      <c r="H200" s="88">
        <v>45.555533899504034</v>
      </c>
      <c r="I200" s="86">
        <v>1.3862666555595173</v>
      </c>
      <c r="J200" s="86">
        <v>7.4655563180298117</v>
      </c>
      <c r="K200" s="92">
        <v>30.638540766282734</v>
      </c>
      <c r="L200" s="86">
        <v>22.961992720060753</v>
      </c>
      <c r="M200" s="88">
        <v>23.806965452851266</v>
      </c>
      <c r="N200" s="86">
        <v>36.929976651121514</v>
      </c>
      <c r="O200" s="86">
        <v>15.259760487432999</v>
      </c>
      <c r="P200" s="86">
        <v>3.1076690009129639</v>
      </c>
      <c r="Q200" s="92">
        <v>1.5396904339224164</v>
      </c>
    </row>
    <row r="201" spans="2:17" x14ac:dyDescent="0.3">
      <c r="B201" s="292"/>
      <c r="C201" s="9" t="s">
        <v>179</v>
      </c>
      <c r="D201" s="86">
        <v>38.615959542161498</v>
      </c>
      <c r="E201" s="86">
        <v>23.861680892579237</v>
      </c>
      <c r="F201" s="88">
        <v>23.917112085985753</v>
      </c>
      <c r="G201" s="88">
        <v>28.387502827891904</v>
      </c>
      <c r="H201" s="88">
        <v>54.677540707785241</v>
      </c>
      <c r="I201" s="86">
        <v>3.599084490493798</v>
      </c>
      <c r="J201" s="86">
        <v>10.61981837469334</v>
      </c>
      <c r="K201" s="92">
        <v>19.420319314124114</v>
      </c>
      <c r="L201" s="86">
        <v>14.675905244105788</v>
      </c>
      <c r="M201" s="88">
        <v>26.645144793542492</v>
      </c>
      <c r="N201" s="86">
        <v>35.224546298369035</v>
      </c>
      <c r="O201" s="86">
        <v>18.116186782894573</v>
      </c>
      <c r="P201" s="86">
        <v>1.8714148085034712</v>
      </c>
      <c r="Q201" s="92">
        <v>0.36778383686944754</v>
      </c>
    </row>
    <row r="202" spans="2:17" x14ac:dyDescent="0.3">
      <c r="B202" s="298"/>
      <c r="C202" s="12" t="s">
        <v>180</v>
      </c>
      <c r="D202" s="90">
        <v>44.7307869029204</v>
      </c>
      <c r="E202" s="90">
        <v>19.501378778097124</v>
      </c>
      <c r="F202" s="91">
        <v>19.312192658251238</v>
      </c>
      <c r="G202" s="91">
        <v>26.15864495901717</v>
      </c>
      <c r="H202" s="91">
        <v>50.616478047744138</v>
      </c>
      <c r="I202" s="90">
        <v>5.335008682235423</v>
      </c>
      <c r="J202" s="90">
        <v>15.946597952094626</v>
      </c>
      <c r="K202" s="94">
        <v>21.767080674630275</v>
      </c>
      <c r="L202" s="90">
        <v>17.616606612098362</v>
      </c>
      <c r="M202" s="91">
        <v>20.182185402734103</v>
      </c>
      <c r="N202" s="90">
        <v>33.335634442195996</v>
      </c>
      <c r="O202" s="90">
        <v>20.840668682399301</v>
      </c>
      <c r="P202" s="90">
        <v>2.7497095239374132</v>
      </c>
      <c r="Q202" s="94">
        <v>1.907026681644381</v>
      </c>
    </row>
    <row r="203" spans="2:17" x14ac:dyDescent="0.3">
      <c r="B203" s="292" t="s">
        <v>223</v>
      </c>
      <c r="C203" s="9" t="s">
        <v>210</v>
      </c>
      <c r="D203" s="86">
        <v>0</v>
      </c>
      <c r="E203" s="86">
        <v>0</v>
      </c>
      <c r="F203" s="88">
        <v>0</v>
      </c>
      <c r="G203" s="88">
        <v>0</v>
      </c>
      <c r="H203" s="88">
        <v>0</v>
      </c>
      <c r="I203" s="86">
        <v>0</v>
      </c>
      <c r="J203" s="86">
        <v>0</v>
      </c>
      <c r="K203" s="92">
        <v>0</v>
      </c>
      <c r="L203" s="86">
        <v>0</v>
      </c>
      <c r="M203" s="88">
        <v>0</v>
      </c>
      <c r="N203" s="86">
        <v>0</v>
      </c>
      <c r="O203" s="86">
        <v>0</v>
      </c>
      <c r="P203" s="86">
        <v>0</v>
      </c>
      <c r="Q203" s="92">
        <v>0</v>
      </c>
    </row>
    <row r="204" spans="2:17" x14ac:dyDescent="0.3">
      <c r="B204" s="292"/>
      <c r="C204" s="9" t="s">
        <v>211</v>
      </c>
      <c r="D204" s="86">
        <v>0</v>
      </c>
      <c r="E204" s="86">
        <v>0</v>
      </c>
      <c r="F204" s="88">
        <v>0</v>
      </c>
      <c r="G204" s="88">
        <v>0</v>
      </c>
      <c r="H204" s="88">
        <v>0</v>
      </c>
      <c r="I204" s="86">
        <v>0</v>
      </c>
      <c r="J204" s="86">
        <v>0</v>
      </c>
      <c r="K204" s="92">
        <v>0</v>
      </c>
      <c r="L204" s="86">
        <v>0</v>
      </c>
      <c r="M204" s="88">
        <v>0</v>
      </c>
      <c r="N204" s="86">
        <v>0</v>
      </c>
      <c r="O204" s="86">
        <v>0</v>
      </c>
      <c r="P204" s="86">
        <v>0</v>
      </c>
      <c r="Q204" s="92">
        <v>0</v>
      </c>
    </row>
    <row r="205" spans="2:17" x14ac:dyDescent="0.3">
      <c r="B205" s="292"/>
      <c r="C205" s="9" t="s">
        <v>212</v>
      </c>
      <c r="D205" s="86">
        <v>0</v>
      </c>
      <c r="E205" s="86">
        <v>0</v>
      </c>
      <c r="F205" s="88">
        <v>0</v>
      </c>
      <c r="G205" s="88">
        <v>0</v>
      </c>
      <c r="H205" s="88">
        <v>0</v>
      </c>
      <c r="I205" s="86">
        <v>0</v>
      </c>
      <c r="J205" s="86">
        <v>0</v>
      </c>
      <c r="K205" s="92">
        <v>0</v>
      </c>
      <c r="L205" s="86">
        <v>0</v>
      </c>
      <c r="M205" s="88">
        <v>0</v>
      </c>
      <c r="N205" s="86">
        <v>0</v>
      </c>
      <c r="O205" s="86">
        <v>0</v>
      </c>
      <c r="P205" s="86">
        <v>0</v>
      </c>
      <c r="Q205" s="92">
        <v>0</v>
      </c>
    </row>
    <row r="206" spans="2:17" x14ac:dyDescent="0.3">
      <c r="B206" s="292"/>
      <c r="C206" s="9" t="s">
        <v>213</v>
      </c>
      <c r="D206" s="86">
        <v>0</v>
      </c>
      <c r="E206" s="86">
        <v>0</v>
      </c>
      <c r="F206" s="88">
        <v>0</v>
      </c>
      <c r="G206" s="88">
        <v>0</v>
      </c>
      <c r="H206" s="88">
        <v>0</v>
      </c>
      <c r="I206" s="86">
        <v>0</v>
      </c>
      <c r="J206" s="86">
        <v>0</v>
      </c>
      <c r="K206" s="92">
        <v>0</v>
      </c>
      <c r="L206" s="86">
        <v>0</v>
      </c>
      <c r="M206" s="88">
        <v>0</v>
      </c>
      <c r="N206" s="86">
        <v>0</v>
      </c>
      <c r="O206" s="86">
        <v>0</v>
      </c>
      <c r="P206" s="86">
        <v>0</v>
      </c>
      <c r="Q206" s="92">
        <v>0</v>
      </c>
    </row>
    <row r="207" spans="2:17" x14ac:dyDescent="0.3">
      <c r="B207" s="292"/>
      <c r="C207" s="9" t="s">
        <v>214</v>
      </c>
      <c r="D207" s="86">
        <v>0</v>
      </c>
      <c r="E207" s="86">
        <v>0</v>
      </c>
      <c r="F207" s="88">
        <v>0</v>
      </c>
      <c r="G207" s="88">
        <v>0</v>
      </c>
      <c r="H207" s="88">
        <v>0</v>
      </c>
      <c r="I207" s="86">
        <v>0</v>
      </c>
      <c r="J207" s="86">
        <v>0</v>
      </c>
      <c r="K207" s="92">
        <v>0</v>
      </c>
      <c r="L207" s="86">
        <v>0</v>
      </c>
      <c r="M207" s="88">
        <v>0</v>
      </c>
      <c r="N207" s="86">
        <v>0</v>
      </c>
      <c r="O207" s="86">
        <v>0</v>
      </c>
      <c r="P207" s="86">
        <v>0</v>
      </c>
      <c r="Q207" s="92">
        <v>0</v>
      </c>
    </row>
    <row r="208" spans="2:17" x14ac:dyDescent="0.3">
      <c r="B208" s="292"/>
      <c r="C208" s="12" t="s">
        <v>215</v>
      </c>
      <c r="D208" s="90">
        <v>0</v>
      </c>
      <c r="E208" s="90">
        <v>0</v>
      </c>
      <c r="F208" s="91">
        <v>0</v>
      </c>
      <c r="G208" s="91">
        <v>0</v>
      </c>
      <c r="H208" s="91">
        <v>0</v>
      </c>
      <c r="I208" s="90">
        <v>0</v>
      </c>
      <c r="J208" s="90">
        <v>0</v>
      </c>
      <c r="K208" s="94">
        <v>0</v>
      </c>
      <c r="L208" s="90">
        <v>0</v>
      </c>
      <c r="M208" s="91">
        <v>0</v>
      </c>
      <c r="N208" s="90">
        <v>0</v>
      </c>
      <c r="O208" s="90">
        <v>0</v>
      </c>
      <c r="P208" s="90">
        <v>0</v>
      </c>
      <c r="Q208" s="94">
        <v>0</v>
      </c>
    </row>
    <row r="209" spans="2:17" x14ac:dyDescent="0.3">
      <c r="B209" s="292"/>
      <c r="C209" s="9" t="s">
        <v>216</v>
      </c>
      <c r="D209" s="86">
        <v>32.826700704099387</v>
      </c>
      <c r="E209" s="86">
        <v>21.30426673997497</v>
      </c>
      <c r="F209" s="88">
        <v>35.547575416407881</v>
      </c>
      <c r="G209" s="88">
        <v>10.059908502983061</v>
      </c>
      <c r="H209" s="88">
        <v>25.819744716115267</v>
      </c>
      <c r="I209" s="86">
        <v>2.2312732469936511</v>
      </c>
      <c r="J209" s="86">
        <v>20.26303654956088</v>
      </c>
      <c r="K209" s="92">
        <v>70.324424030136029</v>
      </c>
      <c r="L209" s="86">
        <v>29.535300938777187</v>
      </c>
      <c r="M209" s="88">
        <v>6.9701422024600292</v>
      </c>
      <c r="N209" s="86">
        <v>14.781473686918106</v>
      </c>
      <c r="O209" s="86">
        <v>7.8756832115906823</v>
      </c>
      <c r="P209" s="86">
        <v>15.936666171613901</v>
      </c>
      <c r="Q209" s="92">
        <v>6.5238038823689504</v>
      </c>
    </row>
    <row r="210" spans="2:17" x14ac:dyDescent="0.3">
      <c r="B210" s="292"/>
      <c r="C210" s="9" t="s">
        <v>217</v>
      </c>
      <c r="D210" s="86">
        <v>50.439418682982307</v>
      </c>
      <c r="E210" s="86">
        <v>34.24491567495798</v>
      </c>
      <c r="F210" s="88">
        <v>48.664028753251863</v>
      </c>
      <c r="G210" s="88">
        <v>19.052428196337925</v>
      </c>
      <c r="H210" s="88">
        <v>33.814791429222375</v>
      </c>
      <c r="I210" s="86">
        <v>7.4478550624236837</v>
      </c>
      <c r="J210" s="86">
        <v>8.3263004178757605</v>
      </c>
      <c r="K210" s="92">
        <v>34.995008013921527</v>
      </c>
      <c r="L210" s="86">
        <v>20.227662770337414</v>
      </c>
      <c r="M210" s="88">
        <v>11.093986651426702</v>
      </c>
      <c r="N210" s="86">
        <v>24.792734448340042</v>
      </c>
      <c r="O210" s="86">
        <v>2.8162812137218998</v>
      </c>
      <c r="P210" s="86">
        <v>3.5547784507007205</v>
      </c>
      <c r="Q210" s="92">
        <v>0.5298102344994926</v>
      </c>
    </row>
    <row r="211" spans="2:17" x14ac:dyDescent="0.3">
      <c r="B211" s="292"/>
      <c r="C211" s="9" t="s">
        <v>218</v>
      </c>
      <c r="D211" s="86">
        <v>43.156627851703973</v>
      </c>
      <c r="E211" s="86">
        <v>38.114604577803682</v>
      </c>
      <c r="F211" s="88">
        <v>38.969576697710046</v>
      </c>
      <c r="G211" s="88">
        <v>12.96348284473749</v>
      </c>
      <c r="H211" s="88">
        <v>41.478035380469862</v>
      </c>
      <c r="I211" s="86">
        <v>3.6055090939983767</v>
      </c>
      <c r="J211" s="86">
        <v>9.8791310440065985</v>
      </c>
      <c r="K211" s="92">
        <v>35.205940030260976</v>
      </c>
      <c r="L211" s="86">
        <v>17.173300472973182</v>
      </c>
      <c r="M211" s="88">
        <v>16.800309729667493</v>
      </c>
      <c r="N211" s="86">
        <v>30.444212546739514</v>
      </c>
      <c r="O211" s="86">
        <v>5.1720511843633696</v>
      </c>
      <c r="P211" s="86">
        <v>5.8757479934652723</v>
      </c>
      <c r="Q211" s="92">
        <v>1.1614705521005746</v>
      </c>
    </row>
    <row r="212" spans="2:17" x14ac:dyDescent="0.3">
      <c r="B212" s="292"/>
      <c r="C212" s="9" t="s">
        <v>219</v>
      </c>
      <c r="D212" s="86">
        <v>34.999443414849324</v>
      </c>
      <c r="E212" s="86">
        <v>27.951265129489872</v>
      </c>
      <c r="F212" s="88">
        <v>21.802929425130905</v>
      </c>
      <c r="G212" s="88">
        <v>26.594409644851918</v>
      </c>
      <c r="H212" s="88">
        <v>45.555533899504034</v>
      </c>
      <c r="I212" s="86">
        <v>1.3862666555595173</v>
      </c>
      <c r="J212" s="86">
        <v>7.4655563180298117</v>
      </c>
      <c r="K212" s="92">
        <v>30.638540766282734</v>
      </c>
      <c r="L212" s="86">
        <v>22.961992720060753</v>
      </c>
      <c r="M212" s="88">
        <v>23.806965452851266</v>
      </c>
      <c r="N212" s="86">
        <v>36.929976651121514</v>
      </c>
      <c r="O212" s="86">
        <v>15.259760487432999</v>
      </c>
      <c r="P212" s="86">
        <v>3.1076690009129639</v>
      </c>
      <c r="Q212" s="92">
        <v>1.5396904339224164</v>
      </c>
    </row>
    <row r="213" spans="2:17" x14ac:dyDescent="0.3">
      <c r="B213" s="292"/>
      <c r="C213" s="9" t="s">
        <v>220</v>
      </c>
      <c r="D213" s="86">
        <v>38.615959542161498</v>
      </c>
      <c r="E213" s="86">
        <v>23.861680892579237</v>
      </c>
      <c r="F213" s="88">
        <v>23.917112085985753</v>
      </c>
      <c r="G213" s="88">
        <v>28.387502827891904</v>
      </c>
      <c r="H213" s="88">
        <v>54.677540707785241</v>
      </c>
      <c r="I213" s="86">
        <v>3.599084490493798</v>
      </c>
      <c r="J213" s="86">
        <v>10.61981837469334</v>
      </c>
      <c r="K213" s="92">
        <v>19.420319314124114</v>
      </c>
      <c r="L213" s="86">
        <v>14.675905244105788</v>
      </c>
      <c r="M213" s="88">
        <v>26.645144793542492</v>
      </c>
      <c r="N213" s="86">
        <v>35.224546298369035</v>
      </c>
      <c r="O213" s="86">
        <v>18.116186782894573</v>
      </c>
      <c r="P213" s="86">
        <v>1.8714148085034712</v>
      </c>
      <c r="Q213" s="92">
        <v>0.36778383686944754</v>
      </c>
    </row>
    <row r="214" spans="2:17" x14ac:dyDescent="0.3">
      <c r="B214" s="295"/>
      <c r="C214" s="9" t="s">
        <v>221</v>
      </c>
      <c r="D214" s="86">
        <v>44.7307869029204</v>
      </c>
      <c r="E214" s="86">
        <v>19.501378778097124</v>
      </c>
      <c r="F214" s="88">
        <v>19.312192658251238</v>
      </c>
      <c r="G214" s="88">
        <v>26.15864495901717</v>
      </c>
      <c r="H214" s="88">
        <v>50.616478047744138</v>
      </c>
      <c r="I214" s="86">
        <v>5.335008682235423</v>
      </c>
      <c r="J214" s="86">
        <v>15.946597952094626</v>
      </c>
      <c r="K214" s="92">
        <v>21.767080674630275</v>
      </c>
      <c r="L214" s="86">
        <v>17.616606612098362</v>
      </c>
      <c r="M214" s="88">
        <v>20.182185402734103</v>
      </c>
      <c r="N214" s="86">
        <v>33.335634442195996</v>
      </c>
      <c r="O214" s="86">
        <v>20.840668682399301</v>
      </c>
      <c r="P214" s="86">
        <v>2.7497095239374132</v>
      </c>
      <c r="Q214" s="92">
        <v>1.907026681644381</v>
      </c>
    </row>
    <row r="215" spans="2:17" ht="16.5" customHeight="1" x14ac:dyDescent="0.3">
      <c r="B215" s="291" t="s">
        <v>222</v>
      </c>
      <c r="C215" s="13" t="s">
        <v>226</v>
      </c>
      <c r="D215" s="84">
        <v>39.554595691045776</v>
      </c>
      <c r="E215" s="84">
        <v>29.7908653080382</v>
      </c>
      <c r="F215" s="89">
        <v>30.624558271172226</v>
      </c>
      <c r="G215" s="89">
        <v>28.983355958173227</v>
      </c>
      <c r="H215" s="89">
        <v>36.644199658595568</v>
      </c>
      <c r="I215" s="84">
        <v>4.7420016167429324</v>
      </c>
      <c r="J215" s="84">
        <v>14.485321987480424</v>
      </c>
      <c r="K215" s="93">
        <v>24.879506226903516</v>
      </c>
      <c r="L215" s="84">
        <v>18.915517460450786</v>
      </c>
      <c r="M215" s="89">
        <v>16.475279184763348</v>
      </c>
      <c r="N215" s="84">
        <v>35.156455569113085</v>
      </c>
      <c r="O215" s="84">
        <v>12.888291135498736</v>
      </c>
      <c r="P215" s="84">
        <v>5.248810459043475</v>
      </c>
      <c r="Q215" s="93">
        <v>1.611241472978606</v>
      </c>
    </row>
    <row r="216" spans="2:17" ht="16.5" customHeight="1" x14ac:dyDescent="0.3">
      <c r="B216" s="294"/>
      <c r="C216" s="9" t="s">
        <v>227</v>
      </c>
      <c r="D216" s="86">
        <v>44.731135064244128</v>
      </c>
      <c r="E216" s="86">
        <v>25.055057920358109</v>
      </c>
      <c r="F216" s="88">
        <v>26.90840895725135</v>
      </c>
      <c r="G216" s="88">
        <v>24.140126371933135</v>
      </c>
      <c r="H216" s="88">
        <v>43.715986368666769</v>
      </c>
      <c r="I216" s="86">
        <v>4.0610645082933834</v>
      </c>
      <c r="J216" s="86">
        <v>10.937015500823371</v>
      </c>
      <c r="K216" s="92">
        <v>31.939648639622177</v>
      </c>
      <c r="L216" s="86">
        <v>14.801946025556564</v>
      </c>
      <c r="M216" s="88">
        <v>20.541769369333</v>
      </c>
      <c r="N216" s="86">
        <v>32.739156064359904</v>
      </c>
      <c r="O216" s="86">
        <v>15.600238500659581</v>
      </c>
      <c r="P216" s="86">
        <v>4.0389221262009674</v>
      </c>
      <c r="Q216" s="92">
        <v>0.78952458269761194</v>
      </c>
    </row>
    <row r="217" spans="2:17" x14ac:dyDescent="0.3">
      <c r="B217" s="292"/>
      <c r="C217" s="9" t="s">
        <v>228</v>
      </c>
      <c r="D217" s="86">
        <v>37.200497528381362</v>
      </c>
      <c r="E217" s="86">
        <v>28.001445266422103</v>
      </c>
      <c r="F217" s="88">
        <v>33.139497146659352</v>
      </c>
      <c r="G217" s="88">
        <v>23.958600875605711</v>
      </c>
      <c r="H217" s="88">
        <v>44.288346922696967</v>
      </c>
      <c r="I217" s="86">
        <v>2.9984655488877743</v>
      </c>
      <c r="J217" s="86">
        <v>11.046545475578919</v>
      </c>
      <c r="K217" s="92">
        <v>29.407574474415426</v>
      </c>
      <c r="L217" s="86">
        <v>23.535598977628059</v>
      </c>
      <c r="M217" s="88">
        <v>18.598063276732692</v>
      </c>
      <c r="N217" s="86">
        <v>29.688117533229107</v>
      </c>
      <c r="O217" s="86">
        <v>11.918266752580365</v>
      </c>
      <c r="P217" s="86">
        <v>4.2787515378336813</v>
      </c>
      <c r="Q217" s="92">
        <v>1.9402286833484119</v>
      </c>
    </row>
    <row r="218" spans="2:17" x14ac:dyDescent="0.3">
      <c r="B218" s="295"/>
      <c r="C218" s="12" t="s">
        <v>229</v>
      </c>
      <c r="D218" s="90">
        <v>44.627650610405652</v>
      </c>
      <c r="E218" s="90">
        <v>30.70386638201953</v>
      </c>
      <c r="F218" s="91">
        <v>32.61549163810183</v>
      </c>
      <c r="G218" s="91">
        <v>13.591422973759759</v>
      </c>
      <c r="H218" s="91">
        <v>51.831426136461268</v>
      </c>
      <c r="I218" s="90">
        <v>4.5861820593963269</v>
      </c>
      <c r="J218" s="90">
        <v>6.897229408648589</v>
      </c>
      <c r="K218" s="94">
        <v>33.41105313185038</v>
      </c>
      <c r="L218" s="90">
        <v>20.24604161523801</v>
      </c>
      <c r="M218" s="91">
        <v>20.919718780983427</v>
      </c>
      <c r="N218" s="90">
        <v>28.455519114242705</v>
      </c>
      <c r="O218" s="90">
        <v>8.8036154832454194</v>
      </c>
      <c r="P218" s="90">
        <v>2.2273467932000202</v>
      </c>
      <c r="Q218" s="94">
        <v>1.0834358724468895</v>
      </c>
    </row>
    <row r="219" spans="2:17" x14ac:dyDescent="0.3">
      <c r="B219" s="296" t="s">
        <v>199</v>
      </c>
      <c r="C219" s="13" t="s">
        <v>192</v>
      </c>
      <c r="D219" s="84">
        <v>44.143030630377631</v>
      </c>
      <c r="E219" s="84">
        <v>36.206304526626496</v>
      </c>
      <c r="F219" s="89">
        <v>33.661512921575124</v>
      </c>
      <c r="G219" s="89">
        <v>20.575473822303138</v>
      </c>
      <c r="H219" s="89">
        <v>44.836760419204595</v>
      </c>
      <c r="I219" s="84">
        <v>4.1325352077995623</v>
      </c>
      <c r="J219" s="84">
        <v>9.2046043244658406</v>
      </c>
      <c r="K219" s="93">
        <v>30.043841633125524</v>
      </c>
      <c r="L219" s="84">
        <v>18.392383520838855</v>
      </c>
      <c r="M219" s="89">
        <v>16.89037683356857</v>
      </c>
      <c r="N219" s="84">
        <v>29.121805976953681</v>
      </c>
      <c r="O219" s="84">
        <v>9.6917426465823464</v>
      </c>
      <c r="P219" s="84">
        <v>2.5559836013244368</v>
      </c>
      <c r="Q219" s="93">
        <v>0.54364393525509347</v>
      </c>
    </row>
    <row r="220" spans="2:17" x14ac:dyDescent="0.3">
      <c r="B220" s="292"/>
      <c r="C220" s="9" t="s">
        <v>200</v>
      </c>
      <c r="D220" s="86">
        <v>43.546442275787236</v>
      </c>
      <c r="E220" s="86">
        <v>28.892624321131471</v>
      </c>
      <c r="F220" s="88">
        <v>27.915844951074963</v>
      </c>
      <c r="G220" s="88">
        <v>32.291702994230072</v>
      </c>
      <c r="H220" s="88">
        <v>36.584282078277766</v>
      </c>
      <c r="I220" s="86">
        <v>1.9046261941198974</v>
      </c>
      <c r="J220" s="86">
        <v>12.65975138348287</v>
      </c>
      <c r="K220" s="92">
        <v>20.178840809783821</v>
      </c>
      <c r="L220" s="86">
        <v>22.226943983162812</v>
      </c>
      <c r="M220" s="88">
        <v>16.173144936515936</v>
      </c>
      <c r="N220" s="86">
        <v>21.162821649454816</v>
      </c>
      <c r="O220" s="86">
        <v>23.08739533691875</v>
      </c>
      <c r="P220" s="86">
        <v>8.8848634171820233</v>
      </c>
      <c r="Q220" s="92">
        <v>4.4907156688775656</v>
      </c>
    </row>
    <row r="221" spans="2:17" x14ac:dyDescent="0.3">
      <c r="B221" s="292"/>
      <c r="C221" s="9" t="s">
        <v>201</v>
      </c>
      <c r="D221" s="86">
        <v>38.308185884551158</v>
      </c>
      <c r="E221" s="86">
        <v>21.845656097888956</v>
      </c>
      <c r="F221" s="88">
        <v>25.914654289497545</v>
      </c>
      <c r="G221" s="88">
        <v>26.339145327629993</v>
      </c>
      <c r="H221" s="88">
        <v>46.834897945806816</v>
      </c>
      <c r="I221" s="86">
        <v>4.5212393052535669</v>
      </c>
      <c r="J221" s="86">
        <v>16.047574127701285</v>
      </c>
      <c r="K221" s="92">
        <v>31.116967801835532</v>
      </c>
      <c r="L221" s="86">
        <v>16.571052121367899</v>
      </c>
      <c r="M221" s="88">
        <v>12.811576939887123</v>
      </c>
      <c r="N221" s="86">
        <v>35.380563695787806</v>
      </c>
      <c r="O221" s="86">
        <v>16.578159941513729</v>
      </c>
      <c r="P221" s="86">
        <v>3.5403440416983498</v>
      </c>
      <c r="Q221" s="92">
        <v>4.1899824795801131</v>
      </c>
    </row>
    <row r="222" spans="2:17" x14ac:dyDescent="0.3">
      <c r="B222" s="292"/>
      <c r="C222" s="9" t="s">
        <v>202</v>
      </c>
      <c r="D222" s="86">
        <v>31.32017021188781</v>
      </c>
      <c r="E222" s="86">
        <v>14.990732342479557</v>
      </c>
      <c r="F222" s="88">
        <v>31.194815115319351</v>
      </c>
      <c r="G222" s="88">
        <v>14.400152688275664</v>
      </c>
      <c r="H222" s="88">
        <v>43.973853324828241</v>
      </c>
      <c r="I222" s="86">
        <v>5.2095913972292882</v>
      </c>
      <c r="J222" s="86">
        <v>7.5918289887322672</v>
      </c>
      <c r="K222" s="92">
        <v>32.405632156390737</v>
      </c>
      <c r="L222" s="86">
        <v>20.528332941744946</v>
      </c>
      <c r="M222" s="88">
        <v>30.258686927315122</v>
      </c>
      <c r="N222" s="86">
        <v>41.22482621879125</v>
      </c>
      <c r="O222" s="86">
        <v>18.852430532469853</v>
      </c>
      <c r="P222" s="86">
        <v>5.165284275918502</v>
      </c>
      <c r="Q222" s="92">
        <v>2.8836628786174634</v>
      </c>
    </row>
    <row r="223" spans="2:17" x14ac:dyDescent="0.3">
      <c r="B223" s="295"/>
      <c r="C223" s="12" t="s">
        <v>203</v>
      </c>
      <c r="D223" s="90">
        <v>42.264222987790475</v>
      </c>
      <c r="E223" s="90">
        <v>17.211364781403226</v>
      </c>
      <c r="F223" s="91">
        <v>25.324996036401071</v>
      </c>
      <c r="G223" s="91">
        <v>27.261411794950529</v>
      </c>
      <c r="H223" s="91">
        <v>43.159558649546007</v>
      </c>
      <c r="I223" s="90">
        <v>3.9165856857343182</v>
      </c>
      <c r="J223" s="90">
        <v>13.243604437931106</v>
      </c>
      <c r="K223" s="94">
        <v>29.936919810491723</v>
      </c>
      <c r="L223" s="90">
        <v>21.093934823008393</v>
      </c>
      <c r="M223" s="91">
        <v>23.767218373263805</v>
      </c>
      <c r="N223" s="90">
        <v>32.930040178334892</v>
      </c>
      <c r="O223" s="90">
        <v>12.748982889599509</v>
      </c>
      <c r="P223" s="90">
        <v>6.2490310040628456</v>
      </c>
      <c r="Q223" s="94">
        <v>0.89212854748175252</v>
      </c>
    </row>
    <row r="224" spans="2:17" x14ac:dyDescent="0.3">
      <c r="B224" s="291" t="s">
        <v>204</v>
      </c>
      <c r="C224" s="13" t="s">
        <v>192</v>
      </c>
      <c r="D224" s="84">
        <v>44.143030630377631</v>
      </c>
      <c r="E224" s="84">
        <v>36.206304526626496</v>
      </c>
      <c r="F224" s="89">
        <v>33.661512921575124</v>
      </c>
      <c r="G224" s="89">
        <v>20.575473822303138</v>
      </c>
      <c r="H224" s="89">
        <v>44.836760419204595</v>
      </c>
      <c r="I224" s="84">
        <v>4.1325352077995623</v>
      </c>
      <c r="J224" s="84">
        <v>9.2046043244658406</v>
      </c>
      <c r="K224" s="93">
        <v>30.043841633125524</v>
      </c>
      <c r="L224" s="84">
        <v>18.392383520838855</v>
      </c>
      <c r="M224" s="89">
        <v>16.89037683356857</v>
      </c>
      <c r="N224" s="84">
        <v>29.121805976953681</v>
      </c>
      <c r="O224" s="84">
        <v>9.6917426465823464</v>
      </c>
      <c r="P224" s="84">
        <v>2.5559836013244368</v>
      </c>
      <c r="Q224" s="93">
        <v>0.54364393525509347</v>
      </c>
    </row>
    <row r="225" spans="2:19" x14ac:dyDescent="0.3">
      <c r="B225" s="295"/>
      <c r="C225" s="12" t="s">
        <v>193</v>
      </c>
      <c r="D225" s="90">
        <v>39.06474086275059</v>
      </c>
      <c r="E225" s="90">
        <v>18.464935903456041</v>
      </c>
      <c r="F225" s="91">
        <v>26.891952241197036</v>
      </c>
      <c r="G225" s="91">
        <v>24.549171999994194</v>
      </c>
      <c r="H225" s="91">
        <v>43.771569132992994</v>
      </c>
      <c r="I225" s="90">
        <v>4.2145954602494289</v>
      </c>
      <c r="J225" s="90">
        <v>12.606677401301575</v>
      </c>
      <c r="K225" s="94">
        <v>30.159114569482892</v>
      </c>
      <c r="L225" s="90">
        <v>20.021351370805149</v>
      </c>
      <c r="M225" s="91">
        <v>22.267464995051281</v>
      </c>
      <c r="N225" s="90">
        <v>34.588611998954072</v>
      </c>
      <c r="O225" s="90">
        <v>15.55677257174945</v>
      </c>
      <c r="P225" s="90">
        <v>5.5608363826136316</v>
      </c>
      <c r="Q225" s="94">
        <v>2.2822051094018154</v>
      </c>
    </row>
    <row r="226" spans="2:19" ht="16.5" customHeight="1" x14ac:dyDescent="0.3">
      <c r="B226" s="291" t="s">
        <v>209</v>
      </c>
      <c r="C226" s="13" t="s">
        <v>205</v>
      </c>
      <c r="D226" s="84">
        <v>44.10924193021151</v>
      </c>
      <c r="E226" s="84">
        <v>27.561420969751797</v>
      </c>
      <c r="F226" s="89">
        <v>26.709778587134458</v>
      </c>
      <c r="G226" s="89">
        <v>18.505268827409559</v>
      </c>
      <c r="H226" s="89">
        <v>34.941752926758255</v>
      </c>
      <c r="I226" s="84">
        <v>7.6028925521040929</v>
      </c>
      <c r="J226" s="84">
        <v>13.751482447552466</v>
      </c>
      <c r="K226" s="93">
        <v>34.698102138025902</v>
      </c>
      <c r="L226" s="84">
        <v>16.723554523374872</v>
      </c>
      <c r="M226" s="89">
        <v>22.184240543655431</v>
      </c>
      <c r="N226" s="84">
        <v>37.918239347498499</v>
      </c>
      <c r="O226" s="84">
        <v>11.994349119411449</v>
      </c>
      <c r="P226" s="84">
        <v>2.8023223819337439</v>
      </c>
      <c r="Q226" s="93">
        <v>0.49735370517802435</v>
      </c>
    </row>
    <row r="227" spans="2:19" x14ac:dyDescent="0.3">
      <c r="B227" s="292"/>
      <c r="C227" s="9" t="s">
        <v>206</v>
      </c>
      <c r="D227" s="86">
        <v>33.3583494936425</v>
      </c>
      <c r="E227" s="86">
        <v>21.935227392267709</v>
      </c>
      <c r="F227" s="88">
        <v>23.710842026936188</v>
      </c>
      <c r="G227" s="88">
        <v>24.652945356641592</v>
      </c>
      <c r="H227" s="88">
        <v>47.010026879580977</v>
      </c>
      <c r="I227" s="86">
        <v>3.9101798969175325</v>
      </c>
      <c r="J227" s="86">
        <v>13.279593871067727</v>
      </c>
      <c r="K227" s="92">
        <v>26.505257602276988</v>
      </c>
      <c r="L227" s="86">
        <v>20.95373965825549</v>
      </c>
      <c r="M227" s="88">
        <v>22.098322933566745</v>
      </c>
      <c r="N227" s="86">
        <v>37.34418187646051</v>
      </c>
      <c r="O227" s="86">
        <v>18.966327091417089</v>
      </c>
      <c r="P227" s="86">
        <v>3.277876518634141</v>
      </c>
      <c r="Q227" s="92">
        <v>2.9971294023348403</v>
      </c>
    </row>
    <row r="228" spans="2:19" x14ac:dyDescent="0.3">
      <c r="B228" s="292"/>
      <c r="C228" s="9" t="s">
        <v>207</v>
      </c>
      <c r="D228" s="86">
        <v>49.308334046316354</v>
      </c>
      <c r="E228" s="86">
        <v>32.276666085839942</v>
      </c>
      <c r="F228" s="88">
        <v>34.51235578044551</v>
      </c>
      <c r="G228" s="88">
        <v>24.65617462066302</v>
      </c>
      <c r="H228" s="88">
        <v>45.182715948907905</v>
      </c>
      <c r="I228" s="86">
        <v>3.6066565920044829</v>
      </c>
      <c r="J228" s="86">
        <v>8.3635830014137742</v>
      </c>
      <c r="K228" s="92">
        <v>27.451134944892956</v>
      </c>
      <c r="L228" s="86">
        <v>21.175908941266094</v>
      </c>
      <c r="M228" s="88">
        <v>16.512112780591583</v>
      </c>
      <c r="N228" s="86">
        <v>26.43489495002359</v>
      </c>
      <c r="O228" s="86">
        <v>6.3655024362603578</v>
      </c>
      <c r="P228" s="86">
        <v>2.8136566478525635</v>
      </c>
      <c r="Q228" s="92">
        <v>1.3403032235217998</v>
      </c>
    </row>
    <row r="229" spans="2:19" x14ac:dyDescent="0.3">
      <c r="B229" s="293"/>
      <c r="C229" s="25" t="s">
        <v>208</v>
      </c>
      <c r="D229" s="87">
        <v>39.934280953143059</v>
      </c>
      <c r="E229" s="87">
        <v>29.382638145847405</v>
      </c>
      <c r="F229" s="95">
        <v>33.203757816244149</v>
      </c>
      <c r="G229" s="95">
        <v>20.494127352308563</v>
      </c>
      <c r="H229" s="95">
        <v>45.85604762292467</v>
      </c>
      <c r="I229" s="87">
        <v>3.4327392723038113</v>
      </c>
      <c r="J229" s="87">
        <v>9.9109545438880016</v>
      </c>
      <c r="K229" s="96">
        <v>32.604162824525709</v>
      </c>
      <c r="L229" s="87">
        <v>17.229564334589327</v>
      </c>
      <c r="M229" s="95">
        <v>18.689892642956028</v>
      </c>
      <c r="N229" s="87">
        <v>29.792840518999348</v>
      </c>
      <c r="O229" s="87">
        <v>13.33473421738652</v>
      </c>
      <c r="P229" s="87">
        <v>5.5362942103284043</v>
      </c>
      <c r="Q229" s="96">
        <v>0.59796554455494089</v>
      </c>
    </row>
    <row r="230" spans="2:19" x14ac:dyDescent="0.3">
      <c r="B230" s="136"/>
    </row>
    <row r="231" spans="2:19" x14ac:dyDescent="0.3">
      <c r="B231" s="60"/>
      <c r="C231" s="9"/>
      <c r="D231" s="58"/>
      <c r="E231" s="58"/>
      <c r="F231" s="50"/>
      <c r="G231" s="58"/>
      <c r="H231" s="50"/>
      <c r="I231" s="58"/>
      <c r="J231" s="58"/>
      <c r="K231" s="58"/>
      <c r="L231" s="50"/>
      <c r="M231" s="58"/>
      <c r="N231" s="58"/>
    </row>
    <row r="232" spans="2:19" x14ac:dyDescent="0.3">
      <c r="B232" s="1" t="s">
        <v>489</v>
      </c>
      <c r="D232" s="59"/>
      <c r="E232" s="304"/>
      <c r="F232" s="304"/>
      <c r="G232" s="304"/>
      <c r="H232" s="304"/>
      <c r="I232" s="304"/>
      <c r="J232" s="304"/>
      <c r="K232" s="304"/>
      <c r="L232" s="304"/>
      <c r="M232" s="304"/>
      <c r="N232" s="304"/>
      <c r="O232" s="304"/>
      <c r="P232" s="304"/>
      <c r="Q232" s="304"/>
      <c r="R232" s="304"/>
      <c r="S232" s="304"/>
    </row>
    <row r="233" spans="2:19" ht="10.5" customHeight="1" x14ac:dyDescent="0.3"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30"/>
      <c r="O233" s="30"/>
      <c r="P233" s="30" t="s">
        <v>52</v>
      </c>
    </row>
    <row r="234" spans="2:19" s="125" customFormat="1" ht="27" x14ac:dyDescent="0.3">
      <c r="B234" s="297"/>
      <c r="C234" s="297"/>
      <c r="D234" s="215" t="s">
        <v>57</v>
      </c>
      <c r="E234" s="215" t="s">
        <v>59</v>
      </c>
      <c r="F234" s="215" t="s">
        <v>126</v>
      </c>
      <c r="G234" s="215" t="s">
        <v>58</v>
      </c>
      <c r="H234" s="215" t="s">
        <v>127</v>
      </c>
      <c r="I234" s="202" t="s">
        <v>376</v>
      </c>
      <c r="J234" s="215" t="s">
        <v>60</v>
      </c>
      <c r="K234" s="215" t="s">
        <v>61</v>
      </c>
      <c r="L234" s="215" t="s">
        <v>128</v>
      </c>
      <c r="M234" s="215" t="s">
        <v>129</v>
      </c>
      <c r="N234" s="202" t="s">
        <v>377</v>
      </c>
      <c r="O234" s="215" t="s">
        <v>130</v>
      </c>
      <c r="P234" s="215" t="s">
        <v>38</v>
      </c>
      <c r="Q234" s="126"/>
    </row>
    <row r="235" spans="2:19" ht="21.75" customHeight="1" x14ac:dyDescent="0.3">
      <c r="B235" s="292" t="s">
        <v>20</v>
      </c>
      <c r="C235" s="292"/>
      <c r="D235" s="86">
        <v>18.800858670911776</v>
      </c>
      <c r="E235" s="86">
        <v>20.568039059738652</v>
      </c>
      <c r="F235" s="88">
        <v>36.679947946925317</v>
      </c>
      <c r="G235" s="86">
        <v>2.9359946953210074</v>
      </c>
      <c r="H235" s="88">
        <v>3.0297355112358662</v>
      </c>
      <c r="I235" s="86">
        <v>6.2485223450395919</v>
      </c>
      <c r="J235" s="86">
        <v>2.4547396342748216</v>
      </c>
      <c r="K235" s="86">
        <v>0.98835639537752096</v>
      </c>
      <c r="L235" s="88">
        <v>5.8395696179306018</v>
      </c>
      <c r="M235" s="86">
        <v>0.57852611739323812</v>
      </c>
      <c r="N235" s="86">
        <v>1.4811604736008204</v>
      </c>
      <c r="O235" s="86">
        <v>0.28115093288050874</v>
      </c>
      <c r="P235" s="86">
        <v>0.11339859936985669</v>
      </c>
    </row>
    <row r="236" spans="2:19" x14ac:dyDescent="0.3">
      <c r="B236" s="296" t="s">
        <v>5</v>
      </c>
      <c r="C236" s="13" t="s">
        <v>0</v>
      </c>
      <c r="D236" s="84">
        <v>0</v>
      </c>
      <c r="E236" s="84">
        <v>0</v>
      </c>
      <c r="F236" s="89">
        <v>0</v>
      </c>
      <c r="G236" s="84">
        <v>0</v>
      </c>
      <c r="H236" s="89">
        <v>0</v>
      </c>
      <c r="I236" s="84">
        <v>0</v>
      </c>
      <c r="J236" s="84">
        <v>0</v>
      </c>
      <c r="K236" s="84">
        <v>0</v>
      </c>
      <c r="L236" s="89">
        <v>0</v>
      </c>
      <c r="M236" s="84">
        <v>0</v>
      </c>
      <c r="N236" s="84">
        <v>0</v>
      </c>
      <c r="O236" s="84">
        <v>0</v>
      </c>
      <c r="P236" s="84">
        <v>0</v>
      </c>
    </row>
    <row r="237" spans="2:19" x14ac:dyDescent="0.3">
      <c r="B237" s="295"/>
      <c r="C237" s="12" t="s">
        <v>1</v>
      </c>
      <c r="D237" s="90">
        <v>18.800858670911776</v>
      </c>
      <c r="E237" s="90">
        <v>20.568039059738652</v>
      </c>
      <c r="F237" s="90">
        <v>36.679947946925317</v>
      </c>
      <c r="G237" s="90">
        <v>2.9359946953210074</v>
      </c>
      <c r="H237" s="90">
        <v>3.0297355112358662</v>
      </c>
      <c r="I237" s="90">
        <v>6.2485223450395919</v>
      </c>
      <c r="J237" s="90">
        <v>2.4547396342748216</v>
      </c>
      <c r="K237" s="90">
        <v>0.98835639537752096</v>
      </c>
      <c r="L237" s="90">
        <v>5.8395696179306018</v>
      </c>
      <c r="M237" s="90">
        <v>0.57852611739323812</v>
      </c>
      <c r="N237" s="90">
        <v>1.4811604736008204</v>
      </c>
      <c r="O237" s="90">
        <v>0.28115093288050874</v>
      </c>
      <c r="P237" s="90">
        <v>0.11339859936985669</v>
      </c>
    </row>
    <row r="238" spans="2:19" x14ac:dyDescent="0.3">
      <c r="B238" s="296" t="s">
        <v>4</v>
      </c>
      <c r="C238" s="9" t="s">
        <v>175</v>
      </c>
      <c r="D238" s="86">
        <v>8.863774323439614</v>
      </c>
      <c r="E238" s="86">
        <v>10.978071804969135</v>
      </c>
      <c r="F238" s="88">
        <v>64.090730027985771</v>
      </c>
      <c r="G238" s="86">
        <v>4.3255506764626128</v>
      </c>
      <c r="H238" s="88">
        <v>0</v>
      </c>
      <c r="I238" s="86">
        <v>2.8350693512470109</v>
      </c>
      <c r="J238" s="86">
        <v>2.1256091155142518</v>
      </c>
      <c r="K238" s="86">
        <v>0</v>
      </c>
      <c r="L238" s="88">
        <v>6.7811947003816071</v>
      </c>
      <c r="M238" s="86">
        <v>0</v>
      </c>
      <c r="N238" s="86">
        <v>0</v>
      </c>
      <c r="O238" s="86">
        <v>0</v>
      </c>
      <c r="P238" s="86">
        <v>0</v>
      </c>
    </row>
    <row r="239" spans="2:19" x14ac:dyDescent="0.3">
      <c r="B239" s="292"/>
      <c r="C239" s="9" t="s">
        <v>176</v>
      </c>
      <c r="D239" s="86">
        <v>24.422704819099607</v>
      </c>
      <c r="E239" s="86">
        <v>18.868674010508556</v>
      </c>
      <c r="F239" s="88">
        <v>31.768216920662073</v>
      </c>
      <c r="G239" s="86">
        <v>2.9734224880749207</v>
      </c>
      <c r="H239" s="88">
        <v>2.3502632514204276</v>
      </c>
      <c r="I239" s="86">
        <v>8.0959940000935031</v>
      </c>
      <c r="J239" s="86">
        <v>0.82464505008409772</v>
      </c>
      <c r="K239" s="86">
        <v>1.4432833510054326</v>
      </c>
      <c r="L239" s="88">
        <v>7.2449458020242217</v>
      </c>
      <c r="M239" s="86">
        <v>0.55718735575196543</v>
      </c>
      <c r="N239" s="86">
        <v>1.0287561198087201</v>
      </c>
      <c r="O239" s="86">
        <v>0.42190683146641417</v>
      </c>
      <c r="P239" s="86">
        <v>0</v>
      </c>
    </row>
    <row r="240" spans="2:19" x14ac:dyDescent="0.3">
      <c r="B240" s="292"/>
      <c r="C240" s="9" t="s">
        <v>177</v>
      </c>
      <c r="D240" s="86">
        <v>18.454651325973344</v>
      </c>
      <c r="E240" s="86">
        <v>21.611584606963159</v>
      </c>
      <c r="F240" s="88">
        <v>35.15839108897999</v>
      </c>
      <c r="G240" s="86">
        <v>2.1055452113007354</v>
      </c>
      <c r="H240" s="88">
        <v>4.1950511520090963</v>
      </c>
      <c r="I240" s="86">
        <v>5.3955663528130406</v>
      </c>
      <c r="J240" s="86">
        <v>1.3297133810397499</v>
      </c>
      <c r="K240" s="86">
        <v>1.8687998100892389</v>
      </c>
      <c r="L240" s="88">
        <v>5.2433725670138687</v>
      </c>
      <c r="M240" s="86">
        <v>0.72099840244343516</v>
      </c>
      <c r="N240" s="86">
        <v>3.2613878667874454</v>
      </c>
      <c r="O240" s="86">
        <v>0.65493823458701705</v>
      </c>
      <c r="P240" s="86">
        <v>0</v>
      </c>
    </row>
    <row r="241" spans="2:16" x14ac:dyDescent="0.3">
      <c r="B241" s="292"/>
      <c r="C241" s="9" t="s">
        <v>178</v>
      </c>
      <c r="D241" s="86">
        <v>19.326311076138474</v>
      </c>
      <c r="E241" s="86">
        <v>23.411299993270742</v>
      </c>
      <c r="F241" s="88">
        <v>32.837033003193191</v>
      </c>
      <c r="G241" s="86">
        <v>4.7277177039339886</v>
      </c>
      <c r="H241" s="88">
        <v>3.3987484236809058</v>
      </c>
      <c r="I241" s="86">
        <v>6.110938018384072</v>
      </c>
      <c r="J241" s="86">
        <v>3.5070145273614131</v>
      </c>
      <c r="K241" s="86">
        <v>0</v>
      </c>
      <c r="L241" s="88">
        <v>3.947178356992386</v>
      </c>
      <c r="M241" s="86">
        <v>1.0016517300572461</v>
      </c>
      <c r="N241" s="86">
        <v>1.2006797575473767</v>
      </c>
      <c r="O241" s="86">
        <v>0</v>
      </c>
      <c r="P241" s="86">
        <v>0.53142740944021838</v>
      </c>
    </row>
    <row r="242" spans="2:16" x14ac:dyDescent="0.3">
      <c r="B242" s="292"/>
      <c r="C242" s="9" t="s">
        <v>179</v>
      </c>
      <c r="D242" s="86">
        <v>14.601348295836408</v>
      </c>
      <c r="E242" s="86">
        <v>19.654114038693134</v>
      </c>
      <c r="F242" s="88">
        <v>39.427359259880859</v>
      </c>
      <c r="G242" s="86">
        <v>2.4481654504493142</v>
      </c>
      <c r="H242" s="88">
        <v>2.4844387978514355</v>
      </c>
      <c r="I242" s="86">
        <v>8.4685198600838145</v>
      </c>
      <c r="J242" s="86">
        <v>3.9432778518012515</v>
      </c>
      <c r="K242" s="86">
        <v>0.36071776801139777</v>
      </c>
      <c r="L242" s="88">
        <v>7.6631860359613624</v>
      </c>
      <c r="M242" s="86">
        <v>0.37179837341922811</v>
      </c>
      <c r="N242" s="86">
        <v>0.57707426801169681</v>
      </c>
      <c r="O242" s="86">
        <v>0</v>
      </c>
      <c r="P242" s="86">
        <v>0</v>
      </c>
    </row>
    <row r="243" spans="2:16" x14ac:dyDescent="0.3">
      <c r="B243" s="298"/>
      <c r="C243" s="12" t="s">
        <v>180</v>
      </c>
      <c r="D243" s="90">
        <v>18.755192716458684</v>
      </c>
      <c r="E243" s="90">
        <v>21.090296791558497</v>
      </c>
      <c r="F243" s="91">
        <v>39.43766326197813</v>
      </c>
      <c r="G243" s="90">
        <v>1.8079584288283057</v>
      </c>
      <c r="H243" s="91">
        <v>3.4381694698634848</v>
      </c>
      <c r="I243" s="90">
        <v>3.5965258664812172</v>
      </c>
      <c r="J243" s="90">
        <v>2.6261097287293449</v>
      </c>
      <c r="K243" s="90">
        <v>1.6586383386801888</v>
      </c>
      <c r="L243" s="91">
        <v>4.9777951596388741</v>
      </c>
      <c r="M243" s="90">
        <v>0.30738659221794479</v>
      </c>
      <c r="N243" s="90">
        <v>1.8564415918203507</v>
      </c>
      <c r="O243" s="90">
        <v>0.4478220537449652</v>
      </c>
      <c r="P243" s="90">
        <v>0</v>
      </c>
    </row>
    <row r="244" spans="2:16" x14ac:dyDescent="0.3">
      <c r="B244" s="292" t="s">
        <v>223</v>
      </c>
      <c r="C244" s="9" t="s">
        <v>210</v>
      </c>
      <c r="D244" s="86">
        <v>0</v>
      </c>
      <c r="E244" s="86">
        <v>0</v>
      </c>
      <c r="F244" s="88">
        <v>0</v>
      </c>
      <c r="G244" s="86">
        <v>0</v>
      </c>
      <c r="H244" s="88">
        <v>0</v>
      </c>
      <c r="I244" s="86">
        <v>0</v>
      </c>
      <c r="J244" s="86">
        <v>0</v>
      </c>
      <c r="K244" s="86">
        <v>0</v>
      </c>
      <c r="L244" s="88">
        <v>0</v>
      </c>
      <c r="M244" s="86">
        <v>0</v>
      </c>
      <c r="N244" s="86">
        <v>0</v>
      </c>
      <c r="O244" s="86">
        <v>0</v>
      </c>
      <c r="P244" s="86">
        <v>0</v>
      </c>
    </row>
    <row r="245" spans="2:16" x14ac:dyDescent="0.3">
      <c r="B245" s="292"/>
      <c r="C245" s="9" t="s">
        <v>211</v>
      </c>
      <c r="D245" s="86">
        <v>0</v>
      </c>
      <c r="E245" s="86">
        <v>0</v>
      </c>
      <c r="F245" s="88">
        <v>0</v>
      </c>
      <c r="G245" s="86">
        <v>0</v>
      </c>
      <c r="H245" s="88">
        <v>0</v>
      </c>
      <c r="I245" s="86">
        <v>0</v>
      </c>
      <c r="J245" s="86">
        <v>0</v>
      </c>
      <c r="K245" s="86">
        <v>0</v>
      </c>
      <c r="L245" s="88">
        <v>0</v>
      </c>
      <c r="M245" s="86">
        <v>0</v>
      </c>
      <c r="N245" s="86">
        <v>0</v>
      </c>
      <c r="O245" s="86">
        <v>0</v>
      </c>
      <c r="P245" s="86">
        <v>0</v>
      </c>
    </row>
    <row r="246" spans="2:16" x14ac:dyDescent="0.3">
      <c r="B246" s="292"/>
      <c r="C246" s="9" t="s">
        <v>212</v>
      </c>
      <c r="D246" s="86">
        <v>0</v>
      </c>
      <c r="E246" s="86">
        <v>0</v>
      </c>
      <c r="F246" s="88">
        <v>0</v>
      </c>
      <c r="G246" s="86">
        <v>0</v>
      </c>
      <c r="H246" s="88">
        <v>0</v>
      </c>
      <c r="I246" s="86">
        <v>0</v>
      </c>
      <c r="J246" s="86">
        <v>0</v>
      </c>
      <c r="K246" s="86">
        <v>0</v>
      </c>
      <c r="L246" s="88">
        <v>0</v>
      </c>
      <c r="M246" s="86">
        <v>0</v>
      </c>
      <c r="N246" s="86">
        <v>0</v>
      </c>
      <c r="O246" s="86">
        <v>0</v>
      </c>
      <c r="P246" s="86">
        <v>0</v>
      </c>
    </row>
    <row r="247" spans="2:16" x14ac:dyDescent="0.3">
      <c r="B247" s="292"/>
      <c r="C247" s="9" t="s">
        <v>213</v>
      </c>
      <c r="D247" s="86">
        <v>0</v>
      </c>
      <c r="E247" s="86">
        <v>0</v>
      </c>
      <c r="F247" s="88">
        <v>0</v>
      </c>
      <c r="G247" s="86">
        <v>0</v>
      </c>
      <c r="H247" s="88">
        <v>0</v>
      </c>
      <c r="I247" s="86">
        <v>0</v>
      </c>
      <c r="J247" s="86">
        <v>0</v>
      </c>
      <c r="K247" s="86">
        <v>0</v>
      </c>
      <c r="L247" s="88">
        <v>0</v>
      </c>
      <c r="M247" s="86">
        <v>0</v>
      </c>
      <c r="N247" s="86">
        <v>0</v>
      </c>
      <c r="O247" s="86">
        <v>0</v>
      </c>
      <c r="P247" s="86">
        <v>0</v>
      </c>
    </row>
    <row r="248" spans="2:16" x14ac:dyDescent="0.3">
      <c r="B248" s="292"/>
      <c r="C248" s="9" t="s">
        <v>214</v>
      </c>
      <c r="D248" s="86">
        <v>0</v>
      </c>
      <c r="E248" s="86">
        <v>0</v>
      </c>
      <c r="F248" s="88">
        <v>0</v>
      </c>
      <c r="G248" s="86">
        <v>0</v>
      </c>
      <c r="H248" s="88">
        <v>0</v>
      </c>
      <c r="I248" s="86">
        <v>0</v>
      </c>
      <c r="J248" s="86">
        <v>0</v>
      </c>
      <c r="K248" s="86">
        <v>0</v>
      </c>
      <c r="L248" s="88">
        <v>0</v>
      </c>
      <c r="M248" s="86">
        <v>0</v>
      </c>
      <c r="N248" s="86">
        <v>0</v>
      </c>
      <c r="O248" s="86">
        <v>0</v>
      </c>
      <c r="P248" s="86">
        <v>0</v>
      </c>
    </row>
    <row r="249" spans="2:16" x14ac:dyDescent="0.3">
      <c r="B249" s="292"/>
      <c r="C249" s="12" t="s">
        <v>215</v>
      </c>
      <c r="D249" s="90">
        <v>0</v>
      </c>
      <c r="E249" s="90">
        <v>0</v>
      </c>
      <c r="F249" s="91">
        <v>0</v>
      </c>
      <c r="G249" s="90">
        <v>0</v>
      </c>
      <c r="H249" s="91">
        <v>0</v>
      </c>
      <c r="I249" s="90">
        <v>0</v>
      </c>
      <c r="J249" s="90">
        <v>0</v>
      </c>
      <c r="K249" s="90">
        <v>0</v>
      </c>
      <c r="L249" s="91">
        <v>0</v>
      </c>
      <c r="M249" s="90">
        <v>0</v>
      </c>
      <c r="N249" s="90">
        <v>0</v>
      </c>
      <c r="O249" s="90">
        <v>0</v>
      </c>
      <c r="P249" s="90">
        <v>0</v>
      </c>
    </row>
    <row r="250" spans="2:16" x14ac:dyDescent="0.3">
      <c r="B250" s="292"/>
      <c r="C250" s="9" t="s">
        <v>216</v>
      </c>
      <c r="D250" s="86">
        <v>8.863774323439614</v>
      </c>
      <c r="E250" s="86">
        <v>10.978071804969135</v>
      </c>
      <c r="F250" s="88">
        <v>64.090730027985771</v>
      </c>
      <c r="G250" s="86">
        <v>4.3255506764626128</v>
      </c>
      <c r="H250" s="88">
        <v>0</v>
      </c>
      <c r="I250" s="86">
        <v>2.8350693512470109</v>
      </c>
      <c r="J250" s="86">
        <v>2.1256091155142518</v>
      </c>
      <c r="K250" s="86">
        <v>0</v>
      </c>
      <c r="L250" s="88">
        <v>6.7811947003816071</v>
      </c>
      <c r="M250" s="86">
        <v>0</v>
      </c>
      <c r="N250" s="86">
        <v>0</v>
      </c>
      <c r="O250" s="86">
        <v>0</v>
      </c>
      <c r="P250" s="86">
        <v>0</v>
      </c>
    </row>
    <row r="251" spans="2:16" x14ac:dyDescent="0.3">
      <c r="B251" s="292"/>
      <c r="C251" s="9" t="s">
        <v>217</v>
      </c>
      <c r="D251" s="86">
        <v>24.422704819099607</v>
      </c>
      <c r="E251" s="86">
        <v>18.868674010508556</v>
      </c>
      <c r="F251" s="88">
        <v>31.768216920662073</v>
      </c>
      <c r="G251" s="86">
        <v>2.9734224880749207</v>
      </c>
      <c r="H251" s="88">
        <v>2.3502632514204276</v>
      </c>
      <c r="I251" s="86">
        <v>8.0959940000935031</v>
      </c>
      <c r="J251" s="86">
        <v>0.82464505008409772</v>
      </c>
      <c r="K251" s="86">
        <v>1.4432833510054326</v>
      </c>
      <c r="L251" s="88">
        <v>7.2449458020242217</v>
      </c>
      <c r="M251" s="86">
        <v>0.55718735575196543</v>
      </c>
      <c r="N251" s="86">
        <v>1.0287561198087201</v>
      </c>
      <c r="O251" s="86">
        <v>0.42190683146641417</v>
      </c>
      <c r="P251" s="86">
        <v>0</v>
      </c>
    </row>
    <row r="252" spans="2:16" x14ac:dyDescent="0.3">
      <c r="B252" s="292"/>
      <c r="C252" s="9" t="s">
        <v>218</v>
      </c>
      <c r="D252" s="86">
        <v>18.454651325973344</v>
      </c>
      <c r="E252" s="86">
        <v>21.611584606963159</v>
      </c>
      <c r="F252" s="88">
        <v>35.15839108897999</v>
      </c>
      <c r="G252" s="86">
        <v>2.1055452113007354</v>
      </c>
      <c r="H252" s="88">
        <v>4.1950511520090963</v>
      </c>
      <c r="I252" s="86">
        <v>5.3955663528130406</v>
      </c>
      <c r="J252" s="86">
        <v>1.3297133810397499</v>
      </c>
      <c r="K252" s="86">
        <v>1.8687998100892389</v>
      </c>
      <c r="L252" s="88">
        <v>5.2433725670138687</v>
      </c>
      <c r="M252" s="86">
        <v>0.72099840244343516</v>
      </c>
      <c r="N252" s="86">
        <v>3.2613878667874454</v>
      </c>
      <c r="O252" s="86">
        <v>0.65493823458701705</v>
      </c>
      <c r="P252" s="86">
        <v>0</v>
      </c>
    </row>
    <row r="253" spans="2:16" x14ac:dyDescent="0.3">
      <c r="B253" s="292"/>
      <c r="C253" s="9" t="s">
        <v>219</v>
      </c>
      <c r="D253" s="86">
        <v>19.326311076138474</v>
      </c>
      <c r="E253" s="86">
        <v>23.411299993270742</v>
      </c>
      <c r="F253" s="88">
        <v>32.837033003193191</v>
      </c>
      <c r="G253" s="86">
        <v>4.7277177039339886</v>
      </c>
      <c r="H253" s="88">
        <v>3.3987484236809058</v>
      </c>
      <c r="I253" s="86">
        <v>6.110938018384072</v>
      </c>
      <c r="J253" s="86">
        <v>3.5070145273614131</v>
      </c>
      <c r="K253" s="86">
        <v>0</v>
      </c>
      <c r="L253" s="88">
        <v>3.947178356992386</v>
      </c>
      <c r="M253" s="86">
        <v>1.0016517300572461</v>
      </c>
      <c r="N253" s="86">
        <v>1.2006797575473767</v>
      </c>
      <c r="O253" s="86">
        <v>0</v>
      </c>
      <c r="P253" s="86">
        <v>0.53142740944021838</v>
      </c>
    </row>
    <row r="254" spans="2:16" x14ac:dyDescent="0.3">
      <c r="B254" s="292"/>
      <c r="C254" s="9" t="s">
        <v>220</v>
      </c>
      <c r="D254" s="86">
        <v>14.601348295836408</v>
      </c>
      <c r="E254" s="86">
        <v>19.654114038693134</v>
      </c>
      <c r="F254" s="88">
        <v>39.427359259880859</v>
      </c>
      <c r="G254" s="86">
        <v>2.4481654504493142</v>
      </c>
      <c r="H254" s="88">
        <v>2.4844387978514355</v>
      </c>
      <c r="I254" s="86">
        <v>8.4685198600838145</v>
      </c>
      <c r="J254" s="86">
        <v>3.9432778518012515</v>
      </c>
      <c r="K254" s="86">
        <v>0.36071776801139777</v>
      </c>
      <c r="L254" s="88">
        <v>7.6631860359613624</v>
      </c>
      <c r="M254" s="86">
        <v>0.37179837341922811</v>
      </c>
      <c r="N254" s="86">
        <v>0.57707426801169681</v>
      </c>
      <c r="O254" s="86">
        <v>0</v>
      </c>
      <c r="P254" s="86">
        <v>0</v>
      </c>
    </row>
    <row r="255" spans="2:16" x14ac:dyDescent="0.3">
      <c r="B255" s="295"/>
      <c r="C255" s="9" t="s">
        <v>221</v>
      </c>
      <c r="D255" s="90">
        <v>18.755192716458684</v>
      </c>
      <c r="E255" s="90">
        <v>21.090296791558497</v>
      </c>
      <c r="F255" s="91">
        <v>39.43766326197813</v>
      </c>
      <c r="G255" s="90">
        <v>1.8079584288283057</v>
      </c>
      <c r="H255" s="91">
        <v>3.4381694698634848</v>
      </c>
      <c r="I255" s="90">
        <v>3.5965258664812172</v>
      </c>
      <c r="J255" s="90">
        <v>2.6261097287293449</v>
      </c>
      <c r="K255" s="90">
        <v>1.6586383386801888</v>
      </c>
      <c r="L255" s="91">
        <v>4.9777951596388741</v>
      </c>
      <c r="M255" s="90">
        <v>0.30738659221794479</v>
      </c>
      <c r="N255" s="90">
        <v>1.8564415918203507</v>
      </c>
      <c r="O255" s="90">
        <v>0.4478220537449652</v>
      </c>
      <c r="P255" s="90">
        <v>0</v>
      </c>
    </row>
    <row r="256" spans="2:16" ht="16.5" customHeight="1" x14ac:dyDescent="0.3">
      <c r="B256" s="291" t="s">
        <v>222</v>
      </c>
      <c r="C256" s="13" t="s">
        <v>226</v>
      </c>
      <c r="D256" s="80">
        <v>25.834169645598681</v>
      </c>
      <c r="E256" s="80">
        <v>21.180957710102913</v>
      </c>
      <c r="F256" s="80">
        <v>30.382716326166232</v>
      </c>
      <c r="G256" s="80">
        <v>2.3160098801552484</v>
      </c>
      <c r="H256" s="80">
        <v>4.3967257476792341</v>
      </c>
      <c r="I256" s="80">
        <v>5.6426000549307345</v>
      </c>
      <c r="J256" s="80">
        <v>2.1008350240385343</v>
      </c>
      <c r="K256" s="80">
        <v>1.0731541986990181</v>
      </c>
      <c r="L256" s="80">
        <v>5.9255599534921632</v>
      </c>
      <c r="M256" s="80">
        <v>0</v>
      </c>
      <c r="N256" s="80">
        <v>0.36433166243445092</v>
      </c>
      <c r="O256" s="80">
        <v>0.32789357535856095</v>
      </c>
      <c r="P256" s="80">
        <v>0.45504622134420269</v>
      </c>
    </row>
    <row r="257" spans="2:16" x14ac:dyDescent="0.3">
      <c r="B257" s="294"/>
      <c r="C257" s="9" t="s">
        <v>227</v>
      </c>
      <c r="D257" s="79">
        <v>18.433871084778342</v>
      </c>
      <c r="E257" s="79">
        <v>20.180587253626513</v>
      </c>
      <c r="F257" s="79">
        <v>34.178342053732614</v>
      </c>
      <c r="G257" s="79">
        <v>3.3946901666833886</v>
      </c>
      <c r="H257" s="79">
        <v>2.8020678914934454</v>
      </c>
      <c r="I257" s="79">
        <v>6.9455616974960135</v>
      </c>
      <c r="J257" s="79">
        <v>2.8643202895997137</v>
      </c>
      <c r="K257" s="79">
        <v>1.5197922336155194</v>
      </c>
      <c r="L257" s="79">
        <v>7.2061339403490843</v>
      </c>
      <c r="M257" s="79">
        <v>0.6585457062708141</v>
      </c>
      <c r="N257" s="79">
        <v>1.816087682354572</v>
      </c>
      <c r="O257" s="79">
        <v>0</v>
      </c>
      <c r="P257" s="79">
        <v>0</v>
      </c>
    </row>
    <row r="258" spans="2:16" x14ac:dyDescent="0.3">
      <c r="B258" s="292"/>
      <c r="C258" s="9" t="s">
        <v>228</v>
      </c>
      <c r="D258" s="79">
        <v>20.282910391479707</v>
      </c>
      <c r="E258" s="79">
        <v>18.192362785252559</v>
      </c>
      <c r="F258" s="79">
        <v>43.038702813721692</v>
      </c>
      <c r="G258" s="79">
        <v>3.539784638075357</v>
      </c>
      <c r="H258" s="79">
        <v>1.3770954073596995</v>
      </c>
      <c r="I258" s="79">
        <v>4.2643839030396125</v>
      </c>
      <c r="J258" s="79">
        <v>2.5063952131932101</v>
      </c>
      <c r="K258" s="79">
        <v>0.81228485397075034</v>
      </c>
      <c r="L258" s="79">
        <v>3.872042879552807</v>
      </c>
      <c r="M258" s="79">
        <v>1.0338068185976446</v>
      </c>
      <c r="N258" s="79">
        <v>1.0802302957569323</v>
      </c>
      <c r="O258" s="79">
        <v>0</v>
      </c>
      <c r="P258" s="79">
        <v>0</v>
      </c>
    </row>
    <row r="259" spans="2:16" x14ac:dyDescent="0.3">
      <c r="B259" s="295"/>
      <c r="C259" s="12" t="s">
        <v>229</v>
      </c>
      <c r="D259" s="81">
        <v>11.930841155562359</v>
      </c>
      <c r="E259" s="81">
        <v>22.060604795548812</v>
      </c>
      <c r="F259" s="81">
        <v>40.124255864301269</v>
      </c>
      <c r="G259" s="81">
        <v>2.6236237900984274</v>
      </c>
      <c r="H259" s="81">
        <v>3.2020775250948561</v>
      </c>
      <c r="I259" s="81">
        <v>7.5113984592493281</v>
      </c>
      <c r="J259" s="81">
        <v>2.3419139363989467</v>
      </c>
      <c r="K259" s="81">
        <v>0.53436757391822109</v>
      </c>
      <c r="L259" s="81">
        <v>5.8494358598322274</v>
      </c>
      <c r="M259" s="81">
        <v>0.69208600055197822</v>
      </c>
      <c r="N259" s="81">
        <v>2.4263044560564184</v>
      </c>
      <c r="O259" s="81">
        <v>0.70309058338708552</v>
      </c>
      <c r="P259" s="81">
        <v>0</v>
      </c>
    </row>
    <row r="260" spans="2:16" x14ac:dyDescent="0.3">
      <c r="B260" s="296" t="s">
        <v>199</v>
      </c>
      <c r="C260" s="13" t="s">
        <v>192</v>
      </c>
      <c r="D260" s="80">
        <v>18.634807753959283</v>
      </c>
      <c r="E260" s="80">
        <v>21.982315638064069</v>
      </c>
      <c r="F260" s="80">
        <v>34.759099485918163</v>
      </c>
      <c r="G260" s="80">
        <v>2.9516423746493348</v>
      </c>
      <c r="H260" s="80">
        <v>3.1909185216848845</v>
      </c>
      <c r="I260" s="80">
        <v>7.8123272183005232</v>
      </c>
      <c r="J260" s="80">
        <v>2.363163183570999</v>
      </c>
      <c r="K260" s="80">
        <v>0.79667108068020664</v>
      </c>
      <c r="L260" s="80">
        <v>5.5027885050320888</v>
      </c>
      <c r="M260" s="80">
        <v>0.63945680984917508</v>
      </c>
      <c r="N260" s="80">
        <v>0.9610717787693509</v>
      </c>
      <c r="O260" s="80">
        <v>0.20370834786159878</v>
      </c>
      <c r="P260" s="80">
        <v>0.20202930166061311</v>
      </c>
    </row>
    <row r="261" spans="2:16" ht="16.5" customHeight="1" x14ac:dyDescent="0.3">
      <c r="B261" s="292"/>
      <c r="C261" s="9" t="s">
        <v>200</v>
      </c>
      <c r="D261" s="79">
        <v>20.222294827939546</v>
      </c>
      <c r="E261" s="79">
        <v>29.138527582495399</v>
      </c>
      <c r="F261" s="79">
        <v>28.914219548790332</v>
      </c>
      <c r="G261" s="79">
        <v>0</v>
      </c>
      <c r="H261" s="79">
        <v>4.3984529574619113</v>
      </c>
      <c r="I261" s="79">
        <v>7.0481596987368293</v>
      </c>
      <c r="J261" s="79">
        <v>0</v>
      </c>
      <c r="K261" s="79">
        <v>2.6145478854076383</v>
      </c>
      <c r="L261" s="79">
        <v>7.6637974991683482</v>
      </c>
      <c r="M261" s="79">
        <v>0</v>
      </c>
      <c r="N261" s="79">
        <v>0</v>
      </c>
      <c r="O261" s="79">
        <v>0</v>
      </c>
      <c r="P261" s="79">
        <v>0</v>
      </c>
    </row>
    <row r="262" spans="2:16" ht="16.5" customHeight="1" x14ac:dyDescent="0.3">
      <c r="B262" s="292"/>
      <c r="C262" s="9" t="s">
        <v>201</v>
      </c>
      <c r="D262" s="79">
        <v>21.16864527578921</v>
      </c>
      <c r="E262" s="79">
        <v>14.246529583468037</v>
      </c>
      <c r="F262" s="79">
        <v>42.16401409016941</v>
      </c>
      <c r="G262" s="79">
        <v>4.213408879445204</v>
      </c>
      <c r="H262" s="79">
        <v>0</v>
      </c>
      <c r="I262" s="79">
        <v>2.2369754810767892</v>
      </c>
      <c r="J262" s="79">
        <v>2.5735676906689009</v>
      </c>
      <c r="K262" s="79">
        <v>1.4525317796289148</v>
      </c>
      <c r="L262" s="79">
        <v>9.8584024105075674</v>
      </c>
      <c r="M262" s="79">
        <v>0.94370873436600455</v>
      </c>
      <c r="N262" s="79">
        <v>1.1422160748799215</v>
      </c>
      <c r="O262" s="79">
        <v>0</v>
      </c>
      <c r="P262" s="79">
        <v>0</v>
      </c>
    </row>
    <row r="263" spans="2:16" x14ac:dyDescent="0.3">
      <c r="B263" s="292"/>
      <c r="C263" s="9" t="s">
        <v>202</v>
      </c>
      <c r="D263" s="79">
        <v>10.498689587294876</v>
      </c>
      <c r="E263" s="79">
        <v>20.066475723829782</v>
      </c>
      <c r="F263" s="79">
        <v>48.772641361823169</v>
      </c>
      <c r="G263" s="79">
        <v>0.75750649873952625</v>
      </c>
      <c r="H263" s="79">
        <v>4.1538369438669864</v>
      </c>
      <c r="I263" s="79">
        <v>3.7252679925361942</v>
      </c>
      <c r="J263" s="79">
        <v>1.6244692926626585</v>
      </c>
      <c r="K263" s="79">
        <v>0.74959860730654204</v>
      </c>
      <c r="L263" s="79">
        <v>3.6466100430601736</v>
      </c>
      <c r="M263" s="79">
        <v>1.3226125700963298</v>
      </c>
      <c r="N263" s="79">
        <v>3.7927708967845959</v>
      </c>
      <c r="O263" s="79">
        <v>0.88952048199919809</v>
      </c>
      <c r="P263" s="79">
        <v>0</v>
      </c>
    </row>
    <row r="264" spans="2:16" x14ac:dyDescent="0.3">
      <c r="B264" s="295"/>
      <c r="C264" s="12" t="s">
        <v>203</v>
      </c>
      <c r="D264" s="81">
        <v>21.626575817078486</v>
      </c>
      <c r="E264" s="81">
        <v>18.980838020033527</v>
      </c>
      <c r="F264" s="81">
        <v>34.77153398728624</v>
      </c>
      <c r="G264" s="81">
        <v>3.6250086189275819</v>
      </c>
      <c r="H264" s="81">
        <v>3.3275559583460361</v>
      </c>
      <c r="I264" s="81">
        <v>5.0498154683265195</v>
      </c>
      <c r="J264" s="81">
        <v>3.2944148621113731</v>
      </c>
      <c r="K264" s="81">
        <v>1.1814525040711157</v>
      </c>
      <c r="L264" s="81">
        <v>5.6324991842595225</v>
      </c>
      <c r="M264" s="81">
        <v>0</v>
      </c>
      <c r="N264" s="81">
        <v>2.1359507770660131</v>
      </c>
      <c r="O264" s="81">
        <v>0.37435480249345965</v>
      </c>
      <c r="P264" s="81">
        <v>0</v>
      </c>
    </row>
    <row r="265" spans="2:16" x14ac:dyDescent="0.3">
      <c r="B265" s="291" t="s">
        <v>204</v>
      </c>
      <c r="C265" s="13" t="s">
        <v>192</v>
      </c>
      <c r="D265" s="80">
        <v>18.634807753959283</v>
      </c>
      <c r="E265" s="80">
        <v>21.982315638064069</v>
      </c>
      <c r="F265" s="80">
        <v>34.759099485918163</v>
      </c>
      <c r="G265" s="80">
        <v>2.9516423746493348</v>
      </c>
      <c r="H265" s="80">
        <v>3.1909185216848845</v>
      </c>
      <c r="I265" s="80">
        <v>7.8123272183005232</v>
      </c>
      <c r="J265" s="80">
        <v>2.363163183570999</v>
      </c>
      <c r="K265" s="80">
        <v>0.79667108068020664</v>
      </c>
      <c r="L265" s="80">
        <v>5.5027885050320888</v>
      </c>
      <c r="M265" s="80">
        <v>0.63945680984917508</v>
      </c>
      <c r="N265" s="80">
        <v>0.9610717787693509</v>
      </c>
      <c r="O265" s="80">
        <v>0.20370834786159878</v>
      </c>
      <c r="P265" s="80">
        <v>0.20202930166061311</v>
      </c>
    </row>
    <row r="266" spans="2:16" x14ac:dyDescent="0.3">
      <c r="B266" s="295"/>
      <c r="C266" s="12" t="s">
        <v>193</v>
      </c>
      <c r="D266" s="81">
        <v>19.013312605269014</v>
      </c>
      <c r="E266" s="81">
        <v>18.758542136454064</v>
      </c>
      <c r="F266" s="81">
        <v>39.137578535989533</v>
      </c>
      <c r="G266" s="81">
        <v>2.9159742636494133</v>
      </c>
      <c r="H266" s="81">
        <v>2.8235098224539965</v>
      </c>
      <c r="I266" s="81">
        <v>4.2477113649596667</v>
      </c>
      <c r="J266" s="81">
        <v>2.5719071730246781</v>
      </c>
      <c r="K266" s="81">
        <v>1.2336082736164922</v>
      </c>
      <c r="L266" s="81">
        <v>6.270464392651391</v>
      </c>
      <c r="M266" s="81">
        <v>0.50056831039683825</v>
      </c>
      <c r="N266" s="81">
        <v>2.146588231901895</v>
      </c>
      <c r="O266" s="81">
        <v>0.38023488963306373</v>
      </c>
      <c r="P266" s="81">
        <v>0</v>
      </c>
    </row>
    <row r="267" spans="2:16" x14ac:dyDescent="0.3">
      <c r="B267" s="291" t="s">
        <v>209</v>
      </c>
      <c r="C267" s="13" t="s">
        <v>205</v>
      </c>
      <c r="D267" s="80">
        <v>16.827839342706774</v>
      </c>
      <c r="E267" s="80">
        <v>18.216151386038394</v>
      </c>
      <c r="F267" s="80">
        <v>34.047336141190172</v>
      </c>
      <c r="G267" s="80">
        <v>3.0850173460744337</v>
      </c>
      <c r="H267" s="80">
        <v>4.7184869996243464</v>
      </c>
      <c r="I267" s="80">
        <v>7.0390314741777038</v>
      </c>
      <c r="J267" s="80">
        <v>3.1149454186434995</v>
      </c>
      <c r="K267" s="80">
        <v>1.3330762349017313</v>
      </c>
      <c r="L267" s="80">
        <v>7.9391176278800044</v>
      </c>
      <c r="M267" s="80">
        <v>0</v>
      </c>
      <c r="N267" s="80">
        <v>2.8696281176189791</v>
      </c>
      <c r="O267" s="80">
        <v>0</v>
      </c>
      <c r="P267" s="80">
        <v>0.80936991114399104</v>
      </c>
    </row>
    <row r="268" spans="2:16" x14ac:dyDescent="0.3">
      <c r="B268" s="292"/>
      <c r="C268" s="9" t="s">
        <v>206</v>
      </c>
      <c r="D268" s="79">
        <v>17.85570171990268</v>
      </c>
      <c r="E268" s="79">
        <v>19.770112988825964</v>
      </c>
      <c r="F268" s="79">
        <v>41.95350112459009</v>
      </c>
      <c r="G268" s="79">
        <v>3.7274211402597288</v>
      </c>
      <c r="H268" s="79">
        <v>3.0928305952752173</v>
      </c>
      <c r="I268" s="79">
        <v>4.0225746871768111</v>
      </c>
      <c r="J268" s="79">
        <v>0.74398901223571745</v>
      </c>
      <c r="K268" s="79">
        <v>1.1909489410703171</v>
      </c>
      <c r="L268" s="79">
        <v>4.403854865468201</v>
      </c>
      <c r="M268" s="79">
        <v>1.3123320005781158</v>
      </c>
      <c r="N268" s="79">
        <v>1.5368383305050468</v>
      </c>
      <c r="O268" s="79">
        <v>0.38989459411211025</v>
      </c>
      <c r="P268" s="79">
        <v>0</v>
      </c>
    </row>
    <row r="269" spans="2:16" x14ac:dyDescent="0.3">
      <c r="B269" s="292"/>
      <c r="C269" s="9" t="s">
        <v>207</v>
      </c>
      <c r="D269" s="79">
        <v>18.764674321847036</v>
      </c>
      <c r="E269" s="79">
        <v>20.145452921294577</v>
      </c>
      <c r="F269" s="79">
        <v>38.41829255310352</v>
      </c>
      <c r="G269" s="79">
        <v>1.2926559124979884</v>
      </c>
      <c r="H269" s="79">
        <v>2.2274568884801269</v>
      </c>
      <c r="I269" s="79">
        <v>6.0011961375264926</v>
      </c>
      <c r="J269" s="79">
        <v>4.6257225572973901</v>
      </c>
      <c r="K269" s="79">
        <v>0.80849265776808366</v>
      </c>
      <c r="L269" s="79">
        <v>4.9498022845409997</v>
      </c>
      <c r="M269" s="79">
        <v>0.61779902635480377</v>
      </c>
      <c r="N269" s="79">
        <v>1.7620805924244296</v>
      </c>
      <c r="O269" s="79">
        <v>0.38637414686454002</v>
      </c>
      <c r="P269" s="79">
        <v>0</v>
      </c>
    </row>
    <row r="270" spans="2:16" x14ac:dyDescent="0.3">
      <c r="B270" s="293"/>
      <c r="C270" s="25" t="s">
        <v>208</v>
      </c>
      <c r="D270" s="82">
        <v>20.170055934783655</v>
      </c>
      <c r="E270" s="82">
        <v>22.322624014802315</v>
      </c>
      <c r="F270" s="82">
        <v>33.150489793211726</v>
      </c>
      <c r="G270" s="82">
        <v>3.78133855853015</v>
      </c>
      <c r="H270" s="82">
        <v>2.9947217778247315</v>
      </c>
      <c r="I270" s="82">
        <v>7.458893123213417</v>
      </c>
      <c r="J270" s="82">
        <v>1.3925139044468968</v>
      </c>
      <c r="K270" s="82">
        <v>0.88245963765039637</v>
      </c>
      <c r="L270" s="82">
        <v>6.6015623732196982</v>
      </c>
      <c r="M270" s="82">
        <v>0.34049896863972856</v>
      </c>
      <c r="N270" s="82">
        <v>0.66471318008102098</v>
      </c>
      <c r="O270" s="82">
        <v>0.24012873359622583</v>
      </c>
      <c r="P270" s="82">
        <v>0</v>
      </c>
    </row>
    <row r="271" spans="2:16" x14ac:dyDescent="0.3">
      <c r="B271" s="60"/>
      <c r="C271" s="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</row>
    <row r="272" spans="2:16" x14ac:dyDescent="0.3">
      <c r="B272" s="60"/>
      <c r="C272" s="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</row>
    <row r="273" spans="2:19" x14ac:dyDescent="0.3">
      <c r="B273" s="1" t="s">
        <v>490</v>
      </c>
      <c r="D273" s="59"/>
      <c r="E273" s="304"/>
      <c r="F273" s="304"/>
      <c r="G273" s="304"/>
      <c r="H273" s="304"/>
      <c r="I273" s="304"/>
      <c r="J273" s="304"/>
      <c r="K273" s="304"/>
      <c r="L273" s="304"/>
      <c r="M273" s="304"/>
      <c r="N273" s="304"/>
      <c r="O273" s="304"/>
      <c r="P273" s="304"/>
      <c r="Q273" s="304"/>
      <c r="R273" s="304"/>
      <c r="S273" s="304"/>
    </row>
    <row r="274" spans="2:19" ht="10.5" customHeight="1" x14ac:dyDescent="0.3"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30"/>
      <c r="O274" s="30"/>
      <c r="P274" s="30" t="s">
        <v>157</v>
      </c>
    </row>
    <row r="275" spans="2:19" s="125" customFormat="1" ht="27" x14ac:dyDescent="0.3">
      <c r="B275" s="297"/>
      <c r="C275" s="297"/>
      <c r="D275" s="215" t="s">
        <v>57</v>
      </c>
      <c r="E275" s="215" t="s">
        <v>59</v>
      </c>
      <c r="F275" s="215" t="s">
        <v>126</v>
      </c>
      <c r="G275" s="215" t="s">
        <v>58</v>
      </c>
      <c r="H275" s="215" t="s">
        <v>127</v>
      </c>
      <c r="I275" s="202" t="s">
        <v>376</v>
      </c>
      <c r="J275" s="215" t="s">
        <v>60</v>
      </c>
      <c r="K275" s="215" t="s">
        <v>61</v>
      </c>
      <c r="L275" s="215" t="s">
        <v>128</v>
      </c>
      <c r="M275" s="215" t="s">
        <v>129</v>
      </c>
      <c r="N275" s="202" t="s">
        <v>377</v>
      </c>
      <c r="O275" s="215" t="s">
        <v>130</v>
      </c>
      <c r="P275" s="215" t="s">
        <v>38</v>
      </c>
      <c r="Q275" s="126"/>
    </row>
    <row r="276" spans="2:19" ht="21.75" customHeight="1" x14ac:dyDescent="0.3">
      <c r="B276" s="292" t="s">
        <v>20</v>
      </c>
      <c r="C276" s="292"/>
      <c r="D276" s="86">
        <v>34.749228221139781</v>
      </c>
      <c r="E276" s="86">
        <v>43.396854920448547</v>
      </c>
      <c r="F276" s="88">
        <v>70.666676461822661</v>
      </c>
      <c r="G276" s="86">
        <v>17.291649628004098</v>
      </c>
      <c r="H276" s="88">
        <v>22.6124915215436</v>
      </c>
      <c r="I276" s="86">
        <v>32.896537877860716</v>
      </c>
      <c r="J276" s="86">
        <v>19.228549426374464</v>
      </c>
      <c r="K276" s="86">
        <v>8.7986368828759236</v>
      </c>
      <c r="L276" s="88">
        <v>32.12245384369281</v>
      </c>
      <c r="M276" s="86">
        <v>5.5408184675544394</v>
      </c>
      <c r="N276" s="86">
        <v>11.522750935592963</v>
      </c>
      <c r="O276" s="86">
        <v>0.98388152694564457</v>
      </c>
      <c r="P276" s="86">
        <v>0.18947028614307007</v>
      </c>
    </row>
    <row r="277" spans="2:19" x14ac:dyDescent="0.3">
      <c r="B277" s="296" t="s">
        <v>5</v>
      </c>
      <c r="C277" s="13" t="s">
        <v>0</v>
      </c>
      <c r="D277" s="84">
        <v>0</v>
      </c>
      <c r="E277" s="84">
        <v>0</v>
      </c>
      <c r="F277" s="89">
        <v>0</v>
      </c>
      <c r="G277" s="84">
        <v>0</v>
      </c>
      <c r="H277" s="89">
        <v>0</v>
      </c>
      <c r="I277" s="84">
        <v>0</v>
      </c>
      <c r="J277" s="84">
        <v>0</v>
      </c>
      <c r="K277" s="84">
        <v>0</v>
      </c>
      <c r="L277" s="89">
        <v>0</v>
      </c>
      <c r="M277" s="84">
        <v>0</v>
      </c>
      <c r="N277" s="84">
        <v>0</v>
      </c>
      <c r="O277" s="84">
        <v>0</v>
      </c>
      <c r="P277" s="84">
        <v>0</v>
      </c>
    </row>
    <row r="278" spans="2:19" x14ac:dyDescent="0.3">
      <c r="B278" s="295"/>
      <c r="C278" s="12" t="s">
        <v>1</v>
      </c>
      <c r="D278" s="90">
        <v>34.749228221139781</v>
      </c>
      <c r="E278" s="90">
        <v>43.396854920448547</v>
      </c>
      <c r="F278" s="90">
        <v>70.666676461822661</v>
      </c>
      <c r="G278" s="90">
        <v>17.291649628004098</v>
      </c>
      <c r="H278" s="90">
        <v>22.6124915215436</v>
      </c>
      <c r="I278" s="90">
        <v>32.896537877860716</v>
      </c>
      <c r="J278" s="90">
        <v>19.228549426374464</v>
      </c>
      <c r="K278" s="90">
        <v>8.7986368828759236</v>
      </c>
      <c r="L278" s="90">
        <v>32.12245384369281</v>
      </c>
      <c r="M278" s="90">
        <v>5.5408184675544394</v>
      </c>
      <c r="N278" s="90">
        <v>11.522750935592963</v>
      </c>
      <c r="O278" s="90">
        <v>0.98388152694564457</v>
      </c>
      <c r="P278" s="90">
        <v>0.18947028614307007</v>
      </c>
    </row>
    <row r="279" spans="2:19" x14ac:dyDescent="0.3">
      <c r="B279" s="296" t="s">
        <v>4</v>
      </c>
      <c r="C279" s="9" t="s">
        <v>175</v>
      </c>
      <c r="D279" s="86">
        <v>42.248838523120881</v>
      </c>
      <c r="E279" s="86">
        <v>25.117235270602844</v>
      </c>
      <c r="F279" s="88">
        <v>81.696224052402428</v>
      </c>
      <c r="G279" s="86">
        <v>18.117800503277802</v>
      </c>
      <c r="H279" s="88">
        <v>4.6275421110584292</v>
      </c>
      <c r="I279" s="86">
        <v>37.494619175218141</v>
      </c>
      <c r="J279" s="86">
        <v>9.3508049882824107</v>
      </c>
      <c r="K279" s="86">
        <v>3.6540933703703864</v>
      </c>
      <c r="L279" s="88">
        <v>49.091120208090608</v>
      </c>
      <c r="M279" s="86">
        <v>8.4059544132699742</v>
      </c>
      <c r="N279" s="86">
        <v>20.195767384306087</v>
      </c>
      <c r="O279" s="86">
        <v>0</v>
      </c>
      <c r="P279" s="86">
        <v>0</v>
      </c>
    </row>
    <row r="280" spans="2:19" x14ac:dyDescent="0.3">
      <c r="B280" s="292"/>
      <c r="C280" s="9" t="s">
        <v>176</v>
      </c>
      <c r="D280" s="86">
        <v>36.603184219893393</v>
      </c>
      <c r="E280" s="86">
        <v>42.757630997802821</v>
      </c>
      <c r="F280" s="88">
        <v>66.195857090950327</v>
      </c>
      <c r="G280" s="86">
        <v>23.500205869598528</v>
      </c>
      <c r="H280" s="88">
        <v>26.704646049351606</v>
      </c>
      <c r="I280" s="86">
        <v>31.718591285082979</v>
      </c>
      <c r="J280" s="86">
        <v>23.06937188665043</v>
      </c>
      <c r="K280" s="86">
        <v>6.141623062236337</v>
      </c>
      <c r="L280" s="88">
        <v>29.109992823675906</v>
      </c>
      <c r="M280" s="86">
        <v>4.5207030879707597</v>
      </c>
      <c r="N280" s="86">
        <v>8.8765706470004613</v>
      </c>
      <c r="O280" s="86">
        <v>0.8016229797861868</v>
      </c>
      <c r="P280" s="86">
        <v>0</v>
      </c>
    </row>
    <row r="281" spans="2:19" x14ac:dyDescent="0.3">
      <c r="B281" s="292"/>
      <c r="C281" s="9" t="s">
        <v>177</v>
      </c>
      <c r="D281" s="86">
        <v>30.575819845030335</v>
      </c>
      <c r="E281" s="86">
        <v>49.470576783042283</v>
      </c>
      <c r="F281" s="88">
        <v>70.381002845119596</v>
      </c>
      <c r="G281" s="86">
        <v>15.771933652290448</v>
      </c>
      <c r="H281" s="88">
        <v>23.602650296343359</v>
      </c>
      <c r="I281" s="86">
        <v>31.354183029214745</v>
      </c>
      <c r="J281" s="86">
        <v>17.124813339788872</v>
      </c>
      <c r="K281" s="86">
        <v>11.711344454575629</v>
      </c>
      <c r="L281" s="88">
        <v>27.854996222747452</v>
      </c>
      <c r="M281" s="86">
        <v>7.6228631327297238</v>
      </c>
      <c r="N281" s="86">
        <v>13.87487816453088</v>
      </c>
      <c r="O281" s="86">
        <v>0.65493823458701705</v>
      </c>
      <c r="P281" s="86">
        <v>0</v>
      </c>
    </row>
    <row r="282" spans="2:19" x14ac:dyDescent="0.3">
      <c r="B282" s="292"/>
      <c r="C282" s="9" t="s">
        <v>178</v>
      </c>
      <c r="D282" s="86">
        <v>32.728444059894777</v>
      </c>
      <c r="E282" s="86">
        <v>43.357542680205256</v>
      </c>
      <c r="F282" s="88">
        <v>70.707157069185442</v>
      </c>
      <c r="G282" s="86">
        <v>23.88568667954647</v>
      </c>
      <c r="H282" s="88">
        <v>19.568129480128036</v>
      </c>
      <c r="I282" s="86">
        <v>34.933187524166058</v>
      </c>
      <c r="J282" s="86">
        <v>18.064303390129552</v>
      </c>
      <c r="K282" s="86">
        <v>5.4304542508154992</v>
      </c>
      <c r="L282" s="88">
        <v>33.618027734963661</v>
      </c>
      <c r="M282" s="86">
        <v>3.5028451191576577</v>
      </c>
      <c r="N282" s="86">
        <v>11.382310681721064</v>
      </c>
      <c r="O282" s="86">
        <v>1.9339841079654065</v>
      </c>
      <c r="P282" s="86">
        <v>0.88792722212117281</v>
      </c>
    </row>
    <row r="283" spans="2:19" x14ac:dyDescent="0.3">
      <c r="B283" s="292"/>
      <c r="C283" s="9" t="s">
        <v>179</v>
      </c>
      <c r="D283" s="86">
        <v>34.91057695673522</v>
      </c>
      <c r="E283" s="86">
        <v>42.547112965955961</v>
      </c>
      <c r="F283" s="88">
        <v>73.152998073680621</v>
      </c>
      <c r="G283" s="86">
        <v>13.367837817508068</v>
      </c>
      <c r="H283" s="88">
        <v>24.56007603463274</v>
      </c>
      <c r="I283" s="86">
        <v>34.479744937526711</v>
      </c>
      <c r="J283" s="86">
        <v>21.218818653986666</v>
      </c>
      <c r="K283" s="86">
        <v>7.3054363151907289</v>
      </c>
      <c r="L283" s="88">
        <v>29.067959149666265</v>
      </c>
      <c r="M283" s="86">
        <v>6.5103485774625423</v>
      </c>
      <c r="N283" s="86">
        <v>12.3221584374641</v>
      </c>
      <c r="O283" s="86">
        <v>0.55693208019006324</v>
      </c>
      <c r="P283" s="86">
        <v>0</v>
      </c>
    </row>
    <row r="284" spans="2:19" x14ac:dyDescent="0.3">
      <c r="B284" s="298"/>
      <c r="C284" s="12" t="s">
        <v>180</v>
      </c>
      <c r="D284" s="90">
        <v>37.310285063095691</v>
      </c>
      <c r="E284" s="90">
        <v>43.067560309222365</v>
      </c>
      <c r="F284" s="91">
        <v>70.931747701688181</v>
      </c>
      <c r="G284" s="90">
        <v>8.0717892577672963</v>
      </c>
      <c r="H284" s="91">
        <v>22.464637694531486</v>
      </c>
      <c r="I284" s="90">
        <v>30.680933983479484</v>
      </c>
      <c r="J284" s="90">
        <v>18.369487270029037</v>
      </c>
      <c r="K284" s="90">
        <v>15.5210054706828</v>
      </c>
      <c r="L284" s="91">
        <v>37.387044907632614</v>
      </c>
      <c r="M284" s="90">
        <v>5.4499493933435161</v>
      </c>
      <c r="N284" s="90">
        <v>9.7061763083690433</v>
      </c>
      <c r="O284" s="90">
        <v>1.0393826401584516</v>
      </c>
      <c r="P284" s="90">
        <v>0</v>
      </c>
    </row>
    <row r="285" spans="2:19" x14ac:dyDescent="0.3">
      <c r="B285" s="292" t="s">
        <v>223</v>
      </c>
      <c r="C285" s="9" t="s">
        <v>210</v>
      </c>
      <c r="D285" s="86">
        <v>0</v>
      </c>
      <c r="E285" s="86">
        <v>0</v>
      </c>
      <c r="F285" s="88">
        <v>0</v>
      </c>
      <c r="G285" s="86">
        <v>0</v>
      </c>
      <c r="H285" s="88">
        <v>0</v>
      </c>
      <c r="I285" s="86">
        <v>0</v>
      </c>
      <c r="J285" s="86">
        <v>0</v>
      </c>
      <c r="K285" s="86">
        <v>0</v>
      </c>
      <c r="L285" s="88">
        <v>0</v>
      </c>
      <c r="M285" s="86">
        <v>0</v>
      </c>
      <c r="N285" s="86">
        <v>0</v>
      </c>
      <c r="O285" s="86">
        <v>0</v>
      </c>
      <c r="P285" s="86">
        <v>0</v>
      </c>
    </row>
    <row r="286" spans="2:19" x14ac:dyDescent="0.3">
      <c r="B286" s="292"/>
      <c r="C286" s="9" t="s">
        <v>211</v>
      </c>
      <c r="D286" s="86">
        <v>0</v>
      </c>
      <c r="E286" s="86">
        <v>0</v>
      </c>
      <c r="F286" s="88">
        <v>0</v>
      </c>
      <c r="G286" s="86">
        <v>0</v>
      </c>
      <c r="H286" s="88">
        <v>0</v>
      </c>
      <c r="I286" s="86">
        <v>0</v>
      </c>
      <c r="J286" s="86">
        <v>0</v>
      </c>
      <c r="K286" s="86">
        <v>0</v>
      </c>
      <c r="L286" s="88">
        <v>0</v>
      </c>
      <c r="M286" s="86">
        <v>0</v>
      </c>
      <c r="N286" s="86">
        <v>0</v>
      </c>
      <c r="O286" s="86">
        <v>0</v>
      </c>
      <c r="P286" s="86">
        <v>0</v>
      </c>
    </row>
    <row r="287" spans="2:19" x14ac:dyDescent="0.3">
      <c r="B287" s="292"/>
      <c r="C287" s="9" t="s">
        <v>212</v>
      </c>
      <c r="D287" s="86">
        <v>0</v>
      </c>
      <c r="E287" s="86">
        <v>0</v>
      </c>
      <c r="F287" s="88">
        <v>0</v>
      </c>
      <c r="G287" s="86">
        <v>0</v>
      </c>
      <c r="H287" s="88">
        <v>0</v>
      </c>
      <c r="I287" s="86">
        <v>0</v>
      </c>
      <c r="J287" s="86">
        <v>0</v>
      </c>
      <c r="K287" s="86">
        <v>0</v>
      </c>
      <c r="L287" s="88">
        <v>0</v>
      </c>
      <c r="M287" s="86">
        <v>0</v>
      </c>
      <c r="N287" s="86">
        <v>0</v>
      </c>
      <c r="O287" s="86">
        <v>0</v>
      </c>
      <c r="P287" s="86">
        <v>0</v>
      </c>
    </row>
    <row r="288" spans="2:19" x14ac:dyDescent="0.3">
      <c r="B288" s="292"/>
      <c r="C288" s="9" t="s">
        <v>213</v>
      </c>
      <c r="D288" s="86">
        <v>0</v>
      </c>
      <c r="E288" s="86">
        <v>0</v>
      </c>
      <c r="F288" s="88">
        <v>0</v>
      </c>
      <c r="G288" s="86">
        <v>0</v>
      </c>
      <c r="H288" s="88">
        <v>0</v>
      </c>
      <c r="I288" s="86">
        <v>0</v>
      </c>
      <c r="J288" s="86">
        <v>0</v>
      </c>
      <c r="K288" s="86">
        <v>0</v>
      </c>
      <c r="L288" s="88">
        <v>0</v>
      </c>
      <c r="M288" s="86">
        <v>0</v>
      </c>
      <c r="N288" s="86">
        <v>0</v>
      </c>
      <c r="O288" s="86">
        <v>0</v>
      </c>
      <c r="P288" s="86">
        <v>0</v>
      </c>
    </row>
    <row r="289" spans="2:16" x14ac:dyDescent="0.3">
      <c r="B289" s="292"/>
      <c r="C289" s="9" t="s">
        <v>214</v>
      </c>
      <c r="D289" s="86">
        <v>0</v>
      </c>
      <c r="E289" s="86">
        <v>0</v>
      </c>
      <c r="F289" s="88">
        <v>0</v>
      </c>
      <c r="G289" s="86">
        <v>0</v>
      </c>
      <c r="H289" s="88">
        <v>0</v>
      </c>
      <c r="I289" s="86">
        <v>0</v>
      </c>
      <c r="J289" s="86">
        <v>0</v>
      </c>
      <c r="K289" s="86">
        <v>0</v>
      </c>
      <c r="L289" s="88">
        <v>0</v>
      </c>
      <c r="M289" s="86">
        <v>0</v>
      </c>
      <c r="N289" s="86">
        <v>0</v>
      </c>
      <c r="O289" s="86">
        <v>0</v>
      </c>
      <c r="P289" s="86">
        <v>0</v>
      </c>
    </row>
    <row r="290" spans="2:16" x14ac:dyDescent="0.3">
      <c r="B290" s="292"/>
      <c r="C290" s="12" t="s">
        <v>215</v>
      </c>
      <c r="D290" s="90">
        <v>0</v>
      </c>
      <c r="E290" s="90">
        <v>0</v>
      </c>
      <c r="F290" s="91">
        <v>0</v>
      </c>
      <c r="G290" s="90">
        <v>0</v>
      </c>
      <c r="H290" s="91">
        <v>0</v>
      </c>
      <c r="I290" s="90">
        <v>0</v>
      </c>
      <c r="J290" s="90">
        <v>0</v>
      </c>
      <c r="K290" s="90">
        <v>0</v>
      </c>
      <c r="L290" s="91">
        <v>0</v>
      </c>
      <c r="M290" s="90">
        <v>0</v>
      </c>
      <c r="N290" s="90">
        <v>0</v>
      </c>
      <c r="O290" s="90">
        <v>0</v>
      </c>
      <c r="P290" s="90">
        <v>0</v>
      </c>
    </row>
    <row r="291" spans="2:16" x14ac:dyDescent="0.3">
      <c r="B291" s="292"/>
      <c r="C291" s="9" t="s">
        <v>216</v>
      </c>
      <c r="D291" s="86">
        <v>42.248838523120881</v>
      </c>
      <c r="E291" s="86">
        <v>25.117235270602844</v>
      </c>
      <c r="F291" s="88">
        <v>81.696224052402428</v>
      </c>
      <c r="G291" s="86">
        <v>18.117800503277802</v>
      </c>
      <c r="H291" s="88">
        <v>4.6275421110584292</v>
      </c>
      <c r="I291" s="86">
        <v>37.494619175218141</v>
      </c>
      <c r="J291" s="86">
        <v>9.3508049882824107</v>
      </c>
      <c r="K291" s="86">
        <v>3.6540933703703864</v>
      </c>
      <c r="L291" s="88">
        <v>49.091120208090608</v>
      </c>
      <c r="M291" s="86">
        <v>8.4059544132699742</v>
      </c>
      <c r="N291" s="86">
        <v>20.195767384306087</v>
      </c>
      <c r="O291" s="86">
        <v>0</v>
      </c>
      <c r="P291" s="86">
        <v>0</v>
      </c>
    </row>
    <row r="292" spans="2:16" x14ac:dyDescent="0.3">
      <c r="B292" s="292"/>
      <c r="C292" s="9" t="s">
        <v>217</v>
      </c>
      <c r="D292" s="86">
        <v>36.603184219893393</v>
      </c>
      <c r="E292" s="86">
        <v>42.757630997802821</v>
      </c>
      <c r="F292" s="88">
        <v>66.195857090950327</v>
      </c>
      <c r="G292" s="86">
        <v>23.500205869598528</v>
      </c>
      <c r="H292" s="88">
        <v>26.704646049351606</v>
      </c>
      <c r="I292" s="86">
        <v>31.718591285082979</v>
      </c>
      <c r="J292" s="86">
        <v>23.06937188665043</v>
      </c>
      <c r="K292" s="86">
        <v>6.141623062236337</v>
      </c>
      <c r="L292" s="88">
        <v>29.109992823675906</v>
      </c>
      <c r="M292" s="86">
        <v>4.5207030879707597</v>
      </c>
      <c r="N292" s="86">
        <v>8.8765706470004613</v>
      </c>
      <c r="O292" s="86">
        <v>0.8016229797861868</v>
      </c>
      <c r="P292" s="86">
        <v>0</v>
      </c>
    </row>
    <row r="293" spans="2:16" x14ac:dyDescent="0.3">
      <c r="B293" s="292"/>
      <c r="C293" s="9" t="s">
        <v>218</v>
      </c>
      <c r="D293" s="86">
        <v>30.575819845030335</v>
      </c>
      <c r="E293" s="86">
        <v>49.470576783042283</v>
      </c>
      <c r="F293" s="88">
        <v>70.381002845119596</v>
      </c>
      <c r="G293" s="86">
        <v>15.771933652290448</v>
      </c>
      <c r="H293" s="88">
        <v>23.602650296343359</v>
      </c>
      <c r="I293" s="86">
        <v>31.354183029214745</v>
      </c>
      <c r="J293" s="86">
        <v>17.124813339788872</v>
      </c>
      <c r="K293" s="86">
        <v>11.711344454575629</v>
      </c>
      <c r="L293" s="88">
        <v>27.854996222747452</v>
      </c>
      <c r="M293" s="86">
        <v>7.6228631327297238</v>
      </c>
      <c r="N293" s="86">
        <v>13.87487816453088</v>
      </c>
      <c r="O293" s="86">
        <v>0.65493823458701705</v>
      </c>
      <c r="P293" s="86">
        <v>0</v>
      </c>
    </row>
    <row r="294" spans="2:16" x14ac:dyDescent="0.3">
      <c r="B294" s="292"/>
      <c r="C294" s="9" t="s">
        <v>219</v>
      </c>
      <c r="D294" s="86">
        <v>32.728444059894777</v>
      </c>
      <c r="E294" s="86">
        <v>43.357542680205256</v>
      </c>
      <c r="F294" s="88">
        <v>70.707157069185442</v>
      </c>
      <c r="G294" s="86">
        <v>23.88568667954647</v>
      </c>
      <c r="H294" s="88">
        <v>19.568129480128036</v>
      </c>
      <c r="I294" s="86">
        <v>34.933187524166058</v>
      </c>
      <c r="J294" s="86">
        <v>18.064303390129552</v>
      </c>
      <c r="K294" s="86">
        <v>5.4304542508154992</v>
      </c>
      <c r="L294" s="88">
        <v>33.618027734963661</v>
      </c>
      <c r="M294" s="86">
        <v>3.5028451191576577</v>
      </c>
      <c r="N294" s="86">
        <v>11.382310681721064</v>
      </c>
      <c r="O294" s="86">
        <v>1.9339841079654065</v>
      </c>
      <c r="P294" s="86">
        <v>0.88792722212117281</v>
      </c>
    </row>
    <row r="295" spans="2:16" x14ac:dyDescent="0.3">
      <c r="B295" s="292"/>
      <c r="C295" s="9" t="s">
        <v>220</v>
      </c>
      <c r="D295" s="86">
        <v>34.91057695673522</v>
      </c>
      <c r="E295" s="86">
        <v>42.547112965955961</v>
      </c>
      <c r="F295" s="88">
        <v>73.152998073680621</v>
      </c>
      <c r="G295" s="86">
        <v>13.367837817508068</v>
      </c>
      <c r="H295" s="88">
        <v>24.56007603463274</v>
      </c>
      <c r="I295" s="86">
        <v>34.479744937526711</v>
      </c>
      <c r="J295" s="86">
        <v>21.218818653986666</v>
      </c>
      <c r="K295" s="86">
        <v>7.3054363151907289</v>
      </c>
      <c r="L295" s="88">
        <v>29.067959149666265</v>
      </c>
      <c r="M295" s="86">
        <v>6.5103485774625423</v>
      </c>
      <c r="N295" s="86">
        <v>12.3221584374641</v>
      </c>
      <c r="O295" s="86">
        <v>0.55693208019006324</v>
      </c>
      <c r="P295" s="86">
        <v>0</v>
      </c>
    </row>
    <row r="296" spans="2:16" x14ac:dyDescent="0.3">
      <c r="B296" s="295"/>
      <c r="C296" s="9" t="s">
        <v>221</v>
      </c>
      <c r="D296" s="90">
        <v>37.310285063095691</v>
      </c>
      <c r="E296" s="90">
        <v>43.067560309222365</v>
      </c>
      <c r="F296" s="91">
        <v>70.931747701688181</v>
      </c>
      <c r="G296" s="90">
        <v>8.0717892577672963</v>
      </c>
      <c r="H296" s="91">
        <v>22.464637694531486</v>
      </c>
      <c r="I296" s="90">
        <v>30.680933983479484</v>
      </c>
      <c r="J296" s="90">
        <v>18.369487270029037</v>
      </c>
      <c r="K296" s="90">
        <v>15.5210054706828</v>
      </c>
      <c r="L296" s="91">
        <v>37.387044907632614</v>
      </c>
      <c r="M296" s="90">
        <v>5.4499493933435161</v>
      </c>
      <c r="N296" s="90">
        <v>9.7061763083690433</v>
      </c>
      <c r="O296" s="90">
        <v>1.0393826401584516</v>
      </c>
      <c r="P296" s="90">
        <v>0</v>
      </c>
    </row>
    <row r="297" spans="2:16" ht="16.5" customHeight="1" x14ac:dyDescent="0.3">
      <c r="B297" s="291" t="s">
        <v>222</v>
      </c>
      <c r="C297" s="13" t="s">
        <v>226</v>
      </c>
      <c r="D297" s="80">
        <v>43.270084205903352</v>
      </c>
      <c r="E297" s="80">
        <v>49.101209727302454</v>
      </c>
      <c r="F297" s="80">
        <v>68.782762786130306</v>
      </c>
      <c r="G297" s="80">
        <v>19.075536079537152</v>
      </c>
      <c r="H297" s="80">
        <v>26.370582571317019</v>
      </c>
      <c r="I297" s="80">
        <v>27.655032736515167</v>
      </c>
      <c r="J297" s="80">
        <v>13.694496921747101</v>
      </c>
      <c r="K297" s="80">
        <v>10.139711482361859</v>
      </c>
      <c r="L297" s="80">
        <v>31.201984752664202</v>
      </c>
      <c r="M297" s="80">
        <v>3.2662789561839385</v>
      </c>
      <c r="N297" s="80">
        <v>5.780902021131805</v>
      </c>
      <c r="O297" s="80">
        <v>1.2063715378613185</v>
      </c>
      <c r="P297" s="80">
        <v>0.45504622134420269</v>
      </c>
    </row>
    <row r="298" spans="2:16" x14ac:dyDescent="0.3">
      <c r="B298" s="294"/>
      <c r="C298" s="9" t="s">
        <v>227</v>
      </c>
      <c r="D298" s="79">
        <v>33.166455436200728</v>
      </c>
      <c r="E298" s="79">
        <v>40.835778853720605</v>
      </c>
      <c r="F298" s="79">
        <v>67.186607532439126</v>
      </c>
      <c r="G298" s="79">
        <v>20.041915051651756</v>
      </c>
      <c r="H298" s="79">
        <v>23.119147281038579</v>
      </c>
      <c r="I298" s="79">
        <v>35.630613758916638</v>
      </c>
      <c r="J298" s="79">
        <v>19.383875057279596</v>
      </c>
      <c r="K298" s="79">
        <v>7.2126306411363821</v>
      </c>
      <c r="L298" s="79">
        <v>32.837078751261835</v>
      </c>
      <c r="M298" s="79">
        <v>7.3385609068732922</v>
      </c>
      <c r="N298" s="79">
        <v>13.038369278299516</v>
      </c>
      <c r="O298" s="79">
        <v>0.20896745118198978</v>
      </c>
      <c r="P298" s="79">
        <v>0</v>
      </c>
    </row>
    <row r="299" spans="2:16" x14ac:dyDescent="0.3">
      <c r="B299" s="292"/>
      <c r="C299" s="9" t="s">
        <v>228</v>
      </c>
      <c r="D299" s="79">
        <v>34.874584965726825</v>
      </c>
      <c r="E299" s="79">
        <v>39.83438080729735</v>
      </c>
      <c r="F299" s="79">
        <v>75.230297407552101</v>
      </c>
      <c r="G299" s="79">
        <v>17.718352293593703</v>
      </c>
      <c r="H299" s="79">
        <v>25.101109112745128</v>
      </c>
      <c r="I299" s="79">
        <v>33.060461700884645</v>
      </c>
      <c r="J299" s="79">
        <v>20.949916528001246</v>
      </c>
      <c r="K299" s="79">
        <v>8.1652929796703546</v>
      </c>
      <c r="L299" s="79">
        <v>31.32228527198987</v>
      </c>
      <c r="M299" s="79">
        <v>3.8236977915112562</v>
      </c>
      <c r="N299" s="79">
        <v>8.6064392260123341</v>
      </c>
      <c r="O299" s="79">
        <v>1.3131819150151052</v>
      </c>
      <c r="P299" s="79">
        <v>0</v>
      </c>
    </row>
    <row r="300" spans="2:16" x14ac:dyDescent="0.3">
      <c r="B300" s="295"/>
      <c r="C300" s="12" t="s">
        <v>229</v>
      </c>
      <c r="D300" s="81">
        <v>28.67326632230089</v>
      </c>
      <c r="E300" s="81">
        <v>43.304658728879353</v>
      </c>
      <c r="F300" s="81">
        <v>72.417298467857634</v>
      </c>
      <c r="G300" s="81">
        <v>12.823187698257584</v>
      </c>
      <c r="H300" s="81">
        <v>17.087973146411763</v>
      </c>
      <c r="I300" s="81">
        <v>34.799468819605856</v>
      </c>
      <c r="J300" s="81">
        <v>22.7373679725046</v>
      </c>
      <c r="K300" s="81">
        <v>9.5648906741492574</v>
      </c>
      <c r="L300" s="81">
        <v>32.815527785345175</v>
      </c>
      <c r="M300" s="81">
        <v>7.0410437689511927</v>
      </c>
      <c r="N300" s="81">
        <v>17.17619935137855</v>
      </c>
      <c r="O300" s="81">
        <v>1.2909386908026608</v>
      </c>
      <c r="P300" s="81">
        <v>0.26817857355534269</v>
      </c>
    </row>
    <row r="301" spans="2:16" x14ac:dyDescent="0.3">
      <c r="B301" s="296" t="s">
        <v>199</v>
      </c>
      <c r="C301" s="13" t="s">
        <v>192</v>
      </c>
      <c r="D301" s="80">
        <v>33.552823588967954</v>
      </c>
      <c r="E301" s="80">
        <v>45.654515078598408</v>
      </c>
      <c r="F301" s="80">
        <v>68.006361615628549</v>
      </c>
      <c r="G301" s="80">
        <v>18.96605271758277</v>
      </c>
      <c r="H301" s="80">
        <v>24.673258363282077</v>
      </c>
      <c r="I301" s="80">
        <v>35.146938997643289</v>
      </c>
      <c r="J301" s="80">
        <v>20.25444712420634</v>
      </c>
      <c r="K301" s="80">
        <v>8.5292645170853252</v>
      </c>
      <c r="L301" s="80">
        <v>28.863549079985727</v>
      </c>
      <c r="M301" s="80">
        <v>4.6209098110842302</v>
      </c>
      <c r="N301" s="80">
        <v>10.534163028900355</v>
      </c>
      <c r="O301" s="80">
        <v>0.99568677537517103</v>
      </c>
      <c r="P301" s="80">
        <v>0.20202930166061311</v>
      </c>
    </row>
    <row r="302" spans="2:16" ht="16.5" customHeight="1" x14ac:dyDescent="0.3">
      <c r="B302" s="292"/>
      <c r="C302" s="9" t="s">
        <v>200</v>
      </c>
      <c r="D302" s="79">
        <v>29.522823624588611</v>
      </c>
      <c r="E302" s="79">
        <v>53.221604074634207</v>
      </c>
      <c r="F302" s="79">
        <v>79.63570285912111</v>
      </c>
      <c r="G302" s="79">
        <v>13.313099480566887</v>
      </c>
      <c r="H302" s="79">
        <v>16.649710297577457</v>
      </c>
      <c r="I302" s="79">
        <v>24.034129523263047</v>
      </c>
      <c r="J302" s="79">
        <v>12.090862920145957</v>
      </c>
      <c r="K302" s="79">
        <v>4.0150900959457179</v>
      </c>
      <c r="L302" s="79">
        <v>45.844063998235555</v>
      </c>
      <c r="M302" s="79">
        <v>8.7525348722595471</v>
      </c>
      <c r="N302" s="79">
        <v>10.936752897458536</v>
      </c>
      <c r="O302" s="79">
        <v>1.9836253562033643</v>
      </c>
      <c r="P302" s="79">
        <v>0</v>
      </c>
    </row>
    <row r="303" spans="2:16" ht="16.5" customHeight="1" x14ac:dyDescent="0.3">
      <c r="B303" s="292"/>
      <c r="C303" s="9" t="s">
        <v>201</v>
      </c>
      <c r="D303" s="79">
        <v>33.672272188985822</v>
      </c>
      <c r="E303" s="79">
        <v>35.24836849954545</v>
      </c>
      <c r="F303" s="79">
        <v>78.090933101128698</v>
      </c>
      <c r="G303" s="79">
        <v>14.935548385968648</v>
      </c>
      <c r="H303" s="79">
        <v>17.163404574509205</v>
      </c>
      <c r="I303" s="79">
        <v>37.661698169456621</v>
      </c>
      <c r="J303" s="79">
        <v>17.711181900067682</v>
      </c>
      <c r="K303" s="79">
        <v>6.3671444791140983</v>
      </c>
      <c r="L303" s="79">
        <v>41.452319288087544</v>
      </c>
      <c r="M303" s="79">
        <v>4.6525838056303304</v>
      </c>
      <c r="N303" s="79">
        <v>12.273192952265404</v>
      </c>
      <c r="O303" s="79">
        <v>0</v>
      </c>
      <c r="P303" s="79">
        <v>0.77135265524039709</v>
      </c>
    </row>
    <row r="304" spans="2:16" x14ac:dyDescent="0.3">
      <c r="B304" s="292"/>
      <c r="C304" s="9" t="s">
        <v>202</v>
      </c>
      <c r="D304" s="79">
        <v>33.519867016908343</v>
      </c>
      <c r="E304" s="79">
        <v>42.881078096119005</v>
      </c>
      <c r="F304" s="79">
        <v>79.732453851673895</v>
      </c>
      <c r="G304" s="79">
        <v>9.6097217317687047</v>
      </c>
      <c r="H304" s="79">
        <v>21.097885049132408</v>
      </c>
      <c r="I304" s="79">
        <v>27.38778830532344</v>
      </c>
      <c r="J304" s="79">
        <v>22.595240844466694</v>
      </c>
      <c r="K304" s="79">
        <v>9.2567149269502025</v>
      </c>
      <c r="L304" s="79">
        <v>26.057560830064187</v>
      </c>
      <c r="M304" s="79">
        <v>11.153547995794815</v>
      </c>
      <c r="N304" s="79">
        <v>13.661739403960988</v>
      </c>
      <c r="O304" s="79">
        <v>3.0464019478373334</v>
      </c>
      <c r="P304" s="79">
        <v>0</v>
      </c>
    </row>
    <row r="305" spans="2:16" x14ac:dyDescent="0.3">
      <c r="B305" s="295"/>
      <c r="C305" s="12" t="s">
        <v>203</v>
      </c>
      <c r="D305" s="81">
        <v>39.477130699176072</v>
      </c>
      <c r="E305" s="81">
        <v>40.322360288778029</v>
      </c>
      <c r="F305" s="81">
        <v>69.105756043405464</v>
      </c>
      <c r="G305" s="81">
        <v>17.893787912924608</v>
      </c>
      <c r="H305" s="81">
        <v>21.153115160741145</v>
      </c>
      <c r="I305" s="81">
        <v>28.432325067045461</v>
      </c>
      <c r="J305" s="81">
        <v>16.655207026538001</v>
      </c>
      <c r="K305" s="81">
        <v>10.962034713028853</v>
      </c>
      <c r="L305" s="81">
        <v>37.302296550890183</v>
      </c>
      <c r="M305" s="81">
        <v>5.4630843201455068</v>
      </c>
      <c r="N305" s="81">
        <v>12.858547414832897</v>
      </c>
      <c r="O305" s="81">
        <v>0.37435480249345965</v>
      </c>
      <c r="P305" s="81">
        <v>0</v>
      </c>
    </row>
    <row r="306" spans="2:16" x14ac:dyDescent="0.3">
      <c r="B306" s="291" t="s">
        <v>204</v>
      </c>
      <c r="C306" s="13" t="s">
        <v>192</v>
      </c>
      <c r="D306" s="80">
        <v>33.552823588967954</v>
      </c>
      <c r="E306" s="80">
        <v>45.654515078598408</v>
      </c>
      <c r="F306" s="80">
        <v>68.006361615628549</v>
      </c>
      <c r="G306" s="80">
        <v>18.96605271758277</v>
      </c>
      <c r="H306" s="80">
        <v>24.673258363282077</v>
      </c>
      <c r="I306" s="80">
        <v>35.146938997643289</v>
      </c>
      <c r="J306" s="80">
        <v>20.25444712420634</v>
      </c>
      <c r="K306" s="80">
        <v>8.5292645170853252</v>
      </c>
      <c r="L306" s="80">
        <v>28.863549079985727</v>
      </c>
      <c r="M306" s="80">
        <v>4.6209098110842302</v>
      </c>
      <c r="N306" s="80">
        <v>10.534163028900355</v>
      </c>
      <c r="O306" s="80">
        <v>0.99568677537517103</v>
      </c>
      <c r="P306" s="80">
        <v>0.20202930166061311</v>
      </c>
    </row>
    <row r="307" spans="2:16" x14ac:dyDescent="0.3">
      <c r="B307" s="295"/>
      <c r="C307" s="12" t="s">
        <v>193</v>
      </c>
      <c r="D307" s="81">
        <v>36.279968766587146</v>
      </c>
      <c r="E307" s="81">
        <v>40.508290425637298</v>
      </c>
      <c r="F307" s="81">
        <v>74.07041771224948</v>
      </c>
      <c r="G307" s="81">
        <v>15.149333701003172</v>
      </c>
      <c r="H307" s="81">
        <v>19.975842285544683</v>
      </c>
      <c r="I307" s="81">
        <v>30.017260963564123</v>
      </c>
      <c r="J307" s="81">
        <v>17.915964069110426</v>
      </c>
      <c r="K307" s="81">
        <v>9.1432855001169386</v>
      </c>
      <c r="L307" s="81">
        <v>36.292061283695219</v>
      </c>
      <c r="M307" s="81">
        <v>6.7177960892562529</v>
      </c>
      <c r="N307" s="81">
        <v>12.787600260662893</v>
      </c>
      <c r="O307" s="81">
        <v>0.96877729553914294</v>
      </c>
      <c r="P307" s="81">
        <v>0.17340164703332439</v>
      </c>
    </row>
    <row r="308" spans="2:16" x14ac:dyDescent="0.3">
      <c r="B308" s="291" t="s">
        <v>209</v>
      </c>
      <c r="C308" s="13" t="s">
        <v>205</v>
      </c>
      <c r="D308" s="80">
        <v>30.742460803311516</v>
      </c>
      <c r="E308" s="80">
        <v>36.14506991341662</v>
      </c>
      <c r="F308" s="80">
        <v>66.236980956180702</v>
      </c>
      <c r="G308" s="80">
        <v>20.607679822865769</v>
      </c>
      <c r="H308" s="80">
        <v>23.950083842569025</v>
      </c>
      <c r="I308" s="80">
        <v>38.462527601159593</v>
      </c>
      <c r="J308" s="80">
        <v>19.154380807229433</v>
      </c>
      <c r="K308" s="80">
        <v>7.082201497661389</v>
      </c>
      <c r="L308" s="80">
        <v>35.921757265542041</v>
      </c>
      <c r="M308" s="80">
        <v>4.7710398366761515</v>
      </c>
      <c r="N308" s="80">
        <v>14.553939150583634</v>
      </c>
      <c r="O308" s="80">
        <v>1.5625085916601678</v>
      </c>
      <c r="P308" s="80">
        <v>0.80936991114399104</v>
      </c>
    </row>
    <row r="309" spans="2:16" x14ac:dyDescent="0.3">
      <c r="B309" s="292"/>
      <c r="C309" s="9" t="s">
        <v>206</v>
      </c>
      <c r="D309" s="79">
        <v>34.202269190875498</v>
      </c>
      <c r="E309" s="79">
        <v>45.390663892948936</v>
      </c>
      <c r="F309" s="79">
        <v>77.501475298772533</v>
      </c>
      <c r="G309" s="79">
        <v>13.446614221314343</v>
      </c>
      <c r="H309" s="79">
        <v>20.453574268773426</v>
      </c>
      <c r="I309" s="79">
        <v>29.586943839103942</v>
      </c>
      <c r="J309" s="79">
        <v>15.608098900888487</v>
      </c>
      <c r="K309" s="79">
        <v>12.059962642658139</v>
      </c>
      <c r="L309" s="79">
        <v>33.03523676900911</v>
      </c>
      <c r="M309" s="79">
        <v>7.3653481795673548</v>
      </c>
      <c r="N309" s="79">
        <v>10.692293216547045</v>
      </c>
      <c r="O309" s="79">
        <v>0.65751957954119777</v>
      </c>
      <c r="P309" s="79">
        <v>0</v>
      </c>
    </row>
    <row r="310" spans="2:16" x14ac:dyDescent="0.3">
      <c r="B310" s="292"/>
      <c r="C310" s="9" t="s">
        <v>207</v>
      </c>
      <c r="D310" s="79">
        <v>36.596992580250649</v>
      </c>
      <c r="E310" s="79">
        <v>49.238588484180298</v>
      </c>
      <c r="F310" s="79">
        <v>70.961993596181856</v>
      </c>
      <c r="G310" s="79">
        <v>15.364033146283571</v>
      </c>
      <c r="H310" s="79">
        <v>19.901643195676648</v>
      </c>
      <c r="I310" s="79">
        <v>31.633223462395112</v>
      </c>
      <c r="J310" s="79">
        <v>22.319541335359087</v>
      </c>
      <c r="K310" s="79">
        <v>8.5921125709024277</v>
      </c>
      <c r="L310" s="79">
        <v>27.70053399379535</v>
      </c>
      <c r="M310" s="79">
        <v>3.6126645214029445</v>
      </c>
      <c r="N310" s="79">
        <v>12.622840593015427</v>
      </c>
      <c r="O310" s="79">
        <v>1.1987758069145995</v>
      </c>
      <c r="P310" s="79">
        <v>0.25705671364201965</v>
      </c>
    </row>
    <row r="311" spans="2:16" x14ac:dyDescent="0.3">
      <c r="B311" s="293"/>
      <c r="C311" s="25" t="s">
        <v>208</v>
      </c>
      <c r="D311" s="82">
        <v>35.113776298149716</v>
      </c>
      <c r="E311" s="82">
        <v>40.206574152292568</v>
      </c>
      <c r="F311" s="82">
        <v>68.129437831913208</v>
      </c>
      <c r="G311" s="82">
        <v>19.864181100090921</v>
      </c>
      <c r="H311" s="82">
        <v>25.624124828699735</v>
      </c>
      <c r="I311" s="82">
        <v>33.708160953165859</v>
      </c>
      <c r="J311" s="82">
        <v>18.817743992620095</v>
      </c>
      <c r="K311" s="82">
        <v>7.7210312645718915</v>
      </c>
      <c r="L311" s="82">
        <v>33.773167853966676</v>
      </c>
      <c r="M311" s="82">
        <v>6.376300887393711</v>
      </c>
      <c r="N311" s="82">
        <v>9.8968293271965297</v>
      </c>
      <c r="O311" s="82">
        <v>0.76867150993904865</v>
      </c>
      <c r="P311" s="82">
        <v>0</v>
      </c>
    </row>
    <row r="312" spans="2:16" x14ac:dyDescent="0.3">
      <c r="B312" s="60"/>
      <c r="C312" s="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</row>
    <row r="313" spans="2:16" x14ac:dyDescent="0.3">
      <c r="B313" s="60"/>
      <c r="C313" s="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</row>
    <row r="314" spans="2:16" x14ac:dyDescent="0.3">
      <c r="B314" s="1" t="s">
        <v>502</v>
      </c>
    </row>
    <row r="315" spans="2:16" x14ac:dyDescent="0.3">
      <c r="D315" s="30"/>
      <c r="E315" s="30" t="s">
        <v>301</v>
      </c>
      <c r="F315" s="30"/>
      <c r="N315" s="30"/>
    </row>
    <row r="316" spans="2:16" x14ac:dyDescent="0.3">
      <c r="B316" s="216"/>
      <c r="C316" s="309" t="s">
        <v>137</v>
      </c>
      <c r="D316" s="290"/>
      <c r="E316" s="290"/>
      <c r="F316" s="42"/>
      <c r="G316" s="308"/>
      <c r="H316" s="308"/>
      <c r="I316" s="308"/>
      <c r="J316" s="308"/>
      <c r="K316" s="308"/>
      <c r="L316" s="308"/>
      <c r="M316" s="308"/>
      <c r="N316" s="308"/>
    </row>
    <row r="317" spans="2:16" x14ac:dyDescent="0.3">
      <c r="B317" s="221"/>
      <c r="C317" s="228" t="s">
        <v>56</v>
      </c>
      <c r="D317" s="215" t="s">
        <v>302</v>
      </c>
      <c r="E317" s="215" t="s">
        <v>41</v>
      </c>
      <c r="F317" s="64"/>
      <c r="G317" s="64"/>
      <c r="H317" s="64"/>
      <c r="I317" s="64"/>
      <c r="J317" s="64"/>
      <c r="K317" s="64"/>
      <c r="L317" s="64"/>
      <c r="M317" s="64"/>
      <c r="N317" s="64"/>
    </row>
    <row r="318" spans="2:16" x14ac:dyDescent="0.3">
      <c r="B318" s="40">
        <v>1</v>
      </c>
      <c r="C318" s="23" t="s">
        <v>312</v>
      </c>
      <c r="D318" s="134">
        <v>603</v>
      </c>
      <c r="E318" s="83">
        <v>5.1893287435456115</v>
      </c>
      <c r="F318" s="83"/>
      <c r="G318" s="9"/>
      <c r="H318" s="56"/>
      <c r="I318" s="56"/>
      <c r="J318" s="56"/>
      <c r="K318" s="9"/>
      <c r="L318" s="56"/>
      <c r="M318" s="56"/>
      <c r="N318" s="56"/>
    </row>
    <row r="319" spans="2:16" x14ac:dyDescent="0.3">
      <c r="B319" s="40">
        <v>2</v>
      </c>
      <c r="C319" s="23" t="s">
        <v>317</v>
      </c>
      <c r="D319" s="134">
        <v>558</v>
      </c>
      <c r="E319" s="83">
        <v>4.8020654044750426</v>
      </c>
      <c r="F319" s="83"/>
      <c r="G319" s="9"/>
      <c r="H319" s="56"/>
      <c r="I319" s="56"/>
      <c r="J319" s="56"/>
      <c r="K319" s="9"/>
      <c r="L319" s="56"/>
      <c r="M319" s="56"/>
      <c r="N319" s="56"/>
    </row>
    <row r="320" spans="2:16" x14ac:dyDescent="0.3">
      <c r="B320" s="40">
        <v>3</v>
      </c>
      <c r="C320" s="23" t="s">
        <v>318</v>
      </c>
      <c r="D320" s="134">
        <v>555</v>
      </c>
      <c r="E320" s="83">
        <v>4.7762478485370057</v>
      </c>
      <c r="F320" s="83"/>
      <c r="G320" s="9"/>
      <c r="H320" s="56"/>
      <c r="I320" s="56"/>
      <c r="J320" s="56"/>
      <c r="K320" s="9"/>
      <c r="L320" s="56"/>
      <c r="M320" s="56"/>
      <c r="N320" s="56"/>
    </row>
    <row r="321" spans="2:14" x14ac:dyDescent="0.3">
      <c r="B321" s="40">
        <v>4</v>
      </c>
      <c r="C321" s="23" t="s">
        <v>319</v>
      </c>
      <c r="D321" s="134">
        <v>504</v>
      </c>
      <c r="E321" s="83">
        <v>4.3373493975903612</v>
      </c>
      <c r="F321" s="83"/>
      <c r="G321" s="9"/>
      <c r="H321" s="56"/>
      <c r="I321" s="56"/>
      <c r="J321" s="56"/>
      <c r="K321" s="9"/>
      <c r="L321" s="56"/>
      <c r="M321" s="56"/>
      <c r="N321" s="56"/>
    </row>
    <row r="322" spans="2:14" x14ac:dyDescent="0.3">
      <c r="B322" s="40">
        <v>5</v>
      </c>
      <c r="C322" s="23" t="s">
        <v>320</v>
      </c>
      <c r="D322" s="134">
        <v>447</v>
      </c>
      <c r="E322" s="83">
        <v>3.846815834767642</v>
      </c>
      <c r="F322" s="83"/>
      <c r="G322" s="9"/>
      <c r="H322" s="56"/>
      <c r="I322" s="56"/>
      <c r="J322" s="56"/>
      <c r="K322" s="9"/>
      <c r="L322" s="56"/>
      <c r="M322" s="56"/>
      <c r="N322" s="56"/>
    </row>
    <row r="323" spans="2:14" x14ac:dyDescent="0.3">
      <c r="B323" s="40">
        <v>6</v>
      </c>
      <c r="C323" s="23" t="s">
        <v>85</v>
      </c>
      <c r="D323" s="134">
        <v>429</v>
      </c>
      <c r="E323" s="83">
        <v>3.6919104991394147</v>
      </c>
      <c r="F323" s="83"/>
      <c r="G323" s="9"/>
      <c r="H323" s="56"/>
      <c r="I323" s="56"/>
      <c r="J323" s="56"/>
      <c r="K323" s="9"/>
      <c r="L323" s="56"/>
      <c r="M323" s="56"/>
      <c r="N323" s="56"/>
    </row>
    <row r="324" spans="2:14" x14ac:dyDescent="0.3">
      <c r="B324" s="40">
        <v>7</v>
      </c>
      <c r="C324" s="23" t="s">
        <v>321</v>
      </c>
      <c r="D324" s="134">
        <v>394</v>
      </c>
      <c r="E324" s="83">
        <v>3.3907056798623061</v>
      </c>
      <c r="F324" s="83"/>
      <c r="G324" s="9"/>
      <c r="H324" s="56"/>
      <c r="I324" s="56"/>
      <c r="J324" s="56"/>
      <c r="K324" s="9"/>
      <c r="L324" s="56"/>
      <c r="M324" s="56"/>
      <c r="N324" s="56"/>
    </row>
    <row r="325" spans="2:14" x14ac:dyDescent="0.3">
      <c r="B325" s="40">
        <v>8</v>
      </c>
      <c r="C325" s="23" t="s">
        <v>322</v>
      </c>
      <c r="D325" s="134">
        <v>330</v>
      </c>
      <c r="E325" s="83">
        <v>2.8399311531841653</v>
      </c>
      <c r="F325" s="83"/>
      <c r="G325" s="9"/>
      <c r="H325" s="56"/>
      <c r="I325" s="56"/>
      <c r="J325" s="56"/>
      <c r="K325" s="9"/>
      <c r="L325" s="56"/>
      <c r="M325" s="56"/>
      <c r="N325" s="56"/>
    </row>
    <row r="326" spans="2:14" x14ac:dyDescent="0.3">
      <c r="B326" s="40">
        <v>9</v>
      </c>
      <c r="C326" s="23" t="s">
        <v>88</v>
      </c>
      <c r="D326" s="134">
        <v>308</v>
      </c>
      <c r="E326" s="83">
        <v>2.6506024096385543</v>
      </c>
      <c r="F326" s="83"/>
      <c r="G326" s="9"/>
      <c r="H326" s="56"/>
      <c r="I326" s="56"/>
      <c r="J326" s="56"/>
      <c r="K326" s="9"/>
      <c r="L326" s="56"/>
      <c r="M326" s="56"/>
      <c r="N326" s="56"/>
    </row>
    <row r="327" spans="2:14" x14ac:dyDescent="0.3">
      <c r="B327" s="40">
        <v>10</v>
      </c>
      <c r="C327" s="23" t="s">
        <v>99</v>
      </c>
      <c r="D327" s="134">
        <v>301</v>
      </c>
      <c r="E327" s="83">
        <v>2.5903614457831328</v>
      </c>
      <c r="F327" s="83"/>
      <c r="G327" s="9"/>
      <c r="H327" s="56"/>
      <c r="I327" s="56"/>
      <c r="J327" s="56"/>
      <c r="K327" s="9"/>
      <c r="L327" s="56"/>
      <c r="M327" s="56"/>
      <c r="N327" s="56"/>
    </row>
    <row r="328" spans="2:14" x14ac:dyDescent="0.3">
      <c r="B328" s="40">
        <v>11</v>
      </c>
      <c r="C328" s="23" t="s">
        <v>323</v>
      </c>
      <c r="D328" s="134">
        <v>277</v>
      </c>
      <c r="E328" s="83">
        <v>2.3838209982788299</v>
      </c>
      <c r="F328" s="83"/>
      <c r="G328" s="9"/>
      <c r="H328" s="56"/>
      <c r="I328" s="56"/>
      <c r="J328" s="56"/>
      <c r="K328" s="9"/>
      <c r="L328" s="56"/>
      <c r="M328" s="56"/>
      <c r="N328" s="56"/>
    </row>
    <row r="329" spans="2:14" x14ac:dyDescent="0.3">
      <c r="B329" s="40">
        <v>12</v>
      </c>
      <c r="C329" s="23" t="s">
        <v>324</v>
      </c>
      <c r="D329" s="134">
        <v>254</v>
      </c>
      <c r="E329" s="83">
        <v>2.1858864027538729</v>
      </c>
      <c r="F329" s="83"/>
      <c r="G329" s="9"/>
      <c r="H329" s="56"/>
      <c r="I329" s="56"/>
      <c r="J329" s="56"/>
      <c r="K329" s="9"/>
      <c r="L329" s="56"/>
      <c r="M329" s="56"/>
      <c r="N329" s="56"/>
    </row>
    <row r="330" spans="2:14" x14ac:dyDescent="0.3">
      <c r="B330" s="40">
        <v>13</v>
      </c>
      <c r="C330" s="23" t="s">
        <v>304</v>
      </c>
      <c r="D330" s="134">
        <v>228</v>
      </c>
      <c r="E330" s="83">
        <v>1.9621342512908777</v>
      </c>
      <c r="F330" s="83"/>
      <c r="G330" s="9"/>
      <c r="H330" s="56"/>
      <c r="I330" s="56"/>
      <c r="J330" s="56"/>
      <c r="K330" s="9"/>
      <c r="L330" s="56"/>
      <c r="M330" s="56"/>
      <c r="N330" s="56"/>
    </row>
    <row r="331" spans="2:14" x14ac:dyDescent="0.3">
      <c r="B331" s="40">
        <v>14</v>
      </c>
      <c r="C331" s="23" t="s">
        <v>309</v>
      </c>
      <c r="D331" s="134">
        <v>225</v>
      </c>
      <c r="E331" s="83">
        <v>1.9363166953528399</v>
      </c>
      <c r="F331" s="83"/>
      <c r="G331" s="9"/>
      <c r="H331" s="56"/>
      <c r="I331" s="56"/>
      <c r="J331" s="56"/>
      <c r="K331" s="9"/>
      <c r="L331" s="56"/>
      <c r="M331" s="56"/>
      <c r="N331" s="56"/>
    </row>
    <row r="332" spans="2:14" x14ac:dyDescent="0.3">
      <c r="B332" s="40">
        <v>15</v>
      </c>
      <c r="C332" s="23" t="s">
        <v>325</v>
      </c>
      <c r="D332" s="134">
        <v>224</v>
      </c>
      <c r="E332" s="83">
        <v>1.9277108433734942</v>
      </c>
      <c r="F332" s="83"/>
      <c r="G332" s="9"/>
      <c r="H332" s="56"/>
      <c r="I332" s="56"/>
      <c r="J332" s="56"/>
      <c r="K332" s="9"/>
      <c r="L332" s="56"/>
      <c r="M332" s="56"/>
      <c r="N332" s="56"/>
    </row>
    <row r="333" spans="2:14" x14ac:dyDescent="0.3">
      <c r="B333" s="40">
        <v>16</v>
      </c>
      <c r="C333" s="23" t="s">
        <v>326</v>
      </c>
      <c r="D333" s="134">
        <v>222</v>
      </c>
      <c r="E333" s="83">
        <v>1.9104991394148021</v>
      </c>
      <c r="F333" s="83"/>
      <c r="G333" s="9"/>
      <c r="H333" s="56"/>
      <c r="I333" s="56"/>
      <c r="J333" s="56"/>
      <c r="K333" s="9"/>
      <c r="L333" s="56"/>
      <c r="M333" s="56"/>
      <c r="N333" s="56"/>
    </row>
    <row r="334" spans="2:14" x14ac:dyDescent="0.3">
      <c r="B334" s="40">
        <v>17</v>
      </c>
      <c r="C334" s="23" t="s">
        <v>327</v>
      </c>
      <c r="D334" s="134">
        <v>211</v>
      </c>
      <c r="E334" s="83">
        <v>1.8158347676419968</v>
      </c>
      <c r="F334" s="83"/>
      <c r="G334" s="9"/>
      <c r="H334" s="56"/>
      <c r="I334" s="56"/>
      <c r="J334" s="56"/>
      <c r="K334" s="9"/>
      <c r="L334" s="56"/>
      <c r="M334" s="56"/>
      <c r="N334" s="56"/>
    </row>
    <row r="335" spans="2:14" x14ac:dyDescent="0.3">
      <c r="B335" s="40">
        <v>18</v>
      </c>
      <c r="C335" s="23" t="s">
        <v>328</v>
      </c>
      <c r="D335" s="134">
        <v>204</v>
      </c>
      <c r="E335" s="83">
        <v>1.7555938037865748</v>
      </c>
      <c r="F335" s="83"/>
      <c r="G335" s="9"/>
      <c r="H335" s="56"/>
      <c r="I335" s="56"/>
      <c r="J335" s="56"/>
      <c r="K335" s="9"/>
      <c r="L335" s="56"/>
      <c r="M335" s="56"/>
      <c r="N335" s="56"/>
    </row>
    <row r="336" spans="2:14" x14ac:dyDescent="0.3">
      <c r="B336" s="40">
        <v>19</v>
      </c>
      <c r="C336" s="23" t="s">
        <v>311</v>
      </c>
      <c r="D336" s="134">
        <v>194</v>
      </c>
      <c r="E336" s="83">
        <v>1.6695352839931152</v>
      </c>
      <c r="F336" s="83"/>
      <c r="G336" s="9"/>
      <c r="H336" s="56"/>
      <c r="I336" s="56"/>
      <c r="J336" s="56"/>
      <c r="K336" s="9"/>
      <c r="L336" s="56"/>
      <c r="M336" s="56"/>
      <c r="N336" s="56"/>
    </row>
    <row r="337" spans="2:14" x14ac:dyDescent="0.3">
      <c r="B337" s="40">
        <v>20</v>
      </c>
      <c r="C337" s="23" t="s">
        <v>314</v>
      </c>
      <c r="D337" s="134">
        <v>185</v>
      </c>
      <c r="E337" s="83">
        <v>1.5920826161790018</v>
      </c>
      <c r="F337" s="83"/>
      <c r="G337" s="9"/>
      <c r="H337" s="56"/>
      <c r="I337" s="56"/>
      <c r="J337" s="56"/>
      <c r="K337" s="9"/>
      <c r="L337" s="56"/>
      <c r="M337" s="56"/>
      <c r="N337" s="56"/>
    </row>
    <row r="338" spans="2:14" x14ac:dyDescent="0.3">
      <c r="B338" s="40">
        <v>21</v>
      </c>
      <c r="C338" s="23" t="s">
        <v>329</v>
      </c>
      <c r="D338" s="134">
        <v>175</v>
      </c>
      <c r="E338" s="83">
        <v>1.5060240963855422</v>
      </c>
      <c r="F338" s="83"/>
      <c r="G338" s="9"/>
      <c r="H338" s="56"/>
      <c r="I338" s="56"/>
      <c r="J338" s="56"/>
      <c r="K338" s="9"/>
      <c r="L338" s="56"/>
      <c r="M338" s="56"/>
      <c r="N338" s="56"/>
    </row>
    <row r="339" spans="2:14" x14ac:dyDescent="0.3">
      <c r="B339" s="40">
        <v>22</v>
      </c>
      <c r="C339" s="23" t="s">
        <v>330</v>
      </c>
      <c r="D339" s="134">
        <v>163</v>
      </c>
      <c r="E339" s="83">
        <v>1.4027538726333908</v>
      </c>
      <c r="F339" s="83"/>
      <c r="G339" s="9"/>
      <c r="H339" s="56"/>
      <c r="I339" s="56"/>
      <c r="J339" s="56"/>
      <c r="K339" s="9"/>
      <c r="L339" s="56"/>
      <c r="M339" s="56"/>
      <c r="N339" s="56"/>
    </row>
    <row r="340" spans="2:14" x14ac:dyDescent="0.3">
      <c r="B340" s="40">
        <v>23</v>
      </c>
      <c r="C340" s="23" t="s">
        <v>331</v>
      </c>
      <c r="D340" s="134">
        <v>158</v>
      </c>
      <c r="E340" s="83">
        <v>1.3597246127366609</v>
      </c>
      <c r="F340" s="83"/>
      <c r="G340" s="9"/>
      <c r="H340" s="56"/>
      <c r="I340" s="56"/>
      <c r="J340" s="56"/>
      <c r="K340" s="9"/>
      <c r="L340" s="56"/>
      <c r="M340" s="56"/>
      <c r="N340" s="56"/>
    </row>
    <row r="341" spans="2:14" x14ac:dyDescent="0.3">
      <c r="B341" s="40">
        <v>24</v>
      </c>
      <c r="C341" s="23" t="s">
        <v>332</v>
      </c>
      <c r="D341" s="134">
        <v>155</v>
      </c>
      <c r="E341" s="83">
        <v>1.3339070567986231</v>
      </c>
      <c r="F341" s="83"/>
      <c r="G341" s="9"/>
      <c r="H341" s="56"/>
      <c r="I341" s="56"/>
      <c r="J341" s="56"/>
      <c r="K341" s="9"/>
      <c r="L341" s="56"/>
      <c r="M341" s="56"/>
      <c r="N341" s="56"/>
    </row>
    <row r="342" spans="2:14" x14ac:dyDescent="0.3">
      <c r="B342" s="40">
        <v>25</v>
      </c>
      <c r="C342" s="23" t="s">
        <v>333</v>
      </c>
      <c r="D342" s="134">
        <v>155</v>
      </c>
      <c r="E342" s="83">
        <v>1.3339070567986231</v>
      </c>
      <c r="F342" s="83"/>
      <c r="G342" s="9"/>
      <c r="H342" s="56"/>
      <c r="I342" s="56"/>
      <c r="J342" s="56"/>
      <c r="K342" s="9"/>
      <c r="L342" s="56"/>
      <c r="M342" s="56"/>
      <c r="N342" s="56"/>
    </row>
    <row r="343" spans="2:14" x14ac:dyDescent="0.3">
      <c r="B343" s="40">
        <v>26</v>
      </c>
      <c r="C343" s="23" t="s">
        <v>313</v>
      </c>
      <c r="D343" s="134">
        <v>136</v>
      </c>
      <c r="E343" s="83">
        <v>1.1703958691910499</v>
      </c>
      <c r="F343" s="83"/>
      <c r="G343" s="9"/>
      <c r="H343" s="56"/>
      <c r="I343" s="56"/>
      <c r="J343" s="56"/>
      <c r="K343" s="9"/>
      <c r="L343" s="56"/>
      <c r="M343" s="56"/>
      <c r="N343" s="56"/>
    </row>
    <row r="344" spans="2:14" x14ac:dyDescent="0.3">
      <c r="B344" s="40">
        <v>27</v>
      </c>
      <c r="C344" s="23" t="s">
        <v>334</v>
      </c>
      <c r="D344" s="134">
        <v>116</v>
      </c>
      <c r="E344" s="83">
        <v>0.99827882960413095</v>
      </c>
      <c r="F344" s="83"/>
      <c r="G344" s="9"/>
      <c r="H344" s="56"/>
      <c r="I344" s="56"/>
      <c r="J344" s="56"/>
      <c r="K344" s="9"/>
      <c r="L344" s="56"/>
      <c r="M344" s="56"/>
      <c r="N344" s="56"/>
    </row>
    <row r="345" spans="2:14" x14ac:dyDescent="0.3">
      <c r="B345" s="40">
        <v>28</v>
      </c>
      <c r="C345" s="23" t="s">
        <v>308</v>
      </c>
      <c r="D345" s="134">
        <v>112</v>
      </c>
      <c r="E345" s="83">
        <v>0.96385542168674709</v>
      </c>
      <c r="F345" s="83"/>
      <c r="G345" s="9"/>
      <c r="H345" s="56"/>
      <c r="I345" s="56"/>
      <c r="J345" s="56"/>
      <c r="K345" s="9"/>
      <c r="L345" s="56"/>
      <c r="M345" s="56"/>
      <c r="N345" s="56"/>
    </row>
    <row r="346" spans="2:14" x14ac:dyDescent="0.3">
      <c r="B346" s="40">
        <v>29</v>
      </c>
      <c r="C346" s="23" t="s">
        <v>306</v>
      </c>
      <c r="D346" s="134">
        <v>108</v>
      </c>
      <c r="E346" s="83">
        <v>0.92943201376936313</v>
      </c>
      <c r="F346" s="83"/>
      <c r="G346" s="9"/>
      <c r="H346" s="56"/>
      <c r="I346" s="56"/>
      <c r="J346" s="56"/>
      <c r="K346" s="9"/>
      <c r="L346" s="56"/>
      <c r="M346" s="56"/>
      <c r="N346" s="56"/>
    </row>
    <row r="347" spans="2:14" x14ac:dyDescent="0.3">
      <c r="B347" s="41">
        <v>30</v>
      </c>
      <c r="C347" s="26" t="s">
        <v>335</v>
      </c>
      <c r="D347" s="135">
        <v>97</v>
      </c>
      <c r="E347" s="85">
        <v>0.83476764199655762</v>
      </c>
      <c r="F347" s="83"/>
      <c r="G347" s="9"/>
      <c r="H347" s="56"/>
      <c r="I347" s="56"/>
      <c r="J347" s="56"/>
      <c r="K347" s="9"/>
      <c r="L347" s="56"/>
      <c r="M347" s="56"/>
      <c r="N347" s="56"/>
    </row>
    <row r="348" spans="2:14" x14ac:dyDescent="0.3">
      <c r="F348" s="83"/>
    </row>
    <row r="349" spans="2:14" x14ac:dyDescent="0.3">
      <c r="F349" s="83"/>
    </row>
    <row r="350" spans="2:14" x14ac:dyDescent="0.3">
      <c r="F350" s="83"/>
    </row>
  </sheetData>
  <mergeCells count="76">
    <mergeCell ref="B182:B183"/>
    <mergeCell ref="B184:B187"/>
    <mergeCell ref="E232:S232"/>
    <mergeCell ref="B234:C234"/>
    <mergeCell ref="B235:C235"/>
    <mergeCell ref="B226:B229"/>
    <mergeCell ref="F190:U190"/>
    <mergeCell ref="B192:C193"/>
    <mergeCell ref="D192:J192"/>
    <mergeCell ref="K192:P192"/>
    <mergeCell ref="B194:C194"/>
    <mergeCell ref="B195:B196"/>
    <mergeCell ref="B197:B202"/>
    <mergeCell ref="B203:B214"/>
    <mergeCell ref="B215:B218"/>
    <mergeCell ref="B219:B223"/>
    <mergeCell ref="B153:B154"/>
    <mergeCell ref="B155:B160"/>
    <mergeCell ref="B161:B172"/>
    <mergeCell ref="B173:B176"/>
    <mergeCell ref="B177:B181"/>
    <mergeCell ref="F148:U148"/>
    <mergeCell ref="B150:C151"/>
    <mergeCell ref="D150:J150"/>
    <mergeCell ref="K150:P150"/>
    <mergeCell ref="B152:C152"/>
    <mergeCell ref="F66:AY66"/>
    <mergeCell ref="B68:C68"/>
    <mergeCell ref="B27:C27"/>
    <mergeCell ref="B28:C28"/>
    <mergeCell ref="B29:B30"/>
    <mergeCell ref="B31:B36"/>
    <mergeCell ref="B37:B48"/>
    <mergeCell ref="B94:B98"/>
    <mergeCell ref="B49:B52"/>
    <mergeCell ref="B53:B57"/>
    <mergeCell ref="B58:B59"/>
    <mergeCell ref="B60:B63"/>
    <mergeCell ref="B69:C69"/>
    <mergeCell ref="B70:B71"/>
    <mergeCell ref="B72:B77"/>
    <mergeCell ref="B78:B89"/>
    <mergeCell ref="B90:B93"/>
    <mergeCell ref="B142:B145"/>
    <mergeCell ref="B99:B100"/>
    <mergeCell ref="B101:B104"/>
    <mergeCell ref="F107:AY107"/>
    <mergeCell ref="B109:C109"/>
    <mergeCell ref="B110:C110"/>
    <mergeCell ref="B111:B112"/>
    <mergeCell ref="B113:B118"/>
    <mergeCell ref="B119:B130"/>
    <mergeCell ref="B131:B134"/>
    <mergeCell ref="B135:B139"/>
    <mergeCell ref="B140:B141"/>
    <mergeCell ref="B224:B225"/>
    <mergeCell ref="E273:S273"/>
    <mergeCell ref="B275:C275"/>
    <mergeCell ref="B276:C276"/>
    <mergeCell ref="B277:B278"/>
    <mergeCell ref="B265:B266"/>
    <mergeCell ref="B267:B270"/>
    <mergeCell ref="B236:B237"/>
    <mergeCell ref="B238:B243"/>
    <mergeCell ref="B244:B255"/>
    <mergeCell ref="B256:B259"/>
    <mergeCell ref="B260:B264"/>
    <mergeCell ref="B308:B311"/>
    <mergeCell ref="G316:J316"/>
    <mergeCell ref="K316:N316"/>
    <mergeCell ref="C316:E316"/>
    <mergeCell ref="B279:B284"/>
    <mergeCell ref="B285:B296"/>
    <mergeCell ref="B297:B300"/>
    <mergeCell ref="B301:B305"/>
    <mergeCell ref="B306:B307"/>
  </mergeCells>
  <phoneticPr fontId="2" type="noConversion"/>
  <pageMargins left="0.70866141732283472" right="0.70866141732283472" top="1.1417322834645669" bottom="0.39370078740157483" header="0.31496062992125984" footer="0.31496062992125984"/>
  <pageSetup paperSize="9" orientation="portrait" r:id="rId1"/>
  <headerFooter>
    <oddHeader>&amp;L&amp;P&amp;RKorea Fashion Index  2017상반기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5E36-73BC-46D7-92ED-E3034BEEAD0A}">
  <sheetPr codeName="Sheet11"/>
  <dimension ref="B2:AY347"/>
  <sheetViews>
    <sheetView showGridLines="0" zoomScaleNormal="100" workbookViewId="0">
      <selection activeCell="B4" sqref="B4:N4"/>
    </sheetView>
  </sheetViews>
  <sheetFormatPr defaultColWidth="9" defaultRowHeight="16.5" x14ac:dyDescent="0.3"/>
  <cols>
    <col min="1" max="1" width="3.625" style="1" customWidth="1"/>
    <col min="2" max="2" width="14.375" style="1" customWidth="1"/>
    <col min="3" max="3" width="13.125" style="1" customWidth="1"/>
    <col min="4" max="16" width="12.25" style="1" customWidth="1"/>
    <col min="17" max="20" width="10.375" style="1" customWidth="1"/>
    <col min="21" max="16384" width="9" style="1"/>
  </cols>
  <sheetData>
    <row r="2" spans="2:9" ht="17.25" x14ac:dyDescent="0.3">
      <c r="B2" s="33" t="s">
        <v>54</v>
      </c>
    </row>
    <row r="4" spans="2:9" ht="14.25" customHeight="1" x14ac:dyDescent="0.3">
      <c r="B4" s="1" t="s">
        <v>524</v>
      </c>
    </row>
    <row r="5" spans="2:9" ht="7.5" customHeight="1" x14ac:dyDescent="0.3"/>
    <row r="6" spans="2:9" x14ac:dyDescent="0.3">
      <c r="B6" s="216"/>
      <c r="C6" s="217" t="s">
        <v>21</v>
      </c>
      <c r="D6" s="218" t="s">
        <v>133</v>
      </c>
      <c r="E6" s="219" t="s">
        <v>13</v>
      </c>
      <c r="F6" s="220" t="s">
        <v>20</v>
      </c>
    </row>
    <row r="7" spans="2:9" x14ac:dyDescent="0.3">
      <c r="B7" s="221"/>
      <c r="C7" s="222"/>
      <c r="D7" s="223" t="s">
        <v>134</v>
      </c>
      <c r="E7" s="224" t="s">
        <v>55</v>
      </c>
      <c r="F7" s="225" t="s">
        <v>525</v>
      </c>
    </row>
    <row r="8" spans="2:9" x14ac:dyDescent="0.3">
      <c r="B8" s="221"/>
      <c r="C8" s="215" t="s">
        <v>24</v>
      </c>
      <c r="D8" s="223" t="s">
        <v>25</v>
      </c>
      <c r="E8" s="224" t="s">
        <v>26</v>
      </c>
      <c r="F8" s="225" t="s">
        <v>517</v>
      </c>
    </row>
    <row r="9" spans="2:9" ht="24" customHeight="1" x14ac:dyDescent="0.3">
      <c r="B9" s="35" t="str">
        <f>RIGHT(B2,LEN(B2)-3)&amp;" 전체"</f>
        <v>캐주얼복 전체</v>
      </c>
      <c r="C9" s="36"/>
      <c r="D9" s="37"/>
      <c r="E9" s="37"/>
      <c r="F9" s="190">
        <f>SUM(F10:F22)</f>
        <v>224695.33652059032</v>
      </c>
      <c r="I9" s="46"/>
    </row>
    <row r="10" spans="2:9" x14ac:dyDescent="0.3">
      <c r="B10" s="34" t="s">
        <v>79</v>
      </c>
      <c r="C10" s="117">
        <v>6.9066524659970927</v>
      </c>
      <c r="D10" s="101">
        <v>1.1783985056021657</v>
      </c>
      <c r="E10" s="97">
        <v>201279.66498988439</v>
      </c>
      <c r="F10" s="191">
        <v>18708.183082746975</v>
      </c>
      <c r="I10" s="46"/>
    </row>
    <row r="11" spans="2:9" x14ac:dyDescent="0.3">
      <c r="B11" s="34" t="s">
        <v>279</v>
      </c>
      <c r="C11" s="118">
        <v>19.389542246543648</v>
      </c>
      <c r="D11" s="102">
        <v>1.1704338961878984</v>
      </c>
      <c r="E11" s="98">
        <v>171249.82769112563</v>
      </c>
      <c r="F11" s="191">
        <v>44685.004548564422</v>
      </c>
      <c r="I11" s="52"/>
    </row>
    <row r="12" spans="2:9" x14ac:dyDescent="0.3">
      <c r="B12" s="34" t="s">
        <v>16</v>
      </c>
      <c r="C12" s="117">
        <v>16.109373368268194</v>
      </c>
      <c r="D12" s="101">
        <v>1.1483114072525782</v>
      </c>
      <c r="E12" s="97">
        <v>127035.88523737683</v>
      </c>
      <c r="F12" s="191">
        <v>27540.332077516796</v>
      </c>
      <c r="I12" s="46"/>
    </row>
    <row r="13" spans="2:9" x14ac:dyDescent="0.3">
      <c r="B13" s="10" t="s">
        <v>232</v>
      </c>
      <c r="C13" s="117">
        <v>18.448028206192983</v>
      </c>
      <c r="D13" s="101">
        <v>1.2948639734930847</v>
      </c>
      <c r="E13" s="97">
        <v>78676.922265123925</v>
      </c>
      <c r="F13" s="191">
        <v>19532.661488137161</v>
      </c>
      <c r="I13" s="52"/>
    </row>
    <row r="14" spans="2:9" x14ac:dyDescent="0.3">
      <c r="B14" s="10" t="s">
        <v>31</v>
      </c>
      <c r="C14" s="117">
        <v>40.544879452746535</v>
      </c>
      <c r="D14" s="101">
        <v>1.6928764551151667</v>
      </c>
      <c r="E14" s="97">
        <v>67210.742784017537</v>
      </c>
      <c r="F14" s="191">
        <v>36672.356311879732</v>
      </c>
      <c r="I14" s="46"/>
    </row>
    <row r="15" spans="2:9" x14ac:dyDescent="0.3">
      <c r="B15" s="10" t="s">
        <v>32</v>
      </c>
      <c r="C15" s="117">
        <v>17.27174098113068</v>
      </c>
      <c r="D15" s="101">
        <v>1.3817764951018352</v>
      </c>
      <c r="E15" s="97">
        <v>65677.422861887942</v>
      </c>
      <c r="F15" s="191">
        <v>15265.686046411491</v>
      </c>
      <c r="I15" s="46"/>
    </row>
    <row r="16" spans="2:9" x14ac:dyDescent="0.3">
      <c r="B16" s="10" t="s">
        <v>33</v>
      </c>
      <c r="C16" s="117">
        <v>14.390743727651351</v>
      </c>
      <c r="D16" s="101">
        <v>1.3761999537870517</v>
      </c>
      <c r="E16" s="97">
        <v>74980.175451106101</v>
      </c>
      <c r="F16" s="191">
        <v>14520.908827802017</v>
      </c>
      <c r="I16" s="46"/>
    </row>
    <row r="17" spans="2:16" x14ac:dyDescent="0.3">
      <c r="B17" s="10" t="s">
        <v>34</v>
      </c>
      <c r="C17" s="117">
        <v>8.9437354159047544</v>
      </c>
      <c r="D17" s="101">
        <v>1.2616532359705139</v>
      </c>
      <c r="E17" s="97">
        <v>78971.190462531929</v>
      </c>
      <c r="F17" s="191">
        <v>9504.99154434913</v>
      </c>
      <c r="I17" s="52"/>
    </row>
    <row r="18" spans="2:16" x14ac:dyDescent="0.3">
      <c r="B18" s="10" t="s">
        <v>14</v>
      </c>
      <c r="C18" s="117">
        <v>20.544998419796613</v>
      </c>
      <c r="D18" s="101">
        <v>1.4507612309512832</v>
      </c>
      <c r="E18" s="97">
        <v>66085.138370518049</v>
      </c>
      <c r="F18" s="191">
        <v>18271.492454376497</v>
      </c>
      <c r="I18" s="46"/>
    </row>
    <row r="19" spans="2:16" x14ac:dyDescent="0.3">
      <c r="B19" s="10" t="s">
        <v>17</v>
      </c>
      <c r="C19" s="119">
        <v>14.325969925819077</v>
      </c>
      <c r="D19" s="101">
        <v>1.2734692019265663</v>
      </c>
      <c r="E19" s="97">
        <v>69157.208361049081</v>
      </c>
      <c r="F19" s="191">
        <v>13332.929911899788</v>
      </c>
      <c r="I19" s="46"/>
    </row>
    <row r="20" spans="2:16" x14ac:dyDescent="0.3">
      <c r="B20" s="9" t="s">
        <v>18</v>
      </c>
      <c r="C20" s="120">
        <v>3.5876591655739047</v>
      </c>
      <c r="D20" s="103">
        <v>1.2083063797382445</v>
      </c>
      <c r="E20" s="99">
        <v>53713.355935696331</v>
      </c>
      <c r="F20" s="192">
        <v>2593.3287331928941</v>
      </c>
      <c r="I20" s="46"/>
    </row>
    <row r="21" spans="2:16" x14ac:dyDescent="0.3">
      <c r="B21" s="10" t="s">
        <v>19</v>
      </c>
      <c r="C21" s="118">
        <v>3.445591480390866</v>
      </c>
      <c r="D21" s="101">
        <v>1.2513198881365168</v>
      </c>
      <c r="E21" s="97">
        <v>80025.582656396306</v>
      </c>
      <c r="F21" s="191">
        <v>3710.7076263867548</v>
      </c>
      <c r="I21" s="46"/>
    </row>
    <row r="22" spans="2:16" x14ac:dyDescent="0.3">
      <c r="B22" s="111" t="s">
        <v>12</v>
      </c>
      <c r="C22" s="121">
        <v>0.50404936396017097</v>
      </c>
      <c r="D22" s="104">
        <v>1.5820813312114166</v>
      </c>
      <c r="E22" s="100">
        <v>52593.431982710092</v>
      </c>
      <c r="F22" s="193">
        <v>356.75386732664924</v>
      </c>
      <c r="H22" s="3"/>
    </row>
    <row r="23" spans="2:16" x14ac:dyDescent="0.3">
      <c r="B23" s="9"/>
      <c r="C23" s="9"/>
      <c r="D23" s="9"/>
      <c r="E23" s="9"/>
      <c r="F23" s="9"/>
      <c r="G23" s="9"/>
      <c r="H23" s="9"/>
    </row>
    <row r="24" spans="2:16" x14ac:dyDescent="0.3">
      <c r="B24" s="9"/>
      <c r="C24" s="9"/>
      <c r="D24" s="9"/>
      <c r="E24" s="9"/>
      <c r="F24" s="9"/>
      <c r="G24" s="9"/>
      <c r="H24" s="9"/>
    </row>
    <row r="25" spans="2:16" ht="18.75" customHeight="1" x14ac:dyDescent="0.3">
      <c r="B25" s="1" t="s">
        <v>132</v>
      </c>
    </row>
    <row r="26" spans="2:16" ht="13.5" customHeight="1" x14ac:dyDescent="0.3">
      <c r="M26" s="30"/>
      <c r="N26" s="30"/>
      <c r="P26" s="30" t="s">
        <v>157</v>
      </c>
    </row>
    <row r="27" spans="2:16" ht="28.5" customHeight="1" x14ac:dyDescent="0.3">
      <c r="B27" s="305"/>
      <c r="C27" s="306"/>
      <c r="D27" s="226" t="s">
        <v>35</v>
      </c>
      <c r="E27" s="226" t="s">
        <v>280</v>
      </c>
      <c r="F27" s="226" t="s">
        <v>16</v>
      </c>
      <c r="G27" s="226" t="s">
        <v>232</v>
      </c>
      <c r="H27" s="226" t="s">
        <v>287</v>
      </c>
      <c r="I27" s="226" t="s">
        <v>32</v>
      </c>
      <c r="J27" s="226" t="s">
        <v>284</v>
      </c>
      <c r="K27" s="226" t="s">
        <v>285</v>
      </c>
      <c r="L27" s="226" t="s">
        <v>288</v>
      </c>
      <c r="M27" s="227" t="s">
        <v>17</v>
      </c>
      <c r="N27" s="227" t="s">
        <v>37</v>
      </c>
      <c r="O27" s="227" t="s">
        <v>19</v>
      </c>
      <c r="P27" s="227" t="s">
        <v>12</v>
      </c>
    </row>
    <row r="28" spans="2:16" x14ac:dyDescent="0.3">
      <c r="B28" s="292" t="s">
        <v>20</v>
      </c>
      <c r="C28" s="292"/>
      <c r="D28" s="46">
        <v>6.9066524659970927</v>
      </c>
      <c r="E28" s="46">
        <v>19.389542246543648</v>
      </c>
      <c r="F28" s="52">
        <v>16.109373368268194</v>
      </c>
      <c r="G28" s="46">
        <v>18.448028206192983</v>
      </c>
      <c r="H28" s="52">
        <v>40.544879452746535</v>
      </c>
      <c r="I28" s="46">
        <v>17.27174098113068</v>
      </c>
      <c r="J28" s="46">
        <v>14.390743727651351</v>
      </c>
      <c r="K28" s="46">
        <v>8.9437354159047544</v>
      </c>
      <c r="L28" s="52">
        <v>20.544998419796613</v>
      </c>
      <c r="M28" s="46">
        <v>14.325969925819077</v>
      </c>
      <c r="N28" s="46">
        <v>3.5876591655739047</v>
      </c>
      <c r="O28" s="46">
        <v>3.445591480390866</v>
      </c>
      <c r="P28" s="46">
        <v>0.50404936396017097</v>
      </c>
    </row>
    <row r="29" spans="2:16" x14ac:dyDescent="0.3">
      <c r="B29" s="296" t="s">
        <v>5</v>
      </c>
      <c r="C29" s="13" t="s">
        <v>0</v>
      </c>
      <c r="D29" s="47">
        <v>7.7062159304228803</v>
      </c>
      <c r="E29" s="47">
        <v>22.133982430372335</v>
      </c>
      <c r="F29" s="53">
        <v>19.516451630916755</v>
      </c>
      <c r="G29" s="47">
        <v>18.749300967531358</v>
      </c>
      <c r="H29" s="53">
        <v>40.59535890829757</v>
      </c>
      <c r="I29" s="47">
        <v>20.471218122622009</v>
      </c>
      <c r="J29" s="47">
        <v>10.921454442427187</v>
      </c>
      <c r="K29" s="47">
        <v>5.9737323889574308</v>
      </c>
      <c r="L29" s="53">
        <v>20.758648510952945</v>
      </c>
      <c r="M29" s="47">
        <v>13.99116461851766</v>
      </c>
      <c r="N29" s="47">
        <v>1.1037288145476722</v>
      </c>
      <c r="O29" s="47">
        <v>0.6525305548414112</v>
      </c>
      <c r="P29" s="47">
        <v>0.38764427918019045</v>
      </c>
    </row>
    <row r="30" spans="2:16" x14ac:dyDescent="0.3">
      <c r="B30" s="295"/>
      <c r="C30" s="12" t="s">
        <v>1</v>
      </c>
      <c r="D30" s="48">
        <v>6.3032953031015619</v>
      </c>
      <c r="E30" s="48">
        <v>17.318565123745117</v>
      </c>
      <c r="F30" s="48">
        <v>13.538364104118344</v>
      </c>
      <c r="G30" s="48">
        <v>18.220685303938467</v>
      </c>
      <c r="H30" s="48">
        <v>40.506787240631155</v>
      </c>
      <c r="I30" s="48">
        <v>14.857389229546419</v>
      </c>
      <c r="J30" s="48">
        <v>17.008697940828259</v>
      </c>
      <c r="K30" s="48">
        <v>11.18492411431073</v>
      </c>
      <c r="L30" s="48">
        <v>20.383776304744664</v>
      </c>
      <c r="M30" s="48">
        <v>14.57861676290344</v>
      </c>
      <c r="N30" s="48">
        <v>5.46205342707397</v>
      </c>
      <c r="O30" s="48">
        <v>5.553258214567629</v>
      </c>
      <c r="P30" s="48">
        <v>0.59188959781812045</v>
      </c>
    </row>
    <row r="31" spans="2:16" x14ac:dyDescent="0.3">
      <c r="B31" s="296" t="s">
        <v>4</v>
      </c>
      <c r="C31" s="9" t="s">
        <v>175</v>
      </c>
      <c r="D31" s="46">
        <v>5.1462867013229516</v>
      </c>
      <c r="E31" s="46">
        <v>9.3235040188325105</v>
      </c>
      <c r="F31" s="52">
        <v>13.197772965492771</v>
      </c>
      <c r="G31" s="46">
        <v>29.621956733632949</v>
      </c>
      <c r="H31" s="52">
        <v>49.978719626494218</v>
      </c>
      <c r="I31" s="46">
        <v>10.650508166814078</v>
      </c>
      <c r="J31" s="46">
        <v>15.904353364421869</v>
      </c>
      <c r="K31" s="46">
        <v>11.15496866655258</v>
      </c>
      <c r="L31" s="52">
        <v>23.793818196086132</v>
      </c>
      <c r="M31" s="46">
        <v>22.56247212486414</v>
      </c>
      <c r="N31" s="46">
        <v>3.4576799639350884</v>
      </c>
      <c r="O31" s="46">
        <v>0.45261219934794888</v>
      </c>
      <c r="P31" s="46">
        <v>0</v>
      </c>
    </row>
    <row r="32" spans="2:16" x14ac:dyDescent="0.3">
      <c r="B32" s="292"/>
      <c r="C32" s="9" t="s">
        <v>176</v>
      </c>
      <c r="D32" s="46">
        <v>9.4876339650711774</v>
      </c>
      <c r="E32" s="46">
        <v>16.435528266752051</v>
      </c>
      <c r="F32" s="52">
        <v>19.799050438138377</v>
      </c>
      <c r="G32" s="46">
        <v>21.882451359477891</v>
      </c>
      <c r="H32" s="52">
        <v>42.183949963245972</v>
      </c>
      <c r="I32" s="46">
        <v>17.162949870074964</v>
      </c>
      <c r="J32" s="46">
        <v>18.312819441129861</v>
      </c>
      <c r="K32" s="46">
        <v>13.037379325479817</v>
      </c>
      <c r="L32" s="52">
        <v>19.848455968552869</v>
      </c>
      <c r="M32" s="46">
        <v>15.891554703186486</v>
      </c>
      <c r="N32" s="46">
        <v>5.9633655394309901</v>
      </c>
      <c r="O32" s="46">
        <v>4.1278247499989886</v>
      </c>
      <c r="P32" s="46">
        <v>0.52430593712218176</v>
      </c>
    </row>
    <row r="33" spans="2:16" x14ac:dyDescent="0.3">
      <c r="B33" s="292"/>
      <c r="C33" s="9" t="s">
        <v>177</v>
      </c>
      <c r="D33" s="46">
        <v>8.7337836685284493</v>
      </c>
      <c r="E33" s="46">
        <v>19.617647794438618</v>
      </c>
      <c r="F33" s="52">
        <v>17.450376571566551</v>
      </c>
      <c r="G33" s="46">
        <v>19.681597546669931</v>
      </c>
      <c r="H33" s="52">
        <v>46.356282173733128</v>
      </c>
      <c r="I33" s="46">
        <v>18.269893799704022</v>
      </c>
      <c r="J33" s="46">
        <v>15.686864193618199</v>
      </c>
      <c r="K33" s="46">
        <v>9.4404012458906674</v>
      </c>
      <c r="L33" s="52">
        <v>20.337059870422632</v>
      </c>
      <c r="M33" s="46">
        <v>14.01301493252458</v>
      </c>
      <c r="N33" s="46">
        <v>3.5167836962885697</v>
      </c>
      <c r="O33" s="46">
        <v>4.514475801328115</v>
      </c>
      <c r="P33" s="46">
        <v>0.30685118402386352</v>
      </c>
    </row>
    <row r="34" spans="2:16" x14ac:dyDescent="0.3">
      <c r="B34" s="292"/>
      <c r="C34" s="9" t="s">
        <v>178</v>
      </c>
      <c r="D34" s="46">
        <v>5.6066426275752157</v>
      </c>
      <c r="E34" s="46">
        <v>19.860366705526474</v>
      </c>
      <c r="F34" s="52">
        <v>14.802205130994642</v>
      </c>
      <c r="G34" s="46">
        <v>20.467544104084727</v>
      </c>
      <c r="H34" s="52">
        <v>42.432496526728059</v>
      </c>
      <c r="I34" s="46">
        <v>16.605544417747311</v>
      </c>
      <c r="J34" s="46">
        <v>11.686064570917832</v>
      </c>
      <c r="K34" s="46">
        <v>7.5081478902035386</v>
      </c>
      <c r="L34" s="52">
        <v>20.11158017135838</v>
      </c>
      <c r="M34" s="46">
        <v>15.123172968546086</v>
      </c>
      <c r="N34" s="46">
        <v>3.7716424685607532</v>
      </c>
      <c r="O34" s="46">
        <v>3.6825918721006996</v>
      </c>
      <c r="P34" s="46">
        <v>0.75986227259752814</v>
      </c>
    </row>
    <row r="35" spans="2:16" x14ac:dyDescent="0.3">
      <c r="B35" s="292"/>
      <c r="C35" s="9" t="s">
        <v>179</v>
      </c>
      <c r="D35" s="46">
        <v>5.5370502159891766</v>
      </c>
      <c r="E35" s="46">
        <v>20.412402481085778</v>
      </c>
      <c r="F35" s="52">
        <v>14.806096254936207</v>
      </c>
      <c r="G35" s="46">
        <v>16.484749130239447</v>
      </c>
      <c r="H35" s="52">
        <v>35.306907320410318</v>
      </c>
      <c r="I35" s="46">
        <v>18.248666516063047</v>
      </c>
      <c r="J35" s="46">
        <v>13.948434137414528</v>
      </c>
      <c r="K35" s="46">
        <v>7.5805942446798227</v>
      </c>
      <c r="L35" s="52">
        <v>21.230615126225626</v>
      </c>
      <c r="M35" s="46">
        <v>12.691157954295177</v>
      </c>
      <c r="N35" s="46">
        <v>2.7320364153873657</v>
      </c>
      <c r="O35" s="46">
        <v>2.4146483193512784</v>
      </c>
      <c r="P35" s="46">
        <v>0.37879683969389072</v>
      </c>
    </row>
    <row r="36" spans="2:16" x14ac:dyDescent="0.3">
      <c r="B36" s="298"/>
      <c r="C36" s="12" t="s">
        <v>180</v>
      </c>
      <c r="D36" s="48">
        <v>6.3896029528746219</v>
      </c>
      <c r="E36" s="48">
        <v>22.785383453127739</v>
      </c>
      <c r="F36" s="54">
        <v>15.263411097062423</v>
      </c>
      <c r="G36" s="48">
        <v>10.455162351875405</v>
      </c>
      <c r="H36" s="54">
        <v>34.296497464375094</v>
      </c>
      <c r="I36" s="48">
        <v>17.630523211318842</v>
      </c>
      <c r="J36" s="48">
        <v>12.908723333283644</v>
      </c>
      <c r="K36" s="48">
        <v>7.5165973422659906</v>
      </c>
      <c r="L36" s="54">
        <v>20.255950382530592</v>
      </c>
      <c r="M36" s="48">
        <v>12.006018140534596</v>
      </c>
      <c r="N36" s="48">
        <v>2.2354625190551287</v>
      </c>
      <c r="O36" s="48">
        <v>3.4455537724457752</v>
      </c>
      <c r="P36" s="48">
        <v>0.66322668383391226</v>
      </c>
    </row>
    <row r="37" spans="2:16" x14ac:dyDescent="0.3">
      <c r="B37" s="292" t="s">
        <v>223</v>
      </c>
      <c r="C37" s="9" t="s">
        <v>210</v>
      </c>
      <c r="D37" s="46">
        <v>3.7133564245148172</v>
      </c>
      <c r="E37" s="46">
        <v>10.409777023954025</v>
      </c>
      <c r="F37" s="52">
        <v>14.680251606227849</v>
      </c>
      <c r="G37" s="46">
        <v>29.33541842452312</v>
      </c>
      <c r="H37" s="52">
        <v>45.867795310780132</v>
      </c>
      <c r="I37" s="46">
        <v>8.6708295989019355</v>
      </c>
      <c r="J37" s="46">
        <v>11.398343061660814</v>
      </c>
      <c r="K37" s="46">
        <v>7.8656895250039316</v>
      </c>
      <c r="L37" s="52">
        <v>25.798443013619359</v>
      </c>
      <c r="M37" s="46">
        <v>21.347005140848545</v>
      </c>
      <c r="N37" s="46">
        <v>0</v>
      </c>
      <c r="O37" s="46">
        <v>0</v>
      </c>
      <c r="P37" s="46">
        <v>0</v>
      </c>
    </row>
    <row r="38" spans="2:16" x14ac:dyDescent="0.3">
      <c r="B38" s="292"/>
      <c r="C38" s="9" t="s">
        <v>211</v>
      </c>
      <c r="D38" s="46">
        <v>10.989346458847034</v>
      </c>
      <c r="E38" s="46">
        <v>18.405057769663145</v>
      </c>
      <c r="F38" s="52">
        <v>23.620206564859238</v>
      </c>
      <c r="G38" s="46">
        <v>23.690993129867184</v>
      </c>
      <c r="H38" s="52">
        <v>44.109086825282603</v>
      </c>
      <c r="I38" s="46">
        <v>20.059899607950868</v>
      </c>
      <c r="J38" s="46">
        <v>15.560406908936105</v>
      </c>
      <c r="K38" s="46">
        <v>8.0215056227100003</v>
      </c>
      <c r="L38" s="52">
        <v>22.057821842752379</v>
      </c>
      <c r="M38" s="46">
        <v>14.625906413217979</v>
      </c>
      <c r="N38" s="46">
        <v>0.73970749481049725</v>
      </c>
      <c r="O38" s="46">
        <v>0.91555850722464105</v>
      </c>
      <c r="P38" s="46">
        <v>0.42809388977873036</v>
      </c>
    </row>
    <row r="39" spans="2:16" x14ac:dyDescent="0.3">
      <c r="B39" s="292"/>
      <c r="C39" s="9" t="s">
        <v>212</v>
      </c>
      <c r="D39" s="46">
        <v>10.944492744357222</v>
      </c>
      <c r="E39" s="46">
        <v>20.773615710332248</v>
      </c>
      <c r="F39" s="52">
        <v>23.317975955554449</v>
      </c>
      <c r="G39" s="46">
        <v>21.805379920313914</v>
      </c>
      <c r="H39" s="52">
        <v>45.615158279011133</v>
      </c>
      <c r="I39" s="46">
        <v>20.156872769787128</v>
      </c>
      <c r="J39" s="46">
        <v>14.082981112907344</v>
      </c>
      <c r="K39" s="46">
        <v>6.9077456625505755</v>
      </c>
      <c r="L39" s="52">
        <v>18.181651625698446</v>
      </c>
      <c r="M39" s="46">
        <v>13.776423350526489</v>
      </c>
      <c r="N39" s="46">
        <v>0.67420336858921515</v>
      </c>
      <c r="O39" s="46">
        <v>0.53147364504349337</v>
      </c>
      <c r="P39" s="46">
        <v>0.3228116979705411</v>
      </c>
    </row>
    <row r="40" spans="2:16" x14ac:dyDescent="0.3">
      <c r="B40" s="292"/>
      <c r="C40" s="9" t="s">
        <v>213</v>
      </c>
      <c r="D40" s="46">
        <v>6.9428181049584818</v>
      </c>
      <c r="E40" s="46">
        <v>23.932069528076287</v>
      </c>
      <c r="F40" s="52">
        <v>16.997838181126074</v>
      </c>
      <c r="G40" s="46">
        <v>19.460553738702387</v>
      </c>
      <c r="H40" s="52">
        <v>41.870807204467695</v>
      </c>
      <c r="I40" s="46">
        <v>20.204092733988162</v>
      </c>
      <c r="J40" s="46">
        <v>9.0623470230654881</v>
      </c>
      <c r="K40" s="46">
        <v>5.1944357771670573</v>
      </c>
      <c r="L40" s="52">
        <v>19.341086858649984</v>
      </c>
      <c r="M40" s="46">
        <v>13.981464004380872</v>
      </c>
      <c r="N40" s="46">
        <v>1.9515630975937361</v>
      </c>
      <c r="O40" s="46">
        <v>0.65326785747687888</v>
      </c>
      <c r="P40" s="46">
        <v>0.60567368764897533</v>
      </c>
    </row>
    <row r="41" spans="2:16" x14ac:dyDescent="0.3">
      <c r="B41" s="292"/>
      <c r="C41" s="9" t="s">
        <v>214</v>
      </c>
      <c r="D41" s="46">
        <v>5.1623953405593133</v>
      </c>
      <c r="E41" s="46">
        <v>23.700704095775265</v>
      </c>
      <c r="F41" s="52">
        <v>17.894527873209956</v>
      </c>
      <c r="G41" s="46">
        <v>14.819873072188505</v>
      </c>
      <c r="H41" s="52">
        <v>34.802887980666405</v>
      </c>
      <c r="I41" s="46">
        <v>22.427745303976941</v>
      </c>
      <c r="J41" s="46">
        <v>8.5734791825514804</v>
      </c>
      <c r="K41" s="46">
        <v>4.3315278968900577</v>
      </c>
      <c r="L41" s="52">
        <v>22.589900589069796</v>
      </c>
      <c r="M41" s="46">
        <v>12.344954725351897</v>
      </c>
      <c r="N41" s="46">
        <v>1.1922718492477058</v>
      </c>
      <c r="O41" s="46">
        <v>0.63683263351670627</v>
      </c>
      <c r="P41" s="46">
        <v>0.38666564454429453</v>
      </c>
    </row>
    <row r="42" spans="2:16" x14ac:dyDescent="0.3">
      <c r="B42" s="292"/>
      <c r="C42" s="12" t="s">
        <v>215</v>
      </c>
      <c r="D42" s="48">
        <v>5.6413364503657357</v>
      </c>
      <c r="E42" s="48">
        <v>26.957080078475148</v>
      </c>
      <c r="F42" s="54">
        <v>17.368453685857155</v>
      </c>
      <c r="G42" s="48">
        <v>10.104385131813059</v>
      </c>
      <c r="H42" s="54">
        <v>34.571110028582929</v>
      </c>
      <c r="I42" s="48">
        <v>22.599987450331621</v>
      </c>
      <c r="J42" s="48">
        <v>7.364884581384108</v>
      </c>
      <c r="K42" s="48">
        <v>5.3309904471546359</v>
      </c>
      <c r="L42" s="54">
        <v>20.592994676847322</v>
      </c>
      <c r="M42" s="48">
        <v>13.671776078390414</v>
      </c>
      <c r="N42" s="48">
        <v>0.99723226833192058</v>
      </c>
      <c r="O42" s="48">
        <v>0.72554392674095891</v>
      </c>
      <c r="P42" s="48">
        <v>0.20565862849229424</v>
      </c>
    </row>
    <row r="43" spans="2:16" x14ac:dyDescent="0.3">
      <c r="B43" s="292"/>
      <c r="C43" s="9" t="s">
        <v>216</v>
      </c>
      <c r="D43" s="46">
        <v>6.2773051386027792</v>
      </c>
      <c r="E43" s="46">
        <v>8.4661037554725365</v>
      </c>
      <c r="F43" s="52">
        <v>12.027645777392742</v>
      </c>
      <c r="G43" s="46">
        <v>29.848122734753485</v>
      </c>
      <c r="H43" s="52">
        <v>53.223491036929858</v>
      </c>
      <c r="I43" s="46">
        <v>12.213077537030662</v>
      </c>
      <c r="J43" s="46">
        <v>19.460967955850453</v>
      </c>
      <c r="K43" s="46">
        <v>13.751211773885291</v>
      </c>
      <c r="L43" s="52">
        <v>22.211558636668389</v>
      </c>
      <c r="M43" s="46">
        <v>23.521845788102489</v>
      </c>
      <c r="N43" s="46">
        <v>6.1868426124728435</v>
      </c>
      <c r="O43" s="46">
        <v>0.80986108346015606</v>
      </c>
      <c r="P43" s="46">
        <v>0</v>
      </c>
    </row>
    <row r="44" spans="2:16" x14ac:dyDescent="0.3">
      <c r="B44" s="292"/>
      <c r="C44" s="9" t="s">
        <v>217</v>
      </c>
      <c r="D44" s="46">
        <v>8.2157552317918956</v>
      </c>
      <c r="E44" s="46">
        <v>14.767430878136611</v>
      </c>
      <c r="F44" s="52">
        <v>16.562713766332372</v>
      </c>
      <c r="G44" s="46">
        <v>20.350702888622649</v>
      </c>
      <c r="H44" s="52">
        <v>40.553451020455419</v>
      </c>
      <c r="I44" s="46">
        <v>14.7093718528082</v>
      </c>
      <c r="J44" s="46">
        <v>20.643981350894844</v>
      </c>
      <c r="K44" s="46">
        <v>17.285584702879877</v>
      </c>
      <c r="L44" s="52">
        <v>17.977228632378949</v>
      </c>
      <c r="M44" s="46">
        <v>16.96349833453672</v>
      </c>
      <c r="N44" s="46">
        <v>10.387554326840402</v>
      </c>
      <c r="O44" s="46">
        <v>6.8484607816955299</v>
      </c>
      <c r="P44" s="46">
        <v>0.6057929443945963</v>
      </c>
    </row>
    <row r="45" spans="2:16" x14ac:dyDescent="0.3">
      <c r="B45" s="292"/>
      <c r="C45" s="9" t="s">
        <v>218</v>
      </c>
      <c r="D45" s="46">
        <v>6.9033240716459554</v>
      </c>
      <c r="E45" s="46">
        <v>18.660510291150011</v>
      </c>
      <c r="F45" s="52">
        <v>12.592024235424869</v>
      </c>
      <c r="G45" s="46">
        <v>17.92311296358681</v>
      </c>
      <c r="H45" s="52">
        <v>46.969930238240451</v>
      </c>
      <c r="I45" s="46">
        <v>16.707481629477808</v>
      </c>
      <c r="J45" s="46">
        <v>17.014873930160903</v>
      </c>
      <c r="K45" s="46">
        <v>11.537431456156739</v>
      </c>
      <c r="L45" s="52">
        <v>22.121730567210353</v>
      </c>
      <c r="M45" s="46">
        <v>14.20891195784762</v>
      </c>
      <c r="N45" s="46">
        <v>5.8704305409307667</v>
      </c>
      <c r="O45" s="46">
        <v>7.8123880418345104</v>
      </c>
      <c r="P45" s="46">
        <v>0.29363593275253674</v>
      </c>
    </row>
    <row r="46" spans="2:16" x14ac:dyDescent="0.3">
      <c r="B46" s="292"/>
      <c r="C46" s="9" t="s">
        <v>219</v>
      </c>
      <c r="D46" s="46">
        <v>4.5699454580632564</v>
      </c>
      <c r="E46" s="46">
        <v>16.701258592348374</v>
      </c>
      <c r="F46" s="52">
        <v>13.098681449497496</v>
      </c>
      <c r="G46" s="46">
        <v>21.248836740559661</v>
      </c>
      <c r="H46" s="52">
        <v>42.868293875495553</v>
      </c>
      <c r="I46" s="46">
        <v>13.813542231698554</v>
      </c>
      <c r="J46" s="46">
        <v>13.7217257557677</v>
      </c>
      <c r="K46" s="46">
        <v>9.3032854595203087</v>
      </c>
      <c r="L46" s="52">
        <v>20.709382069337522</v>
      </c>
      <c r="M46" s="46">
        <v>16.008989593376299</v>
      </c>
      <c r="N46" s="46">
        <v>5.1837856818637125</v>
      </c>
      <c r="O46" s="46">
        <v>6.032950552268515</v>
      </c>
      <c r="P46" s="46">
        <v>0.87949242020378382</v>
      </c>
    </row>
    <row r="47" spans="2:16" x14ac:dyDescent="0.3">
      <c r="B47" s="292"/>
      <c r="C47" s="9" t="s">
        <v>220</v>
      </c>
      <c r="D47" s="46">
        <v>5.8031018227839493</v>
      </c>
      <c r="E47" s="46">
        <v>18.077298934896916</v>
      </c>
      <c r="F47" s="52">
        <v>12.612925290394283</v>
      </c>
      <c r="G47" s="46">
        <v>17.667018411668938</v>
      </c>
      <c r="H47" s="52">
        <v>35.664823802988998</v>
      </c>
      <c r="I47" s="46">
        <v>15.281000273444761</v>
      </c>
      <c r="J47" s="46">
        <v>17.76532134740847</v>
      </c>
      <c r="K47" s="46">
        <v>9.8878358665058794</v>
      </c>
      <c r="L47" s="52">
        <v>20.265353214000182</v>
      </c>
      <c r="M47" s="46">
        <v>12.937005349800978</v>
      </c>
      <c r="N47" s="46">
        <v>3.8254609609424333</v>
      </c>
      <c r="O47" s="46">
        <v>3.6771187977036117</v>
      </c>
      <c r="P47" s="46">
        <v>0.3732090085690532</v>
      </c>
    </row>
    <row r="48" spans="2:16" x14ac:dyDescent="0.3">
      <c r="B48" s="295"/>
      <c r="C48" s="9" t="s">
        <v>221</v>
      </c>
      <c r="D48" s="48">
        <v>6.8547279439849884</v>
      </c>
      <c r="E48" s="48">
        <v>20.192242708119785</v>
      </c>
      <c r="F48" s="54">
        <v>13.954909497542111</v>
      </c>
      <c r="G48" s="48">
        <v>10.673206659372935</v>
      </c>
      <c r="H48" s="54">
        <v>34.125797364800803</v>
      </c>
      <c r="I48" s="48">
        <v>14.541487416926699</v>
      </c>
      <c r="J48" s="48">
        <v>16.354792269349943</v>
      </c>
      <c r="K48" s="48">
        <v>8.8751779873316039</v>
      </c>
      <c r="L48" s="54">
        <v>20.046442508167019</v>
      </c>
      <c r="M48" s="48">
        <v>10.970577367174286</v>
      </c>
      <c r="N48" s="48">
        <v>3.0051506347588584</v>
      </c>
      <c r="O48" s="48">
        <v>5.1363211007462901</v>
      </c>
      <c r="P48" s="48">
        <v>0.94765253606649424</v>
      </c>
    </row>
    <row r="49" spans="2:16" ht="16.5" customHeight="1" x14ac:dyDescent="0.3">
      <c r="B49" s="291" t="s">
        <v>222</v>
      </c>
      <c r="C49" s="13" t="s">
        <v>226</v>
      </c>
      <c r="D49" s="47">
        <v>7.6938227579483485</v>
      </c>
      <c r="E49" s="47">
        <v>20.398830863354512</v>
      </c>
      <c r="F49" s="47">
        <v>18.759647065475264</v>
      </c>
      <c r="G49" s="47">
        <v>18.690092553218506</v>
      </c>
      <c r="H49" s="47">
        <v>38.970956938512785</v>
      </c>
      <c r="I49" s="47">
        <v>15.71592328489305</v>
      </c>
      <c r="J49" s="47">
        <v>12.541802591182938</v>
      </c>
      <c r="K49" s="47">
        <v>8.7496131157127035</v>
      </c>
      <c r="L49" s="47">
        <v>18.961177799246563</v>
      </c>
      <c r="M49" s="47">
        <v>13.384136735999153</v>
      </c>
      <c r="N49" s="47">
        <v>3.3923804081686502</v>
      </c>
      <c r="O49" s="47">
        <v>3.6080991069536226</v>
      </c>
      <c r="P49" s="47">
        <v>0.58861033284417075</v>
      </c>
    </row>
    <row r="50" spans="2:16" x14ac:dyDescent="0.3">
      <c r="B50" s="294"/>
      <c r="C50" s="9" t="s">
        <v>227</v>
      </c>
      <c r="D50" s="46">
        <v>6.5243775624816234</v>
      </c>
      <c r="E50" s="46">
        <v>18.643230172483989</v>
      </c>
      <c r="F50" s="46">
        <v>15.630297292809411</v>
      </c>
      <c r="G50" s="46">
        <v>18.859260640322869</v>
      </c>
      <c r="H50" s="46">
        <v>40.828656880250932</v>
      </c>
      <c r="I50" s="46">
        <v>16.784655441067567</v>
      </c>
      <c r="J50" s="46">
        <v>15.149110429629564</v>
      </c>
      <c r="K50" s="46">
        <v>8.7840411444212769</v>
      </c>
      <c r="L50" s="46">
        <v>19.552878330703756</v>
      </c>
      <c r="M50" s="46">
        <v>14.46019311882017</v>
      </c>
      <c r="N50" s="46">
        <v>2.8922007684797699</v>
      </c>
      <c r="O50" s="46">
        <v>3.3643856436817896</v>
      </c>
      <c r="P50" s="46">
        <v>0.45454536702872028</v>
      </c>
    </row>
    <row r="51" spans="2:16" x14ac:dyDescent="0.3">
      <c r="B51" s="292"/>
      <c r="C51" s="9" t="s">
        <v>228</v>
      </c>
      <c r="D51" s="46">
        <v>5.8118281770212565</v>
      </c>
      <c r="E51" s="46">
        <v>18.874514085269443</v>
      </c>
      <c r="F51" s="46">
        <v>15.297384800352479</v>
      </c>
      <c r="G51" s="46">
        <v>17.198159533404418</v>
      </c>
      <c r="H51" s="46">
        <v>41.613151856485892</v>
      </c>
      <c r="I51" s="46">
        <v>18.20557314833141</v>
      </c>
      <c r="J51" s="46">
        <v>14.163425082990431</v>
      </c>
      <c r="K51" s="46">
        <v>8.5545583350374006</v>
      </c>
      <c r="L51" s="46">
        <v>21.090663658595641</v>
      </c>
      <c r="M51" s="46">
        <v>14.009034377581136</v>
      </c>
      <c r="N51" s="46">
        <v>3.8455500050655642</v>
      </c>
      <c r="O51" s="46">
        <v>3.4512273288988178</v>
      </c>
      <c r="P51" s="46">
        <v>0.62180521895819929</v>
      </c>
    </row>
    <row r="52" spans="2:16" x14ac:dyDescent="0.3">
      <c r="B52" s="295"/>
      <c r="C52" s="12" t="s">
        <v>229</v>
      </c>
      <c r="D52" s="48">
        <v>7.586722332401731</v>
      </c>
      <c r="E52" s="48">
        <v>19.761960915343121</v>
      </c>
      <c r="F52" s="48">
        <v>14.972709671780587</v>
      </c>
      <c r="G52" s="48">
        <v>18.876595194012527</v>
      </c>
      <c r="H52" s="48">
        <v>40.704373136912999</v>
      </c>
      <c r="I52" s="48">
        <v>18.386429390007162</v>
      </c>
      <c r="J52" s="48">
        <v>15.413761045164456</v>
      </c>
      <c r="K52" s="48">
        <v>9.6378245118775592</v>
      </c>
      <c r="L52" s="48">
        <v>22.585714296852117</v>
      </c>
      <c r="M52" s="48">
        <v>15.303250343036551</v>
      </c>
      <c r="N52" s="48">
        <v>4.3055469145156211</v>
      </c>
      <c r="O52" s="48">
        <v>3.3844158971661606</v>
      </c>
      <c r="P52" s="48">
        <v>0.37907161259223043</v>
      </c>
    </row>
    <row r="53" spans="2:16" x14ac:dyDescent="0.3">
      <c r="B53" s="296" t="s">
        <v>199</v>
      </c>
      <c r="C53" s="13" t="s">
        <v>192</v>
      </c>
      <c r="D53" s="47">
        <v>6.9115141312058519</v>
      </c>
      <c r="E53" s="47">
        <v>19.668566377910825</v>
      </c>
      <c r="F53" s="47">
        <v>16.858001711921979</v>
      </c>
      <c r="G53" s="47">
        <v>19.187697054396505</v>
      </c>
      <c r="H53" s="47">
        <v>40.529608827453671</v>
      </c>
      <c r="I53" s="47">
        <v>17.165010333268881</v>
      </c>
      <c r="J53" s="47">
        <v>14.895008786160913</v>
      </c>
      <c r="K53" s="47">
        <v>9.2262013368019336</v>
      </c>
      <c r="L53" s="47">
        <v>20.317963953445183</v>
      </c>
      <c r="M53" s="47">
        <v>13.870809307341265</v>
      </c>
      <c r="N53" s="47">
        <v>3.7715538012805148</v>
      </c>
      <c r="O53" s="47">
        <v>3.5195539085848666</v>
      </c>
      <c r="P53" s="47">
        <v>0.45800633685510617</v>
      </c>
    </row>
    <row r="54" spans="2:16" ht="16.5" customHeight="1" x14ac:dyDescent="0.3">
      <c r="B54" s="292"/>
      <c r="C54" s="9" t="s">
        <v>200</v>
      </c>
      <c r="D54" s="46">
        <v>6.2106409391100676</v>
      </c>
      <c r="E54" s="46">
        <v>18.334615175349093</v>
      </c>
      <c r="F54" s="46">
        <v>14.062631557719948</v>
      </c>
      <c r="G54" s="46">
        <v>14.984550556212319</v>
      </c>
      <c r="H54" s="46">
        <v>41.83823599630577</v>
      </c>
      <c r="I54" s="46">
        <v>20.52171883408694</v>
      </c>
      <c r="J54" s="46">
        <v>12.068028121114997</v>
      </c>
      <c r="K54" s="46">
        <v>5.4252089128722094</v>
      </c>
      <c r="L54" s="46">
        <v>21.267174703721597</v>
      </c>
      <c r="M54" s="46">
        <v>13.893835069858387</v>
      </c>
      <c r="N54" s="46">
        <v>3.603293404719135</v>
      </c>
      <c r="O54" s="46">
        <v>2.628065179794576</v>
      </c>
      <c r="P54" s="46">
        <v>0.29459885899308363</v>
      </c>
    </row>
    <row r="55" spans="2:16" x14ac:dyDescent="0.3">
      <c r="B55" s="292"/>
      <c r="C55" s="9" t="s">
        <v>201</v>
      </c>
      <c r="D55" s="46">
        <v>6.7245617584549926</v>
      </c>
      <c r="E55" s="46">
        <v>18.881095753109012</v>
      </c>
      <c r="F55" s="46">
        <v>14.139721012925484</v>
      </c>
      <c r="G55" s="46">
        <v>19.684468698113559</v>
      </c>
      <c r="H55" s="46">
        <v>41.482411255642461</v>
      </c>
      <c r="I55" s="46">
        <v>16.658966234808336</v>
      </c>
      <c r="J55" s="46">
        <v>12.071590453474355</v>
      </c>
      <c r="K55" s="46">
        <v>8.9670326818768533</v>
      </c>
      <c r="L55" s="46">
        <v>21.170298861679814</v>
      </c>
      <c r="M55" s="46">
        <v>14.626390531050957</v>
      </c>
      <c r="N55" s="46">
        <v>3.5510475207542411</v>
      </c>
      <c r="O55" s="46">
        <v>3.1659867224632627</v>
      </c>
      <c r="P55" s="46">
        <v>0.56760850469848478</v>
      </c>
    </row>
    <row r="56" spans="2:16" x14ac:dyDescent="0.3">
      <c r="B56" s="292"/>
      <c r="C56" s="9" t="s">
        <v>202</v>
      </c>
      <c r="D56" s="46">
        <v>7.9920623265730875</v>
      </c>
      <c r="E56" s="46">
        <v>19.936524015911228</v>
      </c>
      <c r="F56" s="46">
        <v>14.371019683797353</v>
      </c>
      <c r="G56" s="46">
        <v>17.059521973863351</v>
      </c>
      <c r="H56" s="46">
        <v>37.954804446399343</v>
      </c>
      <c r="I56" s="46">
        <v>19.527114081791836</v>
      </c>
      <c r="J56" s="46">
        <v>14.897012884441091</v>
      </c>
      <c r="K56" s="46">
        <v>8.7524937150623341</v>
      </c>
      <c r="L56" s="46">
        <v>20.177084651870956</v>
      </c>
      <c r="M56" s="46">
        <v>14.801312000787476</v>
      </c>
      <c r="N56" s="46">
        <v>3.7429134557494277</v>
      </c>
      <c r="O56" s="46">
        <v>3.4698988916073898</v>
      </c>
      <c r="P56" s="46">
        <v>0.95071876529680788</v>
      </c>
    </row>
    <row r="57" spans="2:16" x14ac:dyDescent="0.3">
      <c r="B57" s="295"/>
      <c r="C57" s="12" t="s">
        <v>203</v>
      </c>
      <c r="D57" s="48">
        <v>6.7040066230873165</v>
      </c>
      <c r="E57" s="48">
        <v>18.923303999594754</v>
      </c>
      <c r="F57" s="48">
        <v>16.127994994834435</v>
      </c>
      <c r="G57" s="48">
        <v>17.253561899409675</v>
      </c>
      <c r="H57" s="48">
        <v>40.888565672873888</v>
      </c>
      <c r="I57" s="48">
        <v>16.411010581834152</v>
      </c>
      <c r="J57" s="48">
        <v>14.386011003383651</v>
      </c>
      <c r="K57" s="48">
        <v>8.9387689122805245</v>
      </c>
      <c r="L57" s="48">
        <v>20.830936659959466</v>
      </c>
      <c r="M57" s="48">
        <v>15.195103624920433</v>
      </c>
      <c r="N57" s="48">
        <v>3.1037838885674938</v>
      </c>
      <c r="O57" s="48">
        <v>3.5203566174463843</v>
      </c>
      <c r="P57" s="48">
        <v>0.46385137225254885</v>
      </c>
    </row>
    <row r="58" spans="2:16" x14ac:dyDescent="0.3">
      <c r="B58" s="291" t="s">
        <v>204</v>
      </c>
      <c r="C58" s="13" t="s">
        <v>192</v>
      </c>
      <c r="D58" s="47">
        <v>6.9115141312058519</v>
      </c>
      <c r="E58" s="47">
        <v>19.668566377910825</v>
      </c>
      <c r="F58" s="47">
        <v>16.858001711921979</v>
      </c>
      <c r="G58" s="47">
        <v>19.187697054396505</v>
      </c>
      <c r="H58" s="47">
        <v>40.529608827453671</v>
      </c>
      <c r="I58" s="47">
        <v>17.165010333268881</v>
      </c>
      <c r="J58" s="47">
        <v>14.895008786160913</v>
      </c>
      <c r="K58" s="47">
        <v>9.2262013368019336</v>
      </c>
      <c r="L58" s="47">
        <v>20.317963953445183</v>
      </c>
      <c r="M58" s="47">
        <v>13.870809307341265</v>
      </c>
      <c r="N58" s="47">
        <v>3.7715538012805148</v>
      </c>
      <c r="O58" s="47">
        <v>3.5195539085848666</v>
      </c>
      <c r="P58" s="47">
        <v>0.45800633685510617</v>
      </c>
    </row>
    <row r="59" spans="2:16" x14ac:dyDescent="0.3">
      <c r="B59" s="295"/>
      <c r="C59" s="12" t="s">
        <v>193</v>
      </c>
      <c r="D59" s="48">
        <v>6.9006930820822987</v>
      </c>
      <c r="E59" s="48">
        <v>19.047517066107023</v>
      </c>
      <c r="F59" s="48">
        <v>15.191711719925463</v>
      </c>
      <c r="G59" s="48">
        <v>17.541349023893353</v>
      </c>
      <c r="H59" s="48">
        <v>40.563598042945955</v>
      </c>
      <c r="I59" s="48">
        <v>17.40257041482133</v>
      </c>
      <c r="J59" s="48">
        <v>13.772620317395193</v>
      </c>
      <c r="K59" s="48">
        <v>8.5974913219313134</v>
      </c>
      <c r="L59" s="48">
        <v>20.823295153266507</v>
      </c>
      <c r="M59" s="48">
        <v>14.883901571011462</v>
      </c>
      <c r="N59" s="48">
        <v>3.3622428345540598</v>
      </c>
      <c r="O59" s="48">
        <v>3.3549290250519186</v>
      </c>
      <c r="P59" s="48">
        <v>0.56048847758184739</v>
      </c>
    </row>
    <row r="60" spans="2:16" x14ac:dyDescent="0.3">
      <c r="B60" s="291" t="s">
        <v>209</v>
      </c>
      <c r="C60" s="13" t="s">
        <v>205</v>
      </c>
      <c r="D60" s="47">
        <v>8.3900577037854411</v>
      </c>
      <c r="E60" s="47">
        <v>19.083771108479013</v>
      </c>
      <c r="F60" s="47">
        <v>17.721505722541519</v>
      </c>
      <c r="G60" s="47">
        <v>19.524577945096748</v>
      </c>
      <c r="H60" s="47">
        <v>41.395768499793142</v>
      </c>
      <c r="I60" s="47">
        <v>17.944020826943252</v>
      </c>
      <c r="J60" s="47">
        <v>16.412165533344865</v>
      </c>
      <c r="K60" s="47">
        <v>11.42925946322422</v>
      </c>
      <c r="L60" s="47">
        <v>17.794025203935409</v>
      </c>
      <c r="M60" s="47">
        <v>14.207270063826552</v>
      </c>
      <c r="N60" s="47">
        <v>4.1906822736839082</v>
      </c>
      <c r="O60" s="47">
        <v>4.454574633651819</v>
      </c>
      <c r="P60" s="47">
        <v>0.5664564011427945</v>
      </c>
    </row>
    <row r="61" spans="2:16" x14ac:dyDescent="0.3">
      <c r="B61" s="292"/>
      <c r="C61" s="9" t="s">
        <v>206</v>
      </c>
      <c r="D61" s="46">
        <v>6.6753780343848668</v>
      </c>
      <c r="E61" s="46">
        <v>18.370575256093066</v>
      </c>
      <c r="F61" s="46">
        <v>13.613746552274852</v>
      </c>
      <c r="G61" s="46">
        <v>13.888246983332223</v>
      </c>
      <c r="H61" s="46">
        <v>38.45575443516325</v>
      </c>
      <c r="I61" s="46">
        <v>16.410295748414946</v>
      </c>
      <c r="J61" s="46">
        <v>12.380821349962085</v>
      </c>
      <c r="K61" s="46">
        <v>8.0093938306805299</v>
      </c>
      <c r="L61" s="46">
        <v>21.787884394531098</v>
      </c>
      <c r="M61" s="46">
        <v>11.733570667757855</v>
      </c>
      <c r="N61" s="46">
        <v>2.9922144941002888</v>
      </c>
      <c r="O61" s="46">
        <v>4.8641265961532172</v>
      </c>
      <c r="P61" s="46">
        <v>0.66924223014185547</v>
      </c>
    </row>
    <row r="62" spans="2:16" x14ac:dyDescent="0.3">
      <c r="B62" s="292"/>
      <c r="C62" s="9" t="s">
        <v>207</v>
      </c>
      <c r="D62" s="46">
        <v>5.9493252185085312</v>
      </c>
      <c r="E62" s="46">
        <v>19.817548523076578</v>
      </c>
      <c r="F62" s="46">
        <v>16.110339809269881</v>
      </c>
      <c r="G62" s="46">
        <v>17.867878277687044</v>
      </c>
      <c r="H62" s="46">
        <v>39.918754547517274</v>
      </c>
      <c r="I62" s="46">
        <v>17.156344648660966</v>
      </c>
      <c r="J62" s="46">
        <v>14.805593485090505</v>
      </c>
      <c r="K62" s="46">
        <v>7.9342289055712678</v>
      </c>
      <c r="L62" s="46">
        <v>21.486478403593885</v>
      </c>
      <c r="M62" s="46">
        <v>14.437768701617587</v>
      </c>
      <c r="N62" s="46">
        <v>3.0881605716287908</v>
      </c>
      <c r="O62" s="46">
        <v>3.4158219334974942</v>
      </c>
      <c r="P62" s="46">
        <v>0.62040782128092697</v>
      </c>
    </row>
    <row r="63" spans="2:16" x14ac:dyDescent="0.3">
      <c r="B63" s="293"/>
      <c r="C63" s="25" t="s">
        <v>208</v>
      </c>
      <c r="D63" s="49">
        <v>7.392494478194922</v>
      </c>
      <c r="E63" s="49">
        <v>19.680105655673167</v>
      </c>
      <c r="F63" s="49">
        <v>16.94354732614708</v>
      </c>
      <c r="G63" s="49">
        <v>21.184339842962977</v>
      </c>
      <c r="H63" s="49">
        <v>42.004246403243911</v>
      </c>
      <c r="I63" s="49">
        <v>17.625413257552804</v>
      </c>
      <c r="J63" s="49">
        <v>14.418297845928594</v>
      </c>
      <c r="K63" s="49">
        <v>9.5161607171997957</v>
      </c>
      <c r="L63" s="49">
        <v>19.956237159023598</v>
      </c>
      <c r="M63" s="49">
        <v>15.734723156011482</v>
      </c>
      <c r="N63" s="49">
        <v>4.1718258120796721</v>
      </c>
      <c r="O63" s="49">
        <v>2.3060433568847842</v>
      </c>
      <c r="P63" s="49">
        <v>0.27997912815926157</v>
      </c>
    </row>
    <row r="66" spans="2:51" ht="18.75" customHeight="1" x14ac:dyDescent="0.3">
      <c r="B66" s="1" t="s">
        <v>136</v>
      </c>
      <c r="F66" s="304"/>
      <c r="G66" s="304"/>
      <c r="H66" s="304"/>
      <c r="I66" s="304"/>
      <c r="J66" s="304"/>
      <c r="K66" s="304"/>
      <c r="L66" s="304"/>
      <c r="M66" s="304"/>
      <c r="N66" s="304"/>
      <c r="O66" s="304"/>
      <c r="P66" s="304"/>
      <c r="Q66" s="304"/>
      <c r="R66" s="304"/>
      <c r="S66" s="304"/>
      <c r="T66" s="304"/>
      <c r="U66" s="304"/>
      <c r="V66" s="304"/>
      <c r="W66" s="304"/>
      <c r="X66" s="304"/>
      <c r="Y66" s="304"/>
      <c r="Z66" s="304"/>
      <c r="AA66" s="304"/>
      <c r="AB66" s="304"/>
      <c r="AC66" s="304"/>
      <c r="AD66" s="304"/>
      <c r="AE66" s="304"/>
      <c r="AF66" s="304"/>
      <c r="AG66" s="304"/>
      <c r="AH66" s="304"/>
      <c r="AI66" s="304"/>
      <c r="AJ66" s="304"/>
      <c r="AK66" s="304"/>
      <c r="AL66" s="304"/>
      <c r="AM66" s="304"/>
      <c r="AN66" s="304"/>
      <c r="AO66" s="304"/>
      <c r="AP66" s="304"/>
      <c r="AQ66" s="304"/>
      <c r="AR66" s="304"/>
      <c r="AS66" s="304"/>
      <c r="AT66" s="304"/>
      <c r="AU66" s="304"/>
      <c r="AV66" s="304"/>
      <c r="AW66" s="304"/>
      <c r="AX66" s="304"/>
      <c r="AY66" s="304"/>
    </row>
    <row r="67" spans="2:51" ht="13.5" customHeight="1" x14ac:dyDescent="0.3">
      <c r="M67" s="30"/>
      <c r="N67" s="30"/>
      <c r="P67" s="30" t="s">
        <v>53</v>
      </c>
    </row>
    <row r="68" spans="2:51" ht="28.5" customHeight="1" x14ac:dyDescent="0.3">
      <c r="B68" s="305"/>
      <c r="C68" s="306"/>
      <c r="D68" s="226" t="s">
        <v>35</v>
      </c>
      <c r="E68" s="226" t="s">
        <v>280</v>
      </c>
      <c r="F68" s="226" t="s">
        <v>16</v>
      </c>
      <c r="G68" s="226" t="s">
        <v>232</v>
      </c>
      <c r="H68" s="226" t="s">
        <v>287</v>
      </c>
      <c r="I68" s="226" t="s">
        <v>32</v>
      </c>
      <c r="J68" s="226" t="s">
        <v>284</v>
      </c>
      <c r="K68" s="226" t="s">
        <v>285</v>
      </c>
      <c r="L68" s="226" t="s">
        <v>288</v>
      </c>
      <c r="M68" s="227" t="s">
        <v>17</v>
      </c>
      <c r="N68" s="227" t="s">
        <v>37</v>
      </c>
      <c r="O68" s="227" t="s">
        <v>19</v>
      </c>
      <c r="P68" s="227" t="s">
        <v>12</v>
      </c>
    </row>
    <row r="69" spans="2:51" x14ac:dyDescent="0.3">
      <c r="B69" s="292" t="s">
        <v>20</v>
      </c>
      <c r="C69" s="292"/>
      <c r="D69" s="72">
        <v>1.1783985056021657</v>
      </c>
      <c r="E69" s="72">
        <v>1.1704338961878984</v>
      </c>
      <c r="F69" s="73">
        <v>1.1483114072525782</v>
      </c>
      <c r="G69" s="72">
        <v>1.2948639734930847</v>
      </c>
      <c r="H69" s="73">
        <v>1.6928764551151667</v>
      </c>
      <c r="I69" s="72">
        <v>1.3817764951018352</v>
      </c>
      <c r="J69" s="72">
        <v>1.3761999537870517</v>
      </c>
      <c r="K69" s="72">
        <v>1.2616532359705139</v>
      </c>
      <c r="L69" s="73">
        <v>1.4507612309512832</v>
      </c>
      <c r="M69" s="72">
        <v>1.2734692019265663</v>
      </c>
      <c r="N69" s="72">
        <v>1.2083063797382445</v>
      </c>
      <c r="O69" s="72">
        <v>1.2513198881365168</v>
      </c>
      <c r="P69" s="72">
        <v>1.5820813312114166</v>
      </c>
    </row>
    <row r="70" spans="2:51" x14ac:dyDescent="0.3">
      <c r="B70" s="296" t="s">
        <v>5</v>
      </c>
      <c r="C70" s="13" t="s">
        <v>0</v>
      </c>
      <c r="D70" s="74">
        <v>1.1567178351880492</v>
      </c>
      <c r="E70" s="74">
        <v>1.1770746774448653</v>
      </c>
      <c r="F70" s="75">
        <v>1.1472471831885365</v>
      </c>
      <c r="G70" s="74">
        <v>1.2719724556184882</v>
      </c>
      <c r="H70" s="75">
        <v>1.6073247547119216</v>
      </c>
      <c r="I70" s="74">
        <v>1.4104485461172542</v>
      </c>
      <c r="J70" s="74">
        <v>1.2516516046836146</v>
      </c>
      <c r="K70" s="74">
        <v>1.2299065852523077</v>
      </c>
      <c r="L70" s="75">
        <v>1.3729446162919752</v>
      </c>
      <c r="M70" s="74">
        <v>1.2496432710710463</v>
      </c>
      <c r="N70" s="74">
        <v>1.225857055242469</v>
      </c>
      <c r="O70" s="74">
        <v>1.1435860846006434</v>
      </c>
      <c r="P70" s="74">
        <v>1.3348963148381392</v>
      </c>
    </row>
    <row r="71" spans="2:51" x14ac:dyDescent="0.3">
      <c r="B71" s="295"/>
      <c r="C71" s="12" t="s">
        <v>1</v>
      </c>
      <c r="D71" s="76">
        <v>1.198400244758016</v>
      </c>
      <c r="E71" s="76">
        <v>1.1640293500182017</v>
      </c>
      <c r="F71" s="76">
        <v>1.1494690892408017</v>
      </c>
      <c r="G71" s="76">
        <v>1.3126392553349659</v>
      </c>
      <c r="H71" s="76">
        <v>1.7575756333031005</v>
      </c>
      <c r="I71" s="76">
        <v>1.3519651565035431</v>
      </c>
      <c r="J71" s="76">
        <v>1.4365487924589382</v>
      </c>
      <c r="K71" s="76">
        <v>1.2744479966491491</v>
      </c>
      <c r="L71" s="76">
        <v>1.5105622102319405</v>
      </c>
      <c r="M71" s="76">
        <v>1.29072396323425</v>
      </c>
      <c r="N71" s="76">
        <v>1.2056301597798953</v>
      </c>
      <c r="O71" s="76">
        <v>1.2608725962826017</v>
      </c>
      <c r="P71" s="76">
        <v>1.7042433904868257</v>
      </c>
    </row>
    <row r="72" spans="2:51" x14ac:dyDescent="0.3">
      <c r="B72" s="296" t="s">
        <v>4</v>
      </c>
      <c r="C72" s="9" t="s">
        <v>175</v>
      </c>
      <c r="D72" s="72">
        <v>1.3792653609791328</v>
      </c>
      <c r="E72" s="72">
        <v>1.2007855453291092</v>
      </c>
      <c r="F72" s="73">
        <v>1.1758811033533958</v>
      </c>
      <c r="G72" s="72">
        <v>1.4703438256397532</v>
      </c>
      <c r="H72" s="73">
        <v>1.8770797572937776</v>
      </c>
      <c r="I72" s="72">
        <v>1.25421616824299</v>
      </c>
      <c r="J72" s="72">
        <v>1.4514447968552671</v>
      </c>
      <c r="K72" s="72">
        <v>1.3301518378678623</v>
      </c>
      <c r="L72" s="73">
        <v>1.5121737960651687</v>
      </c>
      <c r="M72" s="72">
        <v>1.3861182353565218</v>
      </c>
      <c r="N72" s="72">
        <v>1.0291671366199964</v>
      </c>
      <c r="O72" s="72">
        <v>1.495158246389346</v>
      </c>
      <c r="P72" s="72">
        <v>0</v>
      </c>
    </row>
    <row r="73" spans="2:51" x14ac:dyDescent="0.3">
      <c r="B73" s="292"/>
      <c r="C73" s="9" t="s">
        <v>176</v>
      </c>
      <c r="D73" s="72">
        <v>1.1565840541907273</v>
      </c>
      <c r="E73" s="72">
        <v>1.165541729554481</v>
      </c>
      <c r="F73" s="73">
        <v>1.1717888324648826</v>
      </c>
      <c r="G73" s="72">
        <v>1.2815614063106591</v>
      </c>
      <c r="H73" s="73">
        <v>1.6688321083245896</v>
      </c>
      <c r="I73" s="72">
        <v>1.4226630023694034</v>
      </c>
      <c r="J73" s="72">
        <v>1.4380858253543383</v>
      </c>
      <c r="K73" s="72">
        <v>1.3315069707015785</v>
      </c>
      <c r="L73" s="73">
        <v>1.3879726519529347</v>
      </c>
      <c r="M73" s="72">
        <v>1.3239642012106809</v>
      </c>
      <c r="N73" s="72">
        <v>1.2544371111954165</v>
      </c>
      <c r="O73" s="72">
        <v>1.2316339727284957</v>
      </c>
      <c r="P73" s="72">
        <v>1.0860177508617066</v>
      </c>
    </row>
    <row r="74" spans="2:51" x14ac:dyDescent="0.3">
      <c r="B74" s="292"/>
      <c r="C74" s="9" t="s">
        <v>177</v>
      </c>
      <c r="D74" s="72">
        <v>1.170521770892061</v>
      </c>
      <c r="E74" s="72">
        <v>1.168860338055459</v>
      </c>
      <c r="F74" s="73">
        <v>1.157675314126503</v>
      </c>
      <c r="G74" s="72">
        <v>1.2377078219772553</v>
      </c>
      <c r="H74" s="73">
        <v>1.7781809560577333</v>
      </c>
      <c r="I74" s="72">
        <v>1.3707429711434762</v>
      </c>
      <c r="J74" s="72">
        <v>1.2914461023551247</v>
      </c>
      <c r="K74" s="72">
        <v>1.2166147113176033</v>
      </c>
      <c r="L74" s="73">
        <v>1.428331111461258</v>
      </c>
      <c r="M74" s="72">
        <v>1.2637891737527707</v>
      </c>
      <c r="N74" s="72">
        <v>1.3099326435856773</v>
      </c>
      <c r="O74" s="72">
        <v>1.3250639272770957</v>
      </c>
      <c r="P74" s="72">
        <v>2.4598077785434849</v>
      </c>
    </row>
    <row r="75" spans="2:51" x14ac:dyDescent="0.3">
      <c r="B75" s="292"/>
      <c r="C75" s="9" t="s">
        <v>178</v>
      </c>
      <c r="D75" s="72">
        <v>1.1285094738788262</v>
      </c>
      <c r="E75" s="72">
        <v>1.1491444572905278</v>
      </c>
      <c r="F75" s="73">
        <v>1.1196827689655784</v>
      </c>
      <c r="G75" s="72">
        <v>1.2473888274846783</v>
      </c>
      <c r="H75" s="73">
        <v>1.6956917712878519</v>
      </c>
      <c r="I75" s="72">
        <v>1.3547925689884153</v>
      </c>
      <c r="J75" s="72">
        <v>1.3273860296617999</v>
      </c>
      <c r="K75" s="72">
        <v>1.2130148396502207</v>
      </c>
      <c r="L75" s="73">
        <v>1.4886479498627494</v>
      </c>
      <c r="M75" s="72">
        <v>1.2963265147528467</v>
      </c>
      <c r="N75" s="72">
        <v>1.1507266057783547</v>
      </c>
      <c r="O75" s="72">
        <v>1.2230182757283086</v>
      </c>
      <c r="P75" s="72">
        <v>1.9613692869198238</v>
      </c>
    </row>
    <row r="76" spans="2:51" x14ac:dyDescent="0.3">
      <c r="B76" s="292"/>
      <c r="C76" s="9" t="s">
        <v>179</v>
      </c>
      <c r="D76" s="72">
        <v>1.2148942632757624</v>
      </c>
      <c r="E76" s="72">
        <v>1.1748223408083509</v>
      </c>
      <c r="F76" s="73">
        <v>1.1344896057620608</v>
      </c>
      <c r="G76" s="72">
        <v>1.2894999109430509</v>
      </c>
      <c r="H76" s="73">
        <v>1.6536932608333856</v>
      </c>
      <c r="I76" s="72">
        <v>1.4184055624142393</v>
      </c>
      <c r="J76" s="72">
        <v>1.4172015078008617</v>
      </c>
      <c r="K76" s="72">
        <v>1.287054333034759</v>
      </c>
      <c r="L76" s="73">
        <v>1.4273263870289443</v>
      </c>
      <c r="M76" s="72">
        <v>1.2213888267277184</v>
      </c>
      <c r="N76" s="72">
        <v>1.1342737464959851</v>
      </c>
      <c r="O76" s="72">
        <v>1.3116783727610035</v>
      </c>
      <c r="P76" s="72">
        <v>1.2445954239791546</v>
      </c>
    </row>
    <row r="77" spans="2:51" x14ac:dyDescent="0.3">
      <c r="B77" s="298"/>
      <c r="C77" s="12" t="s">
        <v>180</v>
      </c>
      <c r="D77" s="76">
        <v>1.1962755207816387</v>
      </c>
      <c r="E77" s="76">
        <v>1.1923869352866043</v>
      </c>
      <c r="F77" s="77">
        <v>1.1557949561847276</v>
      </c>
      <c r="G77" s="76">
        <v>1.4497725880722656</v>
      </c>
      <c r="H77" s="77">
        <v>1.568954866147892</v>
      </c>
      <c r="I77" s="76">
        <v>1.3589186227755401</v>
      </c>
      <c r="J77" s="76">
        <v>1.3801593711952307</v>
      </c>
      <c r="K77" s="76">
        <v>1.2085739354507095</v>
      </c>
      <c r="L77" s="77">
        <v>1.5002133485340654</v>
      </c>
      <c r="M77" s="76">
        <v>1.1972135744415542</v>
      </c>
      <c r="N77" s="76">
        <v>1.2366212040990929</v>
      </c>
      <c r="O77" s="76">
        <v>1.1403114815554789</v>
      </c>
      <c r="P77" s="76">
        <v>1.1783069054875508</v>
      </c>
    </row>
    <row r="78" spans="2:51" x14ac:dyDescent="0.3">
      <c r="B78" s="292" t="s">
        <v>223</v>
      </c>
      <c r="C78" s="9" t="s">
        <v>210</v>
      </c>
      <c r="D78" s="72">
        <v>1.6001709189746169</v>
      </c>
      <c r="E78" s="72">
        <v>1.2013562911887887</v>
      </c>
      <c r="F78" s="73">
        <v>1.0978637458701508</v>
      </c>
      <c r="G78" s="72">
        <v>1.5804045912462548</v>
      </c>
      <c r="H78" s="73">
        <v>1.7032922299222069</v>
      </c>
      <c r="I78" s="72">
        <v>1.6177635635865928</v>
      </c>
      <c r="J78" s="72">
        <v>1.4192409726122699</v>
      </c>
      <c r="K78" s="72">
        <v>1.2056161855512804</v>
      </c>
      <c r="L78" s="73">
        <v>1.6087157998741624</v>
      </c>
      <c r="M78" s="72">
        <v>1.331108767231411</v>
      </c>
      <c r="N78" s="72">
        <v>0</v>
      </c>
      <c r="O78" s="72">
        <v>0</v>
      </c>
      <c r="P78" s="72">
        <v>0</v>
      </c>
    </row>
    <row r="79" spans="2:51" x14ac:dyDescent="0.3">
      <c r="B79" s="292"/>
      <c r="C79" s="9" t="s">
        <v>211</v>
      </c>
      <c r="D79" s="72">
        <v>1.0808357969971119</v>
      </c>
      <c r="E79" s="72">
        <v>1.1370736754206738</v>
      </c>
      <c r="F79" s="73">
        <v>1.1153049257625909</v>
      </c>
      <c r="G79" s="72">
        <v>1.2461344805595298</v>
      </c>
      <c r="H79" s="73">
        <v>1.5984988270620335</v>
      </c>
      <c r="I79" s="72">
        <v>1.3857113502146865</v>
      </c>
      <c r="J79" s="72">
        <v>1.2294066402581618</v>
      </c>
      <c r="K79" s="72">
        <v>1.1978529133934517</v>
      </c>
      <c r="L79" s="73">
        <v>1.3067942175899931</v>
      </c>
      <c r="M79" s="72">
        <v>1.240336044760981</v>
      </c>
      <c r="N79" s="72">
        <v>1.1516503885289766</v>
      </c>
      <c r="O79" s="72">
        <v>1</v>
      </c>
      <c r="P79" s="72">
        <v>1</v>
      </c>
    </row>
    <row r="80" spans="2:51" x14ac:dyDescent="0.3">
      <c r="B80" s="292"/>
      <c r="C80" s="9" t="s">
        <v>212</v>
      </c>
      <c r="D80" s="72">
        <v>1.1709447393389452</v>
      </c>
      <c r="E80" s="72">
        <v>1.1870174632777788</v>
      </c>
      <c r="F80" s="73">
        <v>1.1674630840690452</v>
      </c>
      <c r="G80" s="72">
        <v>1.1718261987008431</v>
      </c>
      <c r="H80" s="73">
        <v>1.6613705112441997</v>
      </c>
      <c r="I80" s="72">
        <v>1.4710187313662408</v>
      </c>
      <c r="J80" s="72">
        <v>1.2204837159265023</v>
      </c>
      <c r="K80" s="72">
        <v>1.1870838749977566</v>
      </c>
      <c r="L80" s="73">
        <v>1.3319018927579862</v>
      </c>
      <c r="M80" s="72">
        <v>1.3388818185383764</v>
      </c>
      <c r="N80" s="72">
        <v>1.3570023209323137</v>
      </c>
      <c r="O80" s="72">
        <v>1.226438478757528</v>
      </c>
      <c r="P80" s="72">
        <v>1</v>
      </c>
    </row>
    <row r="81" spans="2:16" x14ac:dyDescent="0.3">
      <c r="B81" s="292"/>
      <c r="C81" s="9" t="s">
        <v>213</v>
      </c>
      <c r="D81" s="72">
        <v>1.1040756829985476</v>
      </c>
      <c r="E81" s="72">
        <v>1.18666136537805</v>
      </c>
      <c r="F81" s="73">
        <v>1.1531003143868201</v>
      </c>
      <c r="G81" s="72">
        <v>1.257905181517124</v>
      </c>
      <c r="H81" s="73">
        <v>1.5658689176691933</v>
      </c>
      <c r="I81" s="72">
        <v>1.4002019577986931</v>
      </c>
      <c r="J81" s="72">
        <v>1.3645936873593609</v>
      </c>
      <c r="K81" s="72">
        <v>1.2037446389308597</v>
      </c>
      <c r="L81" s="73">
        <v>1.5135143940638462</v>
      </c>
      <c r="M81" s="72">
        <v>1.2379386524173628</v>
      </c>
      <c r="N81" s="72">
        <v>1.1844003755347776</v>
      </c>
      <c r="O81" s="72">
        <v>1.1517587330325432</v>
      </c>
      <c r="P81" s="72">
        <v>1.9415484793370226</v>
      </c>
    </row>
    <row r="82" spans="2:16" x14ac:dyDescent="0.3">
      <c r="B82" s="292"/>
      <c r="C82" s="9" t="s">
        <v>214</v>
      </c>
      <c r="D82" s="72">
        <v>1.2051488449213166</v>
      </c>
      <c r="E82" s="72">
        <v>1.1350415374467175</v>
      </c>
      <c r="F82" s="73">
        <v>1.1406383541903409</v>
      </c>
      <c r="G82" s="72">
        <v>1.3137018422882631</v>
      </c>
      <c r="H82" s="73">
        <v>1.6402113546816588</v>
      </c>
      <c r="I82" s="72">
        <v>1.4299530945244974</v>
      </c>
      <c r="J82" s="72">
        <v>1.1537933701433838</v>
      </c>
      <c r="K82" s="72">
        <v>1.3567732139140722</v>
      </c>
      <c r="L82" s="73">
        <v>1.3184191388766349</v>
      </c>
      <c r="M82" s="72">
        <v>1.2053758534291514</v>
      </c>
      <c r="N82" s="72">
        <v>1.3099866164456471</v>
      </c>
      <c r="O82" s="72">
        <v>1.2314310419436216</v>
      </c>
      <c r="P82" s="72">
        <v>1</v>
      </c>
    </row>
    <row r="83" spans="2:16" x14ac:dyDescent="0.3">
      <c r="B83" s="292"/>
      <c r="C83" s="12" t="s">
        <v>215</v>
      </c>
      <c r="D83" s="76">
        <v>1.242079587363172</v>
      </c>
      <c r="E83" s="76">
        <v>1.2381270697628579</v>
      </c>
      <c r="F83" s="77">
        <v>1.1771650231504103</v>
      </c>
      <c r="G83" s="76">
        <v>1.3063110514004876</v>
      </c>
      <c r="H83" s="77">
        <v>1.5151270854553682</v>
      </c>
      <c r="I83" s="76">
        <v>1.3250661389437532</v>
      </c>
      <c r="J83" s="76">
        <v>1.2572010251312966</v>
      </c>
      <c r="K83" s="76">
        <v>1.2607207430791878</v>
      </c>
      <c r="L83" s="77">
        <v>1.2951407257247807</v>
      </c>
      <c r="M83" s="76">
        <v>1.1791990253573366</v>
      </c>
      <c r="N83" s="76">
        <v>1.15137214996891</v>
      </c>
      <c r="O83" s="76">
        <v>1.1537761367909143</v>
      </c>
      <c r="P83" s="76">
        <v>1</v>
      </c>
    </row>
    <row r="84" spans="2:16" x14ac:dyDescent="0.3">
      <c r="B84" s="292"/>
      <c r="C84" s="9" t="s">
        <v>216</v>
      </c>
      <c r="D84" s="72">
        <v>1.2761211958335306</v>
      </c>
      <c r="E84" s="72">
        <v>1.2002316276383251</v>
      </c>
      <c r="F84" s="73">
        <v>1.251041442572747</v>
      </c>
      <c r="G84" s="72">
        <v>1.3849645589595032</v>
      </c>
      <c r="H84" s="73">
        <v>1.9952934375342186</v>
      </c>
      <c r="I84" s="72">
        <v>1.0504926347900341</v>
      </c>
      <c r="J84" s="72">
        <v>1.466332556877743</v>
      </c>
      <c r="K84" s="72">
        <v>1.3863774451591315</v>
      </c>
      <c r="L84" s="73">
        <v>1.4236672494907074</v>
      </c>
      <c r="M84" s="72">
        <v>1.4255228992686779</v>
      </c>
      <c r="N84" s="72">
        <v>1.0291671366199964</v>
      </c>
      <c r="O84" s="72">
        <v>1.495158246389346</v>
      </c>
      <c r="P84" s="72">
        <v>0</v>
      </c>
    </row>
    <row r="85" spans="2:16" x14ac:dyDescent="0.3">
      <c r="B85" s="292"/>
      <c r="C85" s="9" t="s">
        <v>217</v>
      </c>
      <c r="D85" s="72">
        <v>1.2423976163802692</v>
      </c>
      <c r="E85" s="72">
        <v>1.1955920379175231</v>
      </c>
      <c r="F85" s="73">
        <v>1.2400126211470019</v>
      </c>
      <c r="G85" s="72">
        <v>1.3164912169918459</v>
      </c>
      <c r="H85" s="73">
        <v>1.7336239074974773</v>
      </c>
      <c r="I85" s="72">
        <v>1.465343296221129</v>
      </c>
      <c r="J85" s="72">
        <v>1.5713046309153973</v>
      </c>
      <c r="K85" s="72">
        <v>1.3840376330105169</v>
      </c>
      <c r="L85" s="73">
        <v>1.4723332142269259</v>
      </c>
      <c r="M85" s="72">
        <v>1.3850329194025099</v>
      </c>
      <c r="N85" s="72">
        <v>1.2606364110241013</v>
      </c>
      <c r="O85" s="72">
        <v>1.2578613157769352</v>
      </c>
      <c r="P85" s="72">
        <v>1.1375005098244997</v>
      </c>
    </row>
    <row r="86" spans="2:16" x14ac:dyDescent="0.3">
      <c r="B86" s="292"/>
      <c r="C86" s="9" t="s">
        <v>218</v>
      </c>
      <c r="D86" s="72">
        <v>1.1699665396441792</v>
      </c>
      <c r="E86" s="72">
        <v>1.1521238543357084</v>
      </c>
      <c r="F86" s="73">
        <v>1.1426678399327339</v>
      </c>
      <c r="G86" s="72">
        <v>1.3040734273523631</v>
      </c>
      <c r="H86" s="73">
        <v>1.8721099134730115</v>
      </c>
      <c r="I86" s="72">
        <v>1.2705732006886972</v>
      </c>
      <c r="J86" s="72">
        <v>1.3400781579125298</v>
      </c>
      <c r="K86" s="72">
        <v>1.2312543886422218</v>
      </c>
      <c r="L86" s="73">
        <v>1.4939534094587033</v>
      </c>
      <c r="M86" s="72">
        <v>1.2035052362916245</v>
      </c>
      <c r="N86" s="72">
        <v>1.3054566367750928</v>
      </c>
      <c r="O86" s="72">
        <v>1.3306193290256141</v>
      </c>
      <c r="P86" s="72">
        <v>3.7886220715875596</v>
      </c>
    </row>
    <row r="87" spans="2:16" x14ac:dyDescent="0.3">
      <c r="B87" s="292"/>
      <c r="C87" s="9" t="s">
        <v>219</v>
      </c>
      <c r="D87" s="72">
        <v>1.15731023989717</v>
      </c>
      <c r="E87" s="72">
        <v>1.1074338502358874</v>
      </c>
      <c r="F87" s="73">
        <v>1.0860371073513244</v>
      </c>
      <c r="G87" s="72">
        <v>1.2399161945794868</v>
      </c>
      <c r="H87" s="73">
        <v>1.7940735570045452</v>
      </c>
      <c r="I87" s="72">
        <v>1.3032615932641105</v>
      </c>
      <c r="J87" s="72">
        <v>1.3083203320687069</v>
      </c>
      <c r="K87" s="72">
        <v>1.2170307091146277</v>
      </c>
      <c r="L87" s="73">
        <v>1.4706295658698942</v>
      </c>
      <c r="M87" s="72">
        <v>1.3358904714490316</v>
      </c>
      <c r="N87" s="72">
        <v>1.1408906693416032</v>
      </c>
      <c r="O87" s="72">
        <v>1.2290050512093553</v>
      </c>
      <c r="P87" s="72">
        <v>1.9719597845504195</v>
      </c>
    </row>
    <row r="88" spans="2:16" x14ac:dyDescent="0.3">
      <c r="B88" s="292"/>
      <c r="C88" s="9" t="s">
        <v>220</v>
      </c>
      <c r="D88" s="72">
        <v>1.2210506522863886</v>
      </c>
      <c r="E88" s="72">
        <v>1.2118593368670052</v>
      </c>
      <c r="F88" s="73">
        <v>1.1282948292443935</v>
      </c>
      <c r="G88" s="72">
        <v>1.2750832148116336</v>
      </c>
      <c r="H88" s="73">
        <v>1.6630357154792015</v>
      </c>
      <c r="I88" s="72">
        <v>1.4063702461210996</v>
      </c>
      <c r="J88" s="72">
        <v>1.5074723959776708</v>
      </c>
      <c r="K88" s="72">
        <v>1.2653660699877927</v>
      </c>
      <c r="L88" s="73">
        <v>1.5135351521616365</v>
      </c>
      <c r="M88" s="72">
        <v>1.2322396382751348</v>
      </c>
      <c r="N88" s="72">
        <v>1.0953844948967006</v>
      </c>
      <c r="O88" s="72">
        <v>1.3215475907705305</v>
      </c>
      <c r="P88" s="72">
        <v>1.4245514083943314</v>
      </c>
    </row>
    <row r="89" spans="2:16" x14ac:dyDescent="0.3">
      <c r="B89" s="295"/>
      <c r="C89" s="9" t="s">
        <v>221</v>
      </c>
      <c r="D89" s="76">
        <v>1.172843530022355</v>
      </c>
      <c r="E89" s="76">
        <v>1.1544293043226548</v>
      </c>
      <c r="F89" s="77">
        <v>1.139261890744329</v>
      </c>
      <c r="G89" s="76">
        <v>1.5341961792547139</v>
      </c>
      <c r="H89" s="77">
        <v>1.602851015302649</v>
      </c>
      <c r="I89" s="76">
        <v>1.3916228036873239</v>
      </c>
      <c r="J89" s="76">
        <v>1.4145778995173837</v>
      </c>
      <c r="K89" s="76">
        <v>1.1891036674035198</v>
      </c>
      <c r="L89" s="77">
        <v>1.631162669697477</v>
      </c>
      <c r="M89" s="76">
        <v>1.2111686508640001</v>
      </c>
      <c r="N89" s="76">
        <v>1.2542058252782744</v>
      </c>
      <c r="O89" s="76">
        <v>1.1391292020704267</v>
      </c>
      <c r="P89" s="76">
        <v>1.2023604642479997</v>
      </c>
    </row>
    <row r="90" spans="2:16" ht="16.5" customHeight="1" x14ac:dyDescent="0.3">
      <c r="B90" s="291" t="s">
        <v>222</v>
      </c>
      <c r="C90" s="13" t="s">
        <v>226</v>
      </c>
      <c r="D90" s="74">
        <v>1.1823563660596854</v>
      </c>
      <c r="E90" s="74">
        <v>1.2106833056978086</v>
      </c>
      <c r="F90" s="74">
        <v>1.1900531267604055</v>
      </c>
      <c r="G90" s="74">
        <v>1.3138090496155648</v>
      </c>
      <c r="H90" s="74">
        <v>1.7114396827462397</v>
      </c>
      <c r="I90" s="74">
        <v>1.4106302790959735</v>
      </c>
      <c r="J90" s="74">
        <v>1.4317557891496766</v>
      </c>
      <c r="K90" s="74">
        <v>1.2249270988255976</v>
      </c>
      <c r="L90" s="74">
        <v>1.5107104324625824</v>
      </c>
      <c r="M90" s="74">
        <v>1.2233781669616997</v>
      </c>
      <c r="N90" s="74">
        <v>1.1991638774787814</v>
      </c>
      <c r="O90" s="74">
        <v>1.2685268636447971</v>
      </c>
      <c r="P90" s="74">
        <v>1.886127422084984</v>
      </c>
    </row>
    <row r="91" spans="2:16" x14ac:dyDescent="0.3">
      <c r="B91" s="294"/>
      <c r="C91" s="9" t="s">
        <v>227</v>
      </c>
      <c r="D91" s="72">
        <v>1.2370903767805006</v>
      </c>
      <c r="E91" s="72">
        <v>1.1618499361583179</v>
      </c>
      <c r="F91" s="72">
        <v>1.1175625456829772</v>
      </c>
      <c r="G91" s="72">
        <v>1.3077297453405015</v>
      </c>
      <c r="H91" s="72">
        <v>1.715900858156669</v>
      </c>
      <c r="I91" s="72">
        <v>1.3901907311445663</v>
      </c>
      <c r="J91" s="72">
        <v>1.3403740948938176</v>
      </c>
      <c r="K91" s="72">
        <v>1.3061237145303999</v>
      </c>
      <c r="L91" s="72">
        <v>1.4489479722755116</v>
      </c>
      <c r="M91" s="72">
        <v>1.3357472002650965</v>
      </c>
      <c r="N91" s="72">
        <v>1.218301607390373</v>
      </c>
      <c r="O91" s="72">
        <v>1.2515174491142298</v>
      </c>
      <c r="P91" s="72">
        <v>1.7553832489182168</v>
      </c>
    </row>
    <row r="92" spans="2:16" x14ac:dyDescent="0.3">
      <c r="B92" s="292"/>
      <c r="C92" s="9" t="s">
        <v>228</v>
      </c>
      <c r="D92" s="72">
        <v>1.0892155083476494</v>
      </c>
      <c r="E92" s="72">
        <v>1.1643825862937294</v>
      </c>
      <c r="F92" s="72">
        <v>1.1390386440223002</v>
      </c>
      <c r="G92" s="72">
        <v>1.2545248829390365</v>
      </c>
      <c r="H92" s="72">
        <v>1.6695896755125419</v>
      </c>
      <c r="I92" s="72">
        <v>1.3609983473414684</v>
      </c>
      <c r="J92" s="72">
        <v>1.3497370242204489</v>
      </c>
      <c r="K92" s="72">
        <v>1.2664821944892914</v>
      </c>
      <c r="L92" s="72">
        <v>1.4468422810579382</v>
      </c>
      <c r="M92" s="72">
        <v>1.2599825340992945</v>
      </c>
      <c r="N92" s="72">
        <v>1.2218726366810311</v>
      </c>
      <c r="O92" s="72">
        <v>1.2542475355067535</v>
      </c>
      <c r="P92" s="72">
        <v>1.1118767259441025</v>
      </c>
    </row>
    <row r="93" spans="2:16" x14ac:dyDescent="0.3">
      <c r="B93" s="295"/>
      <c r="C93" s="12" t="s">
        <v>229</v>
      </c>
      <c r="D93" s="76">
        <v>1.1791309612626064</v>
      </c>
      <c r="E93" s="76">
        <v>1.1471428706811153</v>
      </c>
      <c r="F93" s="76">
        <v>1.1451694991022909</v>
      </c>
      <c r="G93" s="76">
        <v>1.2961604091882248</v>
      </c>
      <c r="H93" s="76">
        <v>1.6723204358746155</v>
      </c>
      <c r="I93" s="76">
        <v>1.3692349522902654</v>
      </c>
      <c r="J93" s="76">
        <v>1.3959552498789733</v>
      </c>
      <c r="K93" s="76">
        <v>1.2429953389324355</v>
      </c>
      <c r="L93" s="76">
        <v>1.4104845378178748</v>
      </c>
      <c r="M93" s="76">
        <v>1.2586061922211471</v>
      </c>
      <c r="N93" s="76">
        <v>1.1966758232977766</v>
      </c>
      <c r="O93" s="76">
        <v>1.231983453612034</v>
      </c>
      <c r="P93" s="76">
        <v>1.6073222137491292</v>
      </c>
    </row>
    <row r="94" spans="2:16" x14ac:dyDescent="0.3">
      <c r="B94" s="296" t="s">
        <v>199</v>
      </c>
      <c r="C94" s="13" t="s">
        <v>192</v>
      </c>
      <c r="D94" s="74">
        <v>1.1503604128571783</v>
      </c>
      <c r="E94" s="74">
        <v>1.1669523003615143</v>
      </c>
      <c r="F94" s="74">
        <v>1.1544969187452701</v>
      </c>
      <c r="G94" s="74">
        <v>1.292354568365317</v>
      </c>
      <c r="H94" s="74">
        <v>1.6816229604593973</v>
      </c>
      <c r="I94" s="74">
        <v>1.347612544908299</v>
      </c>
      <c r="J94" s="74">
        <v>1.3489525323165161</v>
      </c>
      <c r="K94" s="74">
        <v>1.3070039036053211</v>
      </c>
      <c r="L94" s="74">
        <v>1.4222508992292671</v>
      </c>
      <c r="M94" s="74">
        <v>1.2511144562166054</v>
      </c>
      <c r="N94" s="74">
        <v>1.2016623291335538</v>
      </c>
      <c r="O94" s="74">
        <v>1.2536335596203165</v>
      </c>
      <c r="P94" s="74">
        <v>1.483948907115942</v>
      </c>
    </row>
    <row r="95" spans="2:16" ht="16.5" customHeight="1" x14ac:dyDescent="0.3">
      <c r="B95" s="292"/>
      <c r="C95" s="9" t="s">
        <v>200</v>
      </c>
      <c r="D95" s="72">
        <v>1.1429886509833036</v>
      </c>
      <c r="E95" s="72">
        <v>1.0964283713032426</v>
      </c>
      <c r="F95" s="72">
        <v>1.1626125954890207</v>
      </c>
      <c r="G95" s="72">
        <v>1.2479571854198497</v>
      </c>
      <c r="H95" s="72">
        <v>1.7855690387143008</v>
      </c>
      <c r="I95" s="72">
        <v>1.4764503241074804</v>
      </c>
      <c r="J95" s="72">
        <v>1.5593187434004063</v>
      </c>
      <c r="K95" s="72">
        <v>1.3237920917395003</v>
      </c>
      <c r="L95" s="72">
        <v>1.4590405182410684</v>
      </c>
      <c r="M95" s="72">
        <v>1.3823310112942739</v>
      </c>
      <c r="N95" s="72">
        <v>1.4723592836452504</v>
      </c>
      <c r="O95" s="72">
        <v>1.1911788793877554</v>
      </c>
      <c r="P95" s="72">
        <v>3.293688557849817</v>
      </c>
    </row>
    <row r="96" spans="2:16" ht="16.5" customHeight="1" x14ac:dyDescent="0.3">
      <c r="B96" s="292"/>
      <c r="C96" s="9" t="s">
        <v>201</v>
      </c>
      <c r="D96" s="72">
        <v>1.2668016693257871</v>
      </c>
      <c r="E96" s="72">
        <v>1.1510454429562242</v>
      </c>
      <c r="F96" s="72">
        <v>1.0852224902422662</v>
      </c>
      <c r="G96" s="72">
        <v>1.3000044132363671</v>
      </c>
      <c r="H96" s="72">
        <v>1.6747551438665349</v>
      </c>
      <c r="I96" s="72">
        <v>1.2900333659781829</v>
      </c>
      <c r="J96" s="72">
        <v>1.4047698264613715</v>
      </c>
      <c r="K96" s="72">
        <v>1.1489732669881298</v>
      </c>
      <c r="L96" s="72">
        <v>1.4774913791339519</v>
      </c>
      <c r="M96" s="72">
        <v>1.2662811925696307</v>
      </c>
      <c r="N96" s="72">
        <v>1.2249292910017961</v>
      </c>
      <c r="O96" s="72">
        <v>1.2881525405984817</v>
      </c>
      <c r="P96" s="72">
        <v>1.2829340327541978</v>
      </c>
    </row>
    <row r="97" spans="2:51" ht="16.5" customHeight="1" x14ac:dyDescent="0.3">
      <c r="B97" s="292"/>
      <c r="C97" s="9" t="s">
        <v>202</v>
      </c>
      <c r="D97" s="72">
        <v>1.1803144142946149</v>
      </c>
      <c r="E97" s="72">
        <v>1.1793957030465649</v>
      </c>
      <c r="F97" s="72">
        <v>1.1620235444676814</v>
      </c>
      <c r="G97" s="72">
        <v>1.3834204358242779</v>
      </c>
      <c r="H97" s="72">
        <v>1.7826905764215355</v>
      </c>
      <c r="I97" s="72">
        <v>1.413383922478803</v>
      </c>
      <c r="J97" s="72">
        <v>1.509719628958706</v>
      </c>
      <c r="K97" s="72">
        <v>1.2725443345783851</v>
      </c>
      <c r="L97" s="72">
        <v>1.5654456844673399</v>
      </c>
      <c r="M97" s="72">
        <v>1.3265717642906893</v>
      </c>
      <c r="N97" s="72">
        <v>1.2245388964436865</v>
      </c>
      <c r="O97" s="72">
        <v>1.191389452081117</v>
      </c>
      <c r="P97" s="72">
        <v>1.9046491391766371</v>
      </c>
    </row>
    <row r="98" spans="2:51" x14ac:dyDescent="0.3">
      <c r="B98" s="295"/>
      <c r="C98" s="12" t="s">
        <v>203</v>
      </c>
      <c r="D98" s="76">
        <v>1.2151020415991931</v>
      </c>
      <c r="E98" s="76">
        <v>1.1964101810276464</v>
      </c>
      <c r="F98" s="76">
        <v>1.1496465239951945</v>
      </c>
      <c r="G98" s="76">
        <v>1.2747671868747388</v>
      </c>
      <c r="H98" s="76">
        <v>1.6809514861408204</v>
      </c>
      <c r="I98" s="76">
        <v>1.4727129620684554</v>
      </c>
      <c r="J98" s="76">
        <v>1.3573162667851297</v>
      </c>
      <c r="K98" s="76">
        <v>1.1868256968093569</v>
      </c>
      <c r="L98" s="76">
        <v>1.4646239009209605</v>
      </c>
      <c r="M98" s="76">
        <v>1.289411601610889</v>
      </c>
      <c r="N98" s="76">
        <v>1.1591410897172896</v>
      </c>
      <c r="O98" s="76">
        <v>1.2607829757021964</v>
      </c>
      <c r="P98" s="76">
        <v>1.5425083829961674</v>
      </c>
    </row>
    <row r="99" spans="2:51" x14ac:dyDescent="0.3">
      <c r="B99" s="291" t="s">
        <v>204</v>
      </c>
      <c r="C99" s="13" t="s">
        <v>192</v>
      </c>
      <c r="D99" s="74">
        <v>1.1503604128571783</v>
      </c>
      <c r="E99" s="74">
        <v>1.1669523003615143</v>
      </c>
      <c r="F99" s="74">
        <v>1.1544969187452701</v>
      </c>
      <c r="G99" s="74">
        <v>1.292354568365317</v>
      </c>
      <c r="H99" s="74">
        <v>1.6816229604593973</v>
      </c>
      <c r="I99" s="74">
        <v>1.347612544908299</v>
      </c>
      <c r="J99" s="74">
        <v>1.3489525323165161</v>
      </c>
      <c r="K99" s="74">
        <v>1.3070039036053211</v>
      </c>
      <c r="L99" s="74">
        <v>1.4222508992292671</v>
      </c>
      <c r="M99" s="74">
        <v>1.2511144562166054</v>
      </c>
      <c r="N99" s="74">
        <v>1.2016623291335538</v>
      </c>
      <c r="O99" s="74">
        <v>1.2536335596203165</v>
      </c>
      <c r="P99" s="74">
        <v>1.483948907115942</v>
      </c>
    </row>
    <row r="100" spans="2:51" x14ac:dyDescent="0.3">
      <c r="B100" s="295"/>
      <c r="C100" s="12" t="s">
        <v>193</v>
      </c>
      <c r="D100" s="76">
        <v>1.2128212325722649</v>
      </c>
      <c r="E100" s="76">
        <v>1.1748407536469054</v>
      </c>
      <c r="F100" s="76">
        <v>1.1398976240562324</v>
      </c>
      <c r="G100" s="76">
        <v>1.2982286782338532</v>
      </c>
      <c r="H100" s="76">
        <v>1.7066593253261897</v>
      </c>
      <c r="I100" s="76">
        <v>1.423082678165505</v>
      </c>
      <c r="J100" s="76">
        <v>1.4123214652138754</v>
      </c>
      <c r="K100" s="76">
        <v>1.2019976408743718</v>
      </c>
      <c r="L100" s="76">
        <v>1.4848608334843987</v>
      </c>
      <c r="M100" s="76">
        <v>1.2990062716241473</v>
      </c>
      <c r="N100" s="76">
        <v>1.2174420513066577</v>
      </c>
      <c r="O100" s="76">
        <v>1.2483446461476515</v>
      </c>
      <c r="P100" s="76">
        <v>1.6803768322824295</v>
      </c>
    </row>
    <row r="101" spans="2:51" x14ac:dyDescent="0.3">
      <c r="B101" s="291" t="s">
        <v>209</v>
      </c>
      <c r="C101" s="13" t="s">
        <v>205</v>
      </c>
      <c r="D101" s="74">
        <v>1.2165708048524522</v>
      </c>
      <c r="E101" s="74">
        <v>1.1729760691175906</v>
      </c>
      <c r="F101" s="74">
        <v>1.1051099886430122</v>
      </c>
      <c r="G101" s="74">
        <v>1.1731302900914646</v>
      </c>
      <c r="H101" s="74">
        <v>1.6613960813641464</v>
      </c>
      <c r="I101" s="74">
        <v>1.384220435261607</v>
      </c>
      <c r="J101" s="74">
        <v>1.4018516149764209</v>
      </c>
      <c r="K101" s="74">
        <v>1.193317956421017</v>
      </c>
      <c r="L101" s="74">
        <v>1.5357475797519222</v>
      </c>
      <c r="M101" s="74">
        <v>1.2889100428792533</v>
      </c>
      <c r="N101" s="74">
        <v>1.3630244049899392</v>
      </c>
      <c r="O101" s="74">
        <v>1.3091128780517536</v>
      </c>
      <c r="P101" s="74">
        <v>1.463369264241503</v>
      </c>
    </row>
    <row r="102" spans="2:51" x14ac:dyDescent="0.3">
      <c r="B102" s="292"/>
      <c r="C102" s="9" t="s">
        <v>206</v>
      </c>
      <c r="D102" s="72">
        <v>1.1505683656019647</v>
      </c>
      <c r="E102" s="72">
        <v>1.163050873022538</v>
      </c>
      <c r="F102" s="72">
        <v>1.188065875157382</v>
      </c>
      <c r="G102" s="72">
        <v>1.3416541942930278</v>
      </c>
      <c r="H102" s="72">
        <v>1.7524337420154465</v>
      </c>
      <c r="I102" s="72">
        <v>1.4106621843911431</v>
      </c>
      <c r="J102" s="72">
        <v>1.3196366363371281</v>
      </c>
      <c r="K102" s="72">
        <v>1.2755812744110071</v>
      </c>
      <c r="L102" s="72">
        <v>1.4423296114818576</v>
      </c>
      <c r="M102" s="72">
        <v>1.2853171588169243</v>
      </c>
      <c r="N102" s="72">
        <v>1.1718606059456778</v>
      </c>
      <c r="O102" s="72">
        <v>1.2003166683623814</v>
      </c>
      <c r="P102" s="72">
        <v>1.9413761307557074</v>
      </c>
    </row>
    <row r="103" spans="2:51" x14ac:dyDescent="0.3">
      <c r="B103" s="292"/>
      <c r="C103" s="9" t="s">
        <v>207</v>
      </c>
      <c r="D103" s="72">
        <v>1.2323780198669756</v>
      </c>
      <c r="E103" s="72">
        <v>1.1705726493412922</v>
      </c>
      <c r="F103" s="72">
        <v>1.1370150584499652</v>
      </c>
      <c r="G103" s="72">
        <v>1.261513030827391</v>
      </c>
      <c r="H103" s="72">
        <v>1.6732597852703266</v>
      </c>
      <c r="I103" s="72">
        <v>1.3634424121991411</v>
      </c>
      <c r="J103" s="72">
        <v>1.3970243726466194</v>
      </c>
      <c r="K103" s="72">
        <v>1.2688241479601166</v>
      </c>
      <c r="L103" s="72">
        <v>1.4647174188363976</v>
      </c>
      <c r="M103" s="72">
        <v>1.2536740815465401</v>
      </c>
      <c r="N103" s="72">
        <v>1.2134796345046601</v>
      </c>
      <c r="O103" s="72">
        <v>1.2906887945777732</v>
      </c>
      <c r="P103" s="72">
        <v>1.3817435295307547</v>
      </c>
    </row>
    <row r="104" spans="2:51" x14ac:dyDescent="0.3">
      <c r="B104" s="293"/>
      <c r="C104" s="25" t="s">
        <v>208</v>
      </c>
      <c r="D104" s="78">
        <v>1.136755788108724</v>
      </c>
      <c r="E104" s="78">
        <v>1.1733249481926793</v>
      </c>
      <c r="F104" s="78">
        <v>1.1564199656960026</v>
      </c>
      <c r="G104" s="78">
        <v>1.3439279835034856</v>
      </c>
      <c r="H104" s="78">
        <v>1.6904191992309927</v>
      </c>
      <c r="I104" s="78">
        <v>1.3821923927664868</v>
      </c>
      <c r="J104" s="78">
        <v>1.3733937624278638</v>
      </c>
      <c r="K104" s="78">
        <v>1.2789796399368365</v>
      </c>
      <c r="L104" s="78">
        <v>1.414781788138477</v>
      </c>
      <c r="M104" s="78">
        <v>1.2802986444382971</v>
      </c>
      <c r="N104" s="78">
        <v>1.1636728681372563</v>
      </c>
      <c r="O104" s="78">
        <v>1.2180510212902025</v>
      </c>
      <c r="P104" s="78">
        <v>1.5934522153913437</v>
      </c>
    </row>
    <row r="105" spans="2:51" x14ac:dyDescent="0.3">
      <c r="B105" s="60"/>
      <c r="C105" s="9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</row>
    <row r="106" spans="2:51" x14ac:dyDescent="0.3">
      <c r="B106" s="60"/>
      <c r="C106" s="9"/>
      <c r="D106" s="58"/>
      <c r="E106" s="58"/>
      <c r="F106" s="65"/>
      <c r="G106" s="58"/>
      <c r="H106" s="65"/>
      <c r="I106" s="58"/>
      <c r="J106" s="58"/>
      <c r="K106" s="58"/>
      <c r="L106" s="65"/>
      <c r="M106" s="58"/>
      <c r="N106" s="58"/>
    </row>
    <row r="107" spans="2:51" ht="18.75" customHeight="1" x14ac:dyDescent="0.3">
      <c r="B107" s="1" t="s">
        <v>135</v>
      </c>
      <c r="F107" s="304"/>
      <c r="G107" s="304"/>
      <c r="H107" s="304"/>
      <c r="I107" s="304"/>
      <c r="J107" s="304"/>
      <c r="K107" s="304"/>
      <c r="L107" s="304"/>
      <c r="M107" s="304"/>
      <c r="N107" s="304"/>
      <c r="O107" s="304"/>
      <c r="P107" s="304"/>
      <c r="Q107" s="304"/>
      <c r="R107" s="304"/>
      <c r="S107" s="304"/>
      <c r="T107" s="304"/>
      <c r="U107" s="304"/>
      <c r="V107" s="304"/>
      <c r="W107" s="304"/>
      <c r="X107" s="304"/>
      <c r="Y107" s="304"/>
      <c r="Z107" s="304"/>
      <c r="AA107" s="304"/>
      <c r="AB107" s="304"/>
      <c r="AC107" s="304"/>
      <c r="AD107" s="304"/>
      <c r="AE107" s="304"/>
      <c r="AF107" s="304"/>
      <c r="AG107" s="304"/>
      <c r="AH107" s="304"/>
      <c r="AI107" s="304"/>
      <c r="AJ107" s="304"/>
      <c r="AK107" s="304"/>
      <c r="AL107" s="304"/>
      <c r="AM107" s="304"/>
      <c r="AN107" s="304"/>
      <c r="AO107" s="304"/>
      <c r="AP107" s="304"/>
      <c r="AQ107" s="304"/>
      <c r="AR107" s="304"/>
      <c r="AS107" s="304"/>
      <c r="AT107" s="304"/>
      <c r="AU107" s="304"/>
      <c r="AV107" s="304"/>
      <c r="AW107" s="304"/>
      <c r="AX107" s="304"/>
      <c r="AY107" s="304"/>
    </row>
    <row r="108" spans="2:51" ht="13.5" customHeight="1" x14ac:dyDescent="0.3">
      <c r="M108" s="30"/>
      <c r="N108" s="30"/>
      <c r="O108" s="30"/>
      <c r="P108" s="30" t="s">
        <v>225</v>
      </c>
    </row>
    <row r="109" spans="2:51" ht="28.5" customHeight="1" x14ac:dyDescent="0.3">
      <c r="B109" s="305"/>
      <c r="C109" s="306"/>
      <c r="D109" s="226" t="s">
        <v>35</v>
      </c>
      <c r="E109" s="226" t="s">
        <v>280</v>
      </c>
      <c r="F109" s="226" t="s">
        <v>16</v>
      </c>
      <c r="G109" s="226" t="s">
        <v>232</v>
      </c>
      <c r="H109" s="226" t="s">
        <v>287</v>
      </c>
      <c r="I109" s="226" t="s">
        <v>32</v>
      </c>
      <c r="J109" s="226" t="s">
        <v>284</v>
      </c>
      <c r="K109" s="226" t="s">
        <v>285</v>
      </c>
      <c r="L109" s="226" t="s">
        <v>288</v>
      </c>
      <c r="M109" s="227" t="s">
        <v>17</v>
      </c>
      <c r="N109" s="227" t="s">
        <v>37</v>
      </c>
      <c r="O109" s="227" t="s">
        <v>19</v>
      </c>
      <c r="P109" s="227" t="s">
        <v>12</v>
      </c>
    </row>
    <row r="110" spans="2:51" x14ac:dyDescent="0.3">
      <c r="B110" s="292" t="s">
        <v>20</v>
      </c>
      <c r="C110" s="292"/>
      <c r="D110" s="86">
        <v>20.127966498988439</v>
      </c>
      <c r="E110" s="86">
        <v>17.124982769112563</v>
      </c>
      <c r="F110" s="88">
        <v>12.703588523737682</v>
      </c>
      <c r="G110" s="86">
        <v>7.8676922265123919</v>
      </c>
      <c r="H110" s="88">
        <v>6.721074278401753</v>
      </c>
      <c r="I110" s="86">
        <v>6.5677422861887944</v>
      </c>
      <c r="J110" s="86">
        <v>7.4980175451106108</v>
      </c>
      <c r="K110" s="86">
        <v>7.8971190462531924</v>
      </c>
      <c r="L110" s="88">
        <v>6.6085138370518051</v>
      </c>
      <c r="M110" s="86">
        <v>6.9157208361049083</v>
      </c>
      <c r="N110" s="86">
        <v>5.3713355935696327</v>
      </c>
      <c r="O110" s="86">
        <v>8.0025582656396299</v>
      </c>
      <c r="P110" s="86">
        <v>5.2593431982710088</v>
      </c>
    </row>
    <row r="111" spans="2:51" x14ac:dyDescent="0.3">
      <c r="B111" s="296" t="s">
        <v>5</v>
      </c>
      <c r="C111" s="13" t="s">
        <v>0</v>
      </c>
      <c r="D111" s="84">
        <v>20.046991578507797</v>
      </c>
      <c r="E111" s="84">
        <v>17.501710033968074</v>
      </c>
      <c r="F111" s="89">
        <v>13.565490657762636</v>
      </c>
      <c r="G111" s="84">
        <v>7.9578517977520686</v>
      </c>
      <c r="H111" s="89">
        <v>6.8726204727067177</v>
      </c>
      <c r="I111" s="84">
        <v>6.8469164862307288</v>
      </c>
      <c r="J111" s="84">
        <v>8.1717913271225591</v>
      </c>
      <c r="K111" s="84">
        <v>8.8882157923561138</v>
      </c>
      <c r="L111" s="89">
        <v>7.0038589215198153</v>
      </c>
      <c r="M111" s="84">
        <v>7.3816996769308716</v>
      </c>
      <c r="N111" s="84">
        <v>8.0370106201918947</v>
      </c>
      <c r="O111" s="84">
        <v>12.935636781488361</v>
      </c>
      <c r="P111" s="84">
        <v>6.5204916503783439</v>
      </c>
    </row>
    <row r="112" spans="2:51" x14ac:dyDescent="0.3">
      <c r="B112" s="295"/>
      <c r="C112" s="12" t="s">
        <v>1</v>
      </c>
      <c r="D112" s="90">
        <v>20.202670795796678</v>
      </c>
      <c r="E112" s="90">
        <v>16.761656969363308</v>
      </c>
      <c r="F112" s="90">
        <v>11.765995952876859</v>
      </c>
      <c r="G112" s="90">
        <v>7.797683247714799</v>
      </c>
      <c r="H112" s="90">
        <v>6.6064662205510247</v>
      </c>
      <c r="I112" s="90">
        <v>6.2774750639073984</v>
      </c>
      <c r="J112" s="90">
        <v>7.1715462143808972</v>
      </c>
      <c r="K112" s="90">
        <v>7.4976801955750787</v>
      </c>
      <c r="L112" s="90">
        <v>6.3046966727035603</v>
      </c>
      <c r="M112" s="90">
        <v>6.5782585257489545</v>
      </c>
      <c r="N112" s="90">
        <v>4.9648593467151363</v>
      </c>
      <c r="O112" s="90">
        <v>7.5651444013093201</v>
      </c>
      <c r="P112" s="90">
        <v>4.6360671833172056</v>
      </c>
    </row>
    <row r="113" spans="2:16" x14ac:dyDescent="0.3">
      <c r="B113" s="296" t="s">
        <v>4</v>
      </c>
      <c r="C113" s="9" t="s">
        <v>175</v>
      </c>
      <c r="D113" s="86">
        <v>12.864650995753582</v>
      </c>
      <c r="E113" s="86">
        <v>11.093728018795032</v>
      </c>
      <c r="F113" s="88">
        <v>6.6968825337558187</v>
      </c>
      <c r="G113" s="86">
        <v>6.7878784832974679</v>
      </c>
      <c r="H113" s="88">
        <v>5.5971467074436898</v>
      </c>
      <c r="I113" s="86">
        <v>2.945193616362201</v>
      </c>
      <c r="J113" s="86">
        <v>4.3514515569648244</v>
      </c>
      <c r="K113" s="86">
        <v>5.1641289723029073</v>
      </c>
      <c r="L113" s="88">
        <v>4.1954983856497599</v>
      </c>
      <c r="M113" s="86">
        <v>4.6006447040225362</v>
      </c>
      <c r="N113" s="86">
        <v>2.1708745621462469</v>
      </c>
      <c r="O113" s="86">
        <v>3.6777279333909925</v>
      </c>
      <c r="P113" s="86">
        <v>0</v>
      </c>
    </row>
    <row r="114" spans="2:16" x14ac:dyDescent="0.3">
      <c r="B114" s="292"/>
      <c r="C114" s="9" t="s">
        <v>176</v>
      </c>
      <c r="D114" s="86">
        <v>15.512832191162136</v>
      </c>
      <c r="E114" s="86">
        <v>13.582538494676356</v>
      </c>
      <c r="F114" s="88">
        <v>11.518741741070723</v>
      </c>
      <c r="G114" s="86">
        <v>7.8663474151614716</v>
      </c>
      <c r="H114" s="88">
        <v>5.8759425163630867</v>
      </c>
      <c r="I114" s="86">
        <v>6.1842863595680502</v>
      </c>
      <c r="J114" s="86">
        <v>6.9654456083423213</v>
      </c>
      <c r="K114" s="86">
        <v>6.6270123212146359</v>
      </c>
      <c r="L114" s="88">
        <v>6.2245714858489016</v>
      </c>
      <c r="M114" s="86">
        <v>5.7616937718221513</v>
      </c>
      <c r="N114" s="86">
        <v>4.8080259374432313</v>
      </c>
      <c r="O114" s="86">
        <v>6.8406193404669544</v>
      </c>
      <c r="P114" s="86">
        <v>6.2211175594425319</v>
      </c>
    </row>
    <row r="115" spans="2:16" x14ac:dyDescent="0.3">
      <c r="B115" s="292"/>
      <c r="C115" s="9" t="s">
        <v>177</v>
      </c>
      <c r="D115" s="86">
        <v>19.596596986172017</v>
      </c>
      <c r="E115" s="86">
        <v>16.169104130778511</v>
      </c>
      <c r="F115" s="88">
        <v>12.150443146115805</v>
      </c>
      <c r="G115" s="86">
        <v>7.4358603130159429</v>
      </c>
      <c r="H115" s="88">
        <v>6.572965323798047</v>
      </c>
      <c r="I115" s="86">
        <v>6.2081321432895686</v>
      </c>
      <c r="J115" s="86">
        <v>6.3435483086516102</v>
      </c>
      <c r="K115" s="86">
        <v>6.0340334632659882</v>
      </c>
      <c r="L115" s="88">
        <v>5.8235159828463559</v>
      </c>
      <c r="M115" s="86">
        <v>5.6316639031439815</v>
      </c>
      <c r="N115" s="86">
        <v>4.8586400468435498</v>
      </c>
      <c r="O115" s="86">
        <v>7.7884202336770159</v>
      </c>
      <c r="P115" s="86">
        <v>8.1802068215665891</v>
      </c>
    </row>
    <row r="116" spans="2:16" x14ac:dyDescent="0.3">
      <c r="B116" s="292"/>
      <c r="C116" s="9" t="s">
        <v>178</v>
      </c>
      <c r="D116" s="86">
        <v>22.659991092922567</v>
      </c>
      <c r="E116" s="86">
        <v>17.65524535891473</v>
      </c>
      <c r="F116" s="88">
        <v>11.789128887775842</v>
      </c>
      <c r="G116" s="86">
        <v>7.4887987790167809</v>
      </c>
      <c r="H116" s="88">
        <v>6.5312332207671355</v>
      </c>
      <c r="I116" s="86">
        <v>6.4924290458572154</v>
      </c>
      <c r="J116" s="86">
        <v>8.3959486808366162</v>
      </c>
      <c r="K116" s="86">
        <v>8.2389239205408433</v>
      </c>
      <c r="L116" s="88">
        <v>7.0317371173962551</v>
      </c>
      <c r="M116" s="86">
        <v>7.9819264846349691</v>
      </c>
      <c r="N116" s="86">
        <v>6.502504172511804</v>
      </c>
      <c r="O116" s="86">
        <v>7.4878797740000023</v>
      </c>
      <c r="P116" s="86">
        <v>3.4528839433303387</v>
      </c>
    </row>
    <row r="117" spans="2:16" x14ac:dyDescent="0.3">
      <c r="B117" s="292"/>
      <c r="C117" s="9" t="s">
        <v>179</v>
      </c>
      <c r="D117" s="86">
        <v>24.12164783482633</v>
      </c>
      <c r="E117" s="86">
        <v>19.05674675673156</v>
      </c>
      <c r="F117" s="88">
        <v>15.936941643760276</v>
      </c>
      <c r="G117" s="86">
        <v>8.6393862260198215</v>
      </c>
      <c r="H117" s="88">
        <v>7.0915198025348012</v>
      </c>
      <c r="I117" s="86">
        <v>7.1734713643617329</v>
      </c>
      <c r="J117" s="86">
        <v>7.8657569212843672</v>
      </c>
      <c r="K117" s="86">
        <v>8.9537565774616361</v>
      </c>
      <c r="L117" s="88">
        <v>6.9532098442014352</v>
      </c>
      <c r="M117" s="86">
        <v>7.3877947560347819</v>
      </c>
      <c r="N117" s="86">
        <v>6.0657793677981733</v>
      </c>
      <c r="O117" s="86">
        <v>10.872689889772868</v>
      </c>
      <c r="P117" s="86">
        <v>3.5005121257590743</v>
      </c>
    </row>
    <row r="118" spans="2:16" x14ac:dyDescent="0.3">
      <c r="B118" s="298"/>
      <c r="C118" s="12" t="s">
        <v>180</v>
      </c>
      <c r="D118" s="90">
        <v>21.61743556131119</v>
      </c>
      <c r="E118" s="90">
        <v>18.288709761169198</v>
      </c>
      <c r="F118" s="91">
        <v>13.30688540213376</v>
      </c>
      <c r="G118" s="90">
        <v>8.9844229510615961</v>
      </c>
      <c r="H118" s="91">
        <v>8.2404647894589793</v>
      </c>
      <c r="I118" s="90">
        <v>7.2006768313554215</v>
      </c>
      <c r="J118" s="90">
        <v>9.2389468794117242</v>
      </c>
      <c r="K118" s="90">
        <v>11.941197471549659</v>
      </c>
      <c r="L118" s="91">
        <v>7.5779880027827513</v>
      </c>
      <c r="M118" s="90">
        <v>8.7982329923078968</v>
      </c>
      <c r="N118" s="90">
        <v>5.345137245962861</v>
      </c>
      <c r="O118" s="90">
        <v>7.8779686908721658</v>
      </c>
      <c r="P118" s="90">
        <v>7.1957654581126835</v>
      </c>
    </row>
    <row r="119" spans="2:16" x14ac:dyDescent="0.3">
      <c r="B119" s="292" t="s">
        <v>223</v>
      </c>
      <c r="C119" s="9" t="s">
        <v>210</v>
      </c>
      <c r="D119" s="86">
        <v>12.708470011597118</v>
      </c>
      <c r="E119" s="86">
        <v>12.443543764295114</v>
      </c>
      <c r="F119" s="88">
        <v>5.6873026899762325</v>
      </c>
      <c r="G119" s="86">
        <v>7.0515970168048918</v>
      </c>
      <c r="H119" s="88">
        <v>5.6401436204265245</v>
      </c>
      <c r="I119" s="86">
        <v>3.665506522028176</v>
      </c>
      <c r="J119" s="86">
        <v>4.8182898181489557</v>
      </c>
      <c r="K119" s="86">
        <v>6.2011739056592532</v>
      </c>
      <c r="L119" s="88">
        <v>5.2036864599113413</v>
      </c>
      <c r="M119" s="86">
        <v>5.3947427265494143</v>
      </c>
      <c r="N119" s="86">
        <v>0</v>
      </c>
      <c r="O119" s="86">
        <v>0</v>
      </c>
      <c r="P119" s="86">
        <v>0</v>
      </c>
    </row>
    <row r="120" spans="2:16" x14ac:dyDescent="0.3">
      <c r="B120" s="292"/>
      <c r="C120" s="9" t="s">
        <v>211</v>
      </c>
      <c r="D120" s="86">
        <v>12.59953724615535</v>
      </c>
      <c r="E120" s="86">
        <v>13.43048839731888</v>
      </c>
      <c r="F120" s="88">
        <v>9.4397489309731277</v>
      </c>
      <c r="G120" s="86">
        <v>7.8200712442508005</v>
      </c>
      <c r="H120" s="88">
        <v>5.9995643345021428</v>
      </c>
      <c r="I120" s="86">
        <v>6.1357038436515836</v>
      </c>
      <c r="J120" s="86">
        <v>6.8786552156134491</v>
      </c>
      <c r="K120" s="86">
        <v>6.85894727175807</v>
      </c>
      <c r="L120" s="88">
        <v>6.5901938526762329</v>
      </c>
      <c r="M120" s="86">
        <v>5.6481607895541117</v>
      </c>
      <c r="N120" s="86">
        <v>6.3232933907609858</v>
      </c>
      <c r="O120" s="86">
        <v>3.9900702310292386</v>
      </c>
      <c r="P120" s="86">
        <v>10.029066263870698</v>
      </c>
    </row>
    <row r="121" spans="2:16" x14ac:dyDescent="0.3">
      <c r="B121" s="292"/>
      <c r="C121" s="9" t="s">
        <v>212</v>
      </c>
      <c r="D121" s="86">
        <v>19.81343262888171</v>
      </c>
      <c r="E121" s="86">
        <v>17.110464943741899</v>
      </c>
      <c r="F121" s="88">
        <v>12.732944971067202</v>
      </c>
      <c r="G121" s="86">
        <v>7.2605260813164278</v>
      </c>
      <c r="H121" s="88">
        <v>6.6761958616532082</v>
      </c>
      <c r="I121" s="86">
        <v>6.4947554933452052</v>
      </c>
      <c r="J121" s="86">
        <v>6.9495946565310369</v>
      </c>
      <c r="K121" s="86">
        <v>6.719896806266564</v>
      </c>
      <c r="L121" s="88">
        <v>5.9521515671692029</v>
      </c>
      <c r="M121" s="86">
        <v>6.4495200432739939</v>
      </c>
      <c r="N121" s="86">
        <v>7.0791612013555323</v>
      </c>
      <c r="O121" s="86">
        <v>7.2630803865496025</v>
      </c>
      <c r="P121" s="86">
        <v>9.569022771981011</v>
      </c>
    </row>
    <row r="122" spans="2:16" x14ac:dyDescent="0.3">
      <c r="B122" s="292"/>
      <c r="C122" s="9" t="s">
        <v>213</v>
      </c>
      <c r="D122" s="86">
        <v>21.370937247273304</v>
      </c>
      <c r="E122" s="86">
        <v>18.833112031847335</v>
      </c>
      <c r="F122" s="88">
        <v>12.548059436554027</v>
      </c>
      <c r="G122" s="86">
        <v>7.464284042193543</v>
      </c>
      <c r="H122" s="88">
        <v>6.9272585238375726</v>
      </c>
      <c r="I122" s="86">
        <v>6.6838682306155688</v>
      </c>
      <c r="J122" s="86">
        <v>11.089501067940413</v>
      </c>
      <c r="K122" s="86">
        <v>11.048711545325672</v>
      </c>
      <c r="L122" s="88">
        <v>7.5212453560200503</v>
      </c>
      <c r="M122" s="86">
        <v>9.8490378371929026</v>
      </c>
      <c r="N122" s="86">
        <v>10.1803785656261</v>
      </c>
      <c r="O122" s="86">
        <v>14.02893749010288</v>
      </c>
      <c r="P122" s="86">
        <v>3.0531472708512224</v>
      </c>
    </row>
    <row r="123" spans="2:16" x14ac:dyDescent="0.3">
      <c r="B123" s="292"/>
      <c r="C123" s="9" t="s">
        <v>214</v>
      </c>
      <c r="D123" s="86">
        <v>30.684977776795819</v>
      </c>
      <c r="E123" s="86">
        <v>18.902589510678961</v>
      </c>
      <c r="F123" s="88">
        <v>20.745308918928515</v>
      </c>
      <c r="G123" s="86">
        <v>9.7080662105725768</v>
      </c>
      <c r="H123" s="88">
        <v>7.8144175332962922</v>
      </c>
      <c r="I123" s="86">
        <v>7.8195011314305987</v>
      </c>
      <c r="J123" s="86">
        <v>9.699895061323117</v>
      </c>
      <c r="K123" s="86">
        <v>8.9935676043355031</v>
      </c>
      <c r="L123" s="88">
        <v>7.655595548730024</v>
      </c>
      <c r="M123" s="86">
        <v>8.0162330101064434</v>
      </c>
      <c r="N123" s="86">
        <v>6.9325519828756805</v>
      </c>
      <c r="O123" s="86">
        <v>25.519999831815273</v>
      </c>
      <c r="P123" s="86">
        <v>2.8245139708367364</v>
      </c>
    </row>
    <row r="124" spans="2:16" x14ac:dyDescent="0.3">
      <c r="B124" s="292"/>
      <c r="C124" s="12" t="s">
        <v>215</v>
      </c>
      <c r="D124" s="90">
        <v>22.58546560442927</v>
      </c>
      <c r="E124" s="90">
        <v>18.1691321623954</v>
      </c>
      <c r="F124" s="91">
        <v>14.481330549916265</v>
      </c>
      <c r="G124" s="90">
        <v>8.8770689146097368</v>
      </c>
      <c r="H124" s="91">
        <v>7.5597908818149273</v>
      </c>
      <c r="I124" s="90">
        <v>7.2063556642008129</v>
      </c>
      <c r="J124" s="90">
        <v>7.9251290759501254</v>
      </c>
      <c r="K124" s="90">
        <v>14.130439174202891</v>
      </c>
      <c r="L124" s="91">
        <v>7.6631627951428909</v>
      </c>
      <c r="M124" s="90">
        <v>7.019760793852436</v>
      </c>
      <c r="N124" s="90">
        <v>5.789660132327823</v>
      </c>
      <c r="O124" s="90">
        <v>14.133487662129928</v>
      </c>
      <c r="P124" s="90">
        <v>17.713042657126771</v>
      </c>
    </row>
    <row r="125" spans="2:16" x14ac:dyDescent="0.3">
      <c r="B125" s="292"/>
      <c r="C125" s="9" t="s">
        <v>216</v>
      </c>
      <c r="D125" s="86">
        <v>12.937574272870791</v>
      </c>
      <c r="E125" s="86">
        <v>9.7837109454326452</v>
      </c>
      <c r="F125" s="88">
        <v>7.6694912707768044</v>
      </c>
      <c r="G125" s="86">
        <v>6.5832997228574666</v>
      </c>
      <c r="H125" s="88">
        <v>5.5678993650161042</v>
      </c>
      <c r="I125" s="86">
        <v>2.5415469606205354</v>
      </c>
      <c r="J125" s="86">
        <v>4.1356332134856197</v>
      </c>
      <c r="K125" s="86">
        <v>4.6959218357789183</v>
      </c>
      <c r="L125" s="88">
        <v>3.2712245853359549</v>
      </c>
      <c r="M125" s="86">
        <v>4.0318123419314853</v>
      </c>
      <c r="N125" s="86">
        <v>2.1708745621462469</v>
      </c>
      <c r="O125" s="86">
        <v>3.6777279333909925</v>
      </c>
      <c r="P125" s="86">
        <v>0</v>
      </c>
    </row>
    <row r="126" spans="2:16" x14ac:dyDescent="0.3">
      <c r="B126" s="292"/>
      <c r="C126" s="9" t="s">
        <v>217</v>
      </c>
      <c r="D126" s="86">
        <v>18.813241021702019</v>
      </c>
      <c r="E126" s="86">
        <v>13.743039535272473</v>
      </c>
      <c r="F126" s="88">
        <v>14.029842237276192</v>
      </c>
      <c r="G126" s="86">
        <v>7.9119742330320015</v>
      </c>
      <c r="H126" s="88">
        <v>5.7620607256878014</v>
      </c>
      <c r="I126" s="86">
        <v>6.2404006585089702</v>
      </c>
      <c r="J126" s="86">
        <v>7.020851768991192</v>
      </c>
      <c r="K126" s="86">
        <v>6.5358538722305566</v>
      </c>
      <c r="L126" s="88">
        <v>5.8446170227263226</v>
      </c>
      <c r="M126" s="86">
        <v>5.8446002233565082</v>
      </c>
      <c r="N126" s="86">
        <v>4.7166367286030138</v>
      </c>
      <c r="O126" s="86">
        <v>7.1633799808384664</v>
      </c>
      <c r="P126" s="86">
        <v>3.9420100109559275</v>
      </c>
    </row>
    <row r="127" spans="2:16" x14ac:dyDescent="0.3">
      <c r="B127" s="292"/>
      <c r="C127" s="9" t="s">
        <v>218</v>
      </c>
      <c r="D127" s="86">
        <v>19.311956546976251</v>
      </c>
      <c r="E127" s="86">
        <v>15.30139684079364</v>
      </c>
      <c r="F127" s="88">
        <v>11.257299850237279</v>
      </c>
      <c r="G127" s="86">
        <v>7.6124825917490782</v>
      </c>
      <c r="H127" s="88">
        <v>6.4899561647316055</v>
      </c>
      <c r="I127" s="86">
        <v>5.9218117492255145</v>
      </c>
      <c r="J127" s="86">
        <v>5.9282116613972526</v>
      </c>
      <c r="K127" s="86">
        <v>5.6940221638377899</v>
      </c>
      <c r="L127" s="88">
        <v>5.7359765133678726</v>
      </c>
      <c r="M127" s="86">
        <v>4.9750937617595978</v>
      </c>
      <c r="N127" s="86">
        <v>4.647483557763568</v>
      </c>
      <c r="O127" s="86">
        <v>7.8180117229843535</v>
      </c>
      <c r="P127" s="86">
        <v>6.9160140199913149</v>
      </c>
    </row>
    <row r="128" spans="2:16" x14ac:dyDescent="0.3">
      <c r="B128" s="292"/>
      <c r="C128" s="9" t="s">
        <v>219</v>
      </c>
      <c r="D128" s="86">
        <v>24.179433506729715</v>
      </c>
      <c r="E128" s="86">
        <v>16.345714897533458</v>
      </c>
      <c r="F128" s="88">
        <v>11.025017696752091</v>
      </c>
      <c r="G128" s="86">
        <v>7.5062182790147434</v>
      </c>
      <c r="H128" s="88">
        <v>6.231119061980424</v>
      </c>
      <c r="I128" s="86">
        <v>6.2751821671625754</v>
      </c>
      <c r="J128" s="86">
        <v>7.0157366911135428</v>
      </c>
      <c r="K128" s="86">
        <v>7.0217183102805354</v>
      </c>
      <c r="L128" s="88">
        <v>6.6770363270518107</v>
      </c>
      <c r="M128" s="86">
        <v>6.7167609220542968</v>
      </c>
      <c r="N128" s="86">
        <v>5.4282158164797094</v>
      </c>
      <c r="O128" s="86">
        <v>6.9383415300897786</v>
      </c>
      <c r="P128" s="86">
        <v>3.6664680904478182</v>
      </c>
    </row>
    <row r="129" spans="2:16" x14ac:dyDescent="0.3">
      <c r="B129" s="292"/>
      <c r="C129" s="9" t="s">
        <v>220</v>
      </c>
      <c r="D129" s="86">
        <v>19.975452067928021</v>
      </c>
      <c r="E129" s="86">
        <v>19.200271291984404</v>
      </c>
      <c r="F129" s="88">
        <v>11.092580058312855</v>
      </c>
      <c r="G129" s="86">
        <v>8.0027909733821687</v>
      </c>
      <c r="H129" s="88">
        <v>6.5905788237739111</v>
      </c>
      <c r="I129" s="86">
        <v>6.500152380944221</v>
      </c>
      <c r="J129" s="86">
        <v>7.2371913788045532</v>
      </c>
      <c r="K129" s="86">
        <v>8.9413720983632867</v>
      </c>
      <c r="L129" s="88">
        <v>6.3972155898099858</v>
      </c>
      <c r="M129" s="86">
        <v>6.9619484789584138</v>
      </c>
      <c r="N129" s="86">
        <v>5.8739428886787106</v>
      </c>
      <c r="O129" s="86">
        <v>9.071290471266412</v>
      </c>
      <c r="P129" s="86">
        <v>3.9978636765479423</v>
      </c>
    </row>
    <row r="130" spans="2:16" x14ac:dyDescent="0.3">
      <c r="B130" s="295"/>
      <c r="C130" s="9" t="s">
        <v>221</v>
      </c>
      <c r="D130" s="90">
        <v>21.122220338779019</v>
      </c>
      <c r="E130" s="90">
        <v>18.387941703046646</v>
      </c>
      <c r="F130" s="91">
        <v>12.398269696079643</v>
      </c>
      <c r="G130" s="90">
        <v>9.0475981650977744</v>
      </c>
      <c r="H130" s="91">
        <v>8.6690952104500205</v>
      </c>
      <c r="I130" s="90">
        <v>7.1951906289938128</v>
      </c>
      <c r="J130" s="90">
        <v>9.606711059120844</v>
      </c>
      <c r="K130" s="90">
        <v>11.123791292547677</v>
      </c>
      <c r="L130" s="91">
        <v>7.5235995569385494</v>
      </c>
      <c r="M130" s="90">
        <v>10.175936943076636</v>
      </c>
      <c r="N130" s="90">
        <v>5.2534439522136163</v>
      </c>
      <c r="O130" s="90">
        <v>7.3286956780283488</v>
      </c>
      <c r="P130" s="90">
        <v>5.7769872878859747</v>
      </c>
    </row>
    <row r="131" spans="2:16" ht="16.5" customHeight="1" x14ac:dyDescent="0.3">
      <c r="B131" s="291" t="s">
        <v>222</v>
      </c>
      <c r="C131" s="13" t="s">
        <v>226</v>
      </c>
      <c r="D131" s="80">
        <v>14.405667480883704</v>
      </c>
      <c r="E131" s="80">
        <v>12.43184811765993</v>
      </c>
      <c r="F131" s="80">
        <v>9.4387171367127269</v>
      </c>
      <c r="G131" s="80">
        <v>6.489882306546356</v>
      </c>
      <c r="H131" s="80">
        <v>5.2432268384468728</v>
      </c>
      <c r="I131" s="80">
        <v>5.0099495022505973</v>
      </c>
      <c r="J131" s="80">
        <v>5.5839943905297806</v>
      </c>
      <c r="K131" s="80">
        <v>5.5659676567135286</v>
      </c>
      <c r="L131" s="80">
        <v>4.9586576937557627</v>
      </c>
      <c r="M131" s="80">
        <v>5.0809983762005357</v>
      </c>
      <c r="N131" s="80">
        <v>3.9980862433188871</v>
      </c>
      <c r="O131" s="80">
        <v>5.2249778591727782</v>
      </c>
      <c r="P131" s="80">
        <v>5.0358181739038725</v>
      </c>
    </row>
    <row r="132" spans="2:16" ht="16.5" customHeight="1" x14ac:dyDescent="0.3">
      <c r="B132" s="294"/>
      <c r="C132" s="9" t="s">
        <v>227</v>
      </c>
      <c r="D132" s="79">
        <v>19.435782285710609</v>
      </c>
      <c r="E132" s="79">
        <v>16.140033737872667</v>
      </c>
      <c r="F132" s="79">
        <v>10.760201058655039</v>
      </c>
      <c r="G132" s="79">
        <v>7.6427962378332523</v>
      </c>
      <c r="H132" s="79">
        <v>6.5441461649046362</v>
      </c>
      <c r="I132" s="79">
        <v>5.8426730027797094</v>
      </c>
      <c r="J132" s="79">
        <v>6.7246182374916001</v>
      </c>
      <c r="K132" s="79">
        <v>7.9599105723169767</v>
      </c>
      <c r="L132" s="79">
        <v>5.8518465407653579</v>
      </c>
      <c r="M132" s="79">
        <v>6.5902076250799642</v>
      </c>
      <c r="N132" s="79">
        <v>4.874680688918736</v>
      </c>
      <c r="O132" s="79">
        <v>7.7336571397958798</v>
      </c>
      <c r="P132" s="79">
        <v>4.4831928839741995</v>
      </c>
    </row>
    <row r="133" spans="2:16" ht="16.5" customHeight="1" x14ac:dyDescent="0.3">
      <c r="B133" s="292"/>
      <c r="C133" s="9" t="s">
        <v>228</v>
      </c>
      <c r="D133" s="79">
        <v>21.591762919381004</v>
      </c>
      <c r="E133" s="79">
        <v>18.787874684890639</v>
      </c>
      <c r="F133" s="79">
        <v>15.551185742651466</v>
      </c>
      <c r="G133" s="79">
        <v>7.9703355736292743</v>
      </c>
      <c r="H133" s="79">
        <v>6.8535622713919162</v>
      </c>
      <c r="I133" s="79">
        <v>7.0757815175873899</v>
      </c>
      <c r="J133" s="79">
        <v>7.945949953881601</v>
      </c>
      <c r="K133" s="79">
        <v>6.7922992423632964</v>
      </c>
      <c r="L133" s="79">
        <v>7.2286988490530053</v>
      </c>
      <c r="M133" s="79">
        <v>7.0017432353814515</v>
      </c>
      <c r="N133" s="79">
        <v>6.0343020967010466</v>
      </c>
      <c r="O133" s="79">
        <v>9.1013038973909186</v>
      </c>
      <c r="P133" s="79">
        <v>5.5298553898654452</v>
      </c>
    </row>
    <row r="134" spans="2:16" ht="16.5" customHeight="1" x14ac:dyDescent="0.3">
      <c r="B134" s="295"/>
      <c r="C134" s="12" t="s">
        <v>229</v>
      </c>
      <c r="D134" s="81">
        <v>25.014813692395343</v>
      </c>
      <c r="E134" s="81">
        <v>21.10827884420577</v>
      </c>
      <c r="F134" s="81">
        <v>16.062116794511123</v>
      </c>
      <c r="G134" s="81">
        <v>9.2601475561422983</v>
      </c>
      <c r="H134" s="81">
        <v>8.0699195207147945</v>
      </c>
      <c r="I134" s="81">
        <v>8.0538328680223366</v>
      </c>
      <c r="J134" s="81">
        <v>9.3763763299463196</v>
      </c>
      <c r="K134" s="81">
        <v>10.600049483747355</v>
      </c>
      <c r="L134" s="81">
        <v>8.0681310691618986</v>
      </c>
      <c r="M134" s="81">
        <v>8.6290353445347332</v>
      </c>
      <c r="N134" s="81">
        <v>6.191362755445736</v>
      </c>
      <c r="O134" s="81">
        <v>9.9728326493327391</v>
      </c>
      <c r="P134" s="81">
        <v>6.2102380943838495</v>
      </c>
    </row>
    <row r="135" spans="2:16" x14ac:dyDescent="0.3">
      <c r="B135" s="296" t="s">
        <v>199</v>
      </c>
      <c r="C135" s="13" t="s">
        <v>192</v>
      </c>
      <c r="D135" s="80">
        <v>20.116845045198122</v>
      </c>
      <c r="E135" s="80">
        <v>17.021770138237983</v>
      </c>
      <c r="F135" s="80">
        <v>12.738194628500773</v>
      </c>
      <c r="G135" s="80">
        <v>7.6459321462055225</v>
      </c>
      <c r="H135" s="80">
        <v>6.5016693829762877</v>
      </c>
      <c r="I135" s="80">
        <v>6.3525758542058792</v>
      </c>
      <c r="J135" s="80">
        <v>7.3135234471576833</v>
      </c>
      <c r="K135" s="80">
        <v>7.2601865475803002</v>
      </c>
      <c r="L135" s="80">
        <v>6.6606405361502041</v>
      </c>
      <c r="M135" s="80">
        <v>6.3868633040162237</v>
      </c>
      <c r="N135" s="80">
        <v>5.1881102182840451</v>
      </c>
      <c r="O135" s="80">
        <v>8.1650513312913517</v>
      </c>
      <c r="P135" s="80">
        <v>5.0039785580096678</v>
      </c>
    </row>
    <row r="136" spans="2:16" x14ac:dyDescent="0.3">
      <c r="B136" s="292"/>
      <c r="C136" s="9" t="s">
        <v>200</v>
      </c>
      <c r="D136" s="79">
        <v>20.505699670734263</v>
      </c>
      <c r="E136" s="79">
        <v>17.470120154770029</v>
      </c>
      <c r="F136" s="79">
        <v>10.950514133539528</v>
      </c>
      <c r="G136" s="79">
        <v>7.3000459478334836</v>
      </c>
      <c r="H136" s="79">
        <v>6.2544956603279811</v>
      </c>
      <c r="I136" s="79">
        <v>6.1530453150184181</v>
      </c>
      <c r="J136" s="79">
        <v>6.9540718606261915</v>
      </c>
      <c r="K136" s="79">
        <v>7.8720654707510089</v>
      </c>
      <c r="L136" s="79">
        <v>4.9935386929427592</v>
      </c>
      <c r="M136" s="79">
        <v>7.2106234745706859</v>
      </c>
      <c r="N136" s="79">
        <v>6.4169612063782742</v>
      </c>
      <c r="O136" s="79">
        <v>4.4683606735822714</v>
      </c>
      <c r="P136" s="79">
        <v>5.4083729857423082</v>
      </c>
    </row>
    <row r="137" spans="2:16" x14ac:dyDescent="0.3">
      <c r="B137" s="292"/>
      <c r="C137" s="9" t="s">
        <v>201</v>
      </c>
      <c r="D137" s="79">
        <v>23.152619722753172</v>
      </c>
      <c r="E137" s="79">
        <v>19.203345047651684</v>
      </c>
      <c r="F137" s="79">
        <v>13.473292619051325</v>
      </c>
      <c r="G137" s="79">
        <v>8.9720511490305466</v>
      </c>
      <c r="H137" s="79">
        <v>8.734855604164899</v>
      </c>
      <c r="I137" s="79">
        <v>6.9692148963035487</v>
      </c>
      <c r="J137" s="79">
        <v>8.4260743204642576</v>
      </c>
      <c r="K137" s="79">
        <v>7.7931206419977421</v>
      </c>
      <c r="L137" s="79">
        <v>6.276693949200574</v>
      </c>
      <c r="M137" s="79">
        <v>9.1208710193368763</v>
      </c>
      <c r="N137" s="79">
        <v>5.7491527623344236</v>
      </c>
      <c r="O137" s="79">
        <v>7.8935785289728084</v>
      </c>
      <c r="P137" s="79">
        <v>4.6924791518495672</v>
      </c>
    </row>
    <row r="138" spans="2:16" x14ac:dyDescent="0.3">
      <c r="B138" s="292"/>
      <c r="C138" s="9" t="s">
        <v>202</v>
      </c>
      <c r="D138" s="79">
        <v>18.280697012548707</v>
      </c>
      <c r="E138" s="79">
        <v>16.332631145686861</v>
      </c>
      <c r="F138" s="79">
        <v>11.729612351174206</v>
      </c>
      <c r="G138" s="79">
        <v>8.8159012124227036</v>
      </c>
      <c r="H138" s="79">
        <v>7.2844742422624886</v>
      </c>
      <c r="I138" s="79">
        <v>7.4410038607493378</v>
      </c>
      <c r="J138" s="79">
        <v>7.9111106083136393</v>
      </c>
      <c r="K138" s="79">
        <v>9.3399310000891589</v>
      </c>
      <c r="L138" s="79">
        <v>6.689908507690709</v>
      </c>
      <c r="M138" s="79">
        <v>7.5238180964417474</v>
      </c>
      <c r="N138" s="79">
        <v>5.9149608546130574</v>
      </c>
      <c r="O138" s="79">
        <v>6.9643916678231523</v>
      </c>
      <c r="P138" s="79">
        <v>6.0895956547569101</v>
      </c>
    </row>
    <row r="139" spans="2:16" ht="16.5" customHeight="1" x14ac:dyDescent="0.3">
      <c r="B139" s="295"/>
      <c r="C139" s="12" t="s">
        <v>203</v>
      </c>
      <c r="D139" s="81">
        <v>19.601157071515804</v>
      </c>
      <c r="E139" s="81">
        <v>16.746216785800211</v>
      </c>
      <c r="F139" s="81">
        <v>12.909320557983667</v>
      </c>
      <c r="G139" s="81">
        <v>7.6757253669608501</v>
      </c>
      <c r="H139" s="81">
        <v>6.2740148528197697</v>
      </c>
      <c r="I139" s="81">
        <v>6.6526560067120766</v>
      </c>
      <c r="J139" s="81">
        <v>7.5527608649557241</v>
      </c>
      <c r="K139" s="81">
        <v>9.0134199751623267</v>
      </c>
      <c r="L139" s="81">
        <v>6.8884831462047122</v>
      </c>
      <c r="M139" s="81">
        <v>6.9159389476981348</v>
      </c>
      <c r="N139" s="81">
        <v>5.2754871771083156</v>
      </c>
      <c r="O139" s="81">
        <v>8.4816696690792863</v>
      </c>
      <c r="P139" s="81">
        <v>5.5303648387383904</v>
      </c>
    </row>
    <row r="140" spans="2:16" x14ac:dyDescent="0.3">
      <c r="B140" s="291" t="s">
        <v>204</v>
      </c>
      <c r="C140" s="13" t="s">
        <v>192</v>
      </c>
      <c r="D140" s="80">
        <v>20.116845045198122</v>
      </c>
      <c r="E140" s="80">
        <v>17.021770138237983</v>
      </c>
      <c r="F140" s="80">
        <v>12.738194628500773</v>
      </c>
      <c r="G140" s="80">
        <v>7.6459321462055225</v>
      </c>
      <c r="H140" s="80">
        <v>6.5016693829762877</v>
      </c>
      <c r="I140" s="80">
        <v>6.3525758542058792</v>
      </c>
      <c r="J140" s="80">
        <v>7.3135234471576833</v>
      </c>
      <c r="K140" s="80">
        <v>7.2601865475803002</v>
      </c>
      <c r="L140" s="80">
        <v>6.6606405361502041</v>
      </c>
      <c r="M140" s="80">
        <v>6.3868633040162237</v>
      </c>
      <c r="N140" s="80">
        <v>5.1881102182840451</v>
      </c>
      <c r="O140" s="80">
        <v>8.1650513312913517</v>
      </c>
      <c r="P140" s="80">
        <v>5.0039785580096678</v>
      </c>
    </row>
    <row r="141" spans="2:16" x14ac:dyDescent="0.3">
      <c r="B141" s="295"/>
      <c r="C141" s="12" t="s">
        <v>193</v>
      </c>
      <c r="D141" s="81">
        <v>20.141620450803714</v>
      </c>
      <c r="E141" s="81">
        <v>17.255624973123684</v>
      </c>
      <c r="F141" s="81">
        <v>12.656515898767182</v>
      </c>
      <c r="G141" s="81">
        <v>8.1650364796447015</v>
      </c>
      <c r="H141" s="81">
        <v>6.9897933998671258</v>
      </c>
      <c r="I141" s="81">
        <v>6.8278908924915118</v>
      </c>
      <c r="J141" s="81">
        <v>7.7425986947286445</v>
      </c>
      <c r="K141" s="81">
        <v>8.7349586906522543</v>
      </c>
      <c r="L141" s="81">
        <v>6.5461680271908174</v>
      </c>
      <c r="M141" s="81">
        <v>7.5198642172136498</v>
      </c>
      <c r="N141" s="81">
        <v>5.6232732971185726</v>
      </c>
      <c r="O141" s="81">
        <v>7.7936019832932164</v>
      </c>
      <c r="P141" s="81">
        <v>5.5151322048269495</v>
      </c>
    </row>
    <row r="142" spans="2:16" x14ac:dyDescent="0.3">
      <c r="B142" s="291" t="s">
        <v>209</v>
      </c>
      <c r="C142" s="13" t="s">
        <v>205</v>
      </c>
      <c r="D142" s="80">
        <v>18.634069387987903</v>
      </c>
      <c r="E142" s="80">
        <v>13.730709743930257</v>
      </c>
      <c r="F142" s="80">
        <v>12.068290139330111</v>
      </c>
      <c r="G142" s="80">
        <v>7.2425883408286431</v>
      </c>
      <c r="H142" s="80">
        <v>5.827283391412581</v>
      </c>
      <c r="I142" s="80">
        <v>6.1400599880097761</v>
      </c>
      <c r="J142" s="80">
        <v>7.8570746547009129</v>
      </c>
      <c r="K142" s="80">
        <v>7.4834128256338248</v>
      </c>
      <c r="L142" s="80">
        <v>7.1375109421698379</v>
      </c>
      <c r="M142" s="80">
        <v>6.2426295713950486</v>
      </c>
      <c r="N142" s="80">
        <v>5.2329851554735107</v>
      </c>
      <c r="O142" s="80">
        <v>7.2827092077892193</v>
      </c>
      <c r="P142" s="80">
        <v>4.8405642266336999</v>
      </c>
    </row>
    <row r="143" spans="2:16" x14ac:dyDescent="0.3">
      <c r="B143" s="292"/>
      <c r="C143" s="9" t="s">
        <v>206</v>
      </c>
      <c r="D143" s="79">
        <v>21.610723730000007</v>
      </c>
      <c r="E143" s="79">
        <v>17.05444312062345</v>
      </c>
      <c r="F143" s="79">
        <v>11.377473929695279</v>
      </c>
      <c r="G143" s="79">
        <v>7.244267159420029</v>
      </c>
      <c r="H143" s="79">
        <v>6.6419470564790863</v>
      </c>
      <c r="I143" s="79">
        <v>6.3253360616546459</v>
      </c>
      <c r="J143" s="79">
        <v>7.7046026666640621</v>
      </c>
      <c r="K143" s="79">
        <v>9.5504995501445489</v>
      </c>
      <c r="L143" s="79">
        <v>5.7934351970972813</v>
      </c>
      <c r="M143" s="79">
        <v>5.9448657823026734</v>
      </c>
      <c r="N143" s="79">
        <v>5.1058612036401065</v>
      </c>
      <c r="O143" s="79">
        <v>7.5278861935509305</v>
      </c>
      <c r="P143" s="79">
        <v>5.6139434955169518</v>
      </c>
    </row>
    <row r="144" spans="2:16" x14ac:dyDescent="0.3">
      <c r="B144" s="292"/>
      <c r="C144" s="9" t="s">
        <v>207</v>
      </c>
      <c r="D144" s="79">
        <v>19.991953950139511</v>
      </c>
      <c r="E144" s="79">
        <v>18.461765897448778</v>
      </c>
      <c r="F144" s="79">
        <v>14.327661223483855</v>
      </c>
      <c r="G144" s="79">
        <v>7.6019200733771788</v>
      </c>
      <c r="H144" s="79">
        <v>7.0357824515302667</v>
      </c>
      <c r="I144" s="79">
        <v>6.949411528569664</v>
      </c>
      <c r="J144" s="79">
        <v>7.6900919623787525</v>
      </c>
      <c r="K144" s="79">
        <v>7.5019358402324858</v>
      </c>
      <c r="L144" s="79">
        <v>7.1131420289380287</v>
      </c>
      <c r="M144" s="79">
        <v>7.1669083679969949</v>
      </c>
      <c r="N144" s="79">
        <v>6.1004299202263903</v>
      </c>
      <c r="O144" s="79">
        <v>9.6778254605845682</v>
      </c>
      <c r="P144" s="79">
        <v>5.1954539895835365</v>
      </c>
    </row>
    <row r="145" spans="2:21" x14ac:dyDescent="0.3">
      <c r="B145" s="293"/>
      <c r="C145" s="25" t="s">
        <v>208</v>
      </c>
      <c r="D145" s="82">
        <v>20.080250818478724</v>
      </c>
      <c r="E145" s="82">
        <v>17.097161956485031</v>
      </c>
      <c r="F145" s="82">
        <v>12.11386459275286</v>
      </c>
      <c r="G145" s="82">
        <v>8.5146351043645065</v>
      </c>
      <c r="H145" s="82">
        <v>6.801461135613609</v>
      </c>
      <c r="I145" s="82">
        <v>6.5075993275198165</v>
      </c>
      <c r="J145" s="82">
        <v>7.0674297804299711</v>
      </c>
      <c r="K145" s="82">
        <v>7.5925813192252205</v>
      </c>
      <c r="L145" s="82">
        <v>6.4392598136902004</v>
      </c>
      <c r="M145" s="82">
        <v>7.3309290053567748</v>
      </c>
      <c r="N145" s="82">
        <v>5.0285017607070923</v>
      </c>
      <c r="O145" s="82">
        <v>6.7678722415571242</v>
      </c>
      <c r="P145" s="82">
        <v>5.2148911566808689</v>
      </c>
    </row>
    <row r="146" spans="2:21" x14ac:dyDescent="0.3">
      <c r="B146" s="60"/>
      <c r="C146" s="9"/>
      <c r="D146" s="58"/>
      <c r="E146" s="58"/>
      <c r="F146" s="50"/>
      <c r="G146" s="58"/>
      <c r="H146" s="50"/>
      <c r="I146" s="58"/>
      <c r="J146" s="58"/>
      <c r="K146" s="58"/>
      <c r="L146" s="50"/>
      <c r="M146" s="58"/>
      <c r="N146" s="58"/>
    </row>
    <row r="147" spans="2:21" x14ac:dyDescent="0.3">
      <c r="B147" s="60"/>
      <c r="C147" s="9"/>
      <c r="D147" s="58"/>
      <c r="E147" s="58"/>
      <c r="F147" s="50"/>
      <c r="G147" s="58"/>
      <c r="H147" s="50"/>
      <c r="I147" s="58"/>
      <c r="J147" s="58"/>
      <c r="K147" s="58"/>
      <c r="L147" s="50"/>
      <c r="M147" s="58"/>
      <c r="N147" s="58"/>
    </row>
    <row r="148" spans="2:21" ht="17.25" customHeight="1" x14ac:dyDescent="0.3">
      <c r="B148" s="1" t="s">
        <v>487</v>
      </c>
      <c r="D148" s="59"/>
      <c r="E148" s="59"/>
      <c r="F148" s="304"/>
      <c r="G148" s="304"/>
      <c r="H148" s="304"/>
      <c r="I148" s="304"/>
      <c r="J148" s="304"/>
      <c r="K148" s="304"/>
      <c r="L148" s="304"/>
      <c r="M148" s="304"/>
      <c r="N148" s="304"/>
      <c r="O148" s="304"/>
      <c r="P148" s="304"/>
      <c r="Q148" s="304"/>
      <c r="R148" s="304"/>
      <c r="S148" s="304"/>
      <c r="T148" s="304"/>
      <c r="U148" s="304"/>
    </row>
    <row r="149" spans="2:21" ht="10.5" customHeight="1" x14ac:dyDescent="0.3"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30"/>
      <c r="P149" s="30"/>
      <c r="Q149" s="30" t="s">
        <v>52</v>
      </c>
    </row>
    <row r="150" spans="2:21" s="22" customFormat="1" ht="20.25" customHeight="1" x14ac:dyDescent="0.3">
      <c r="B150" s="307"/>
      <c r="C150" s="307"/>
      <c r="D150" s="300" t="s">
        <v>120</v>
      </c>
      <c r="E150" s="300"/>
      <c r="F150" s="300"/>
      <c r="G150" s="300"/>
      <c r="H150" s="300"/>
      <c r="I150" s="300"/>
      <c r="J150" s="301"/>
      <c r="K150" s="299" t="s">
        <v>125</v>
      </c>
      <c r="L150" s="300"/>
      <c r="M150" s="300"/>
      <c r="N150" s="300"/>
      <c r="O150" s="300"/>
      <c r="P150" s="301"/>
      <c r="Q150" s="212" t="s">
        <v>38</v>
      </c>
    </row>
    <row r="151" spans="2:21" s="22" customFormat="1" ht="27" x14ac:dyDescent="0.3">
      <c r="B151" s="300"/>
      <c r="C151" s="300"/>
      <c r="D151" s="202" t="s">
        <v>39</v>
      </c>
      <c r="E151" s="202" t="s">
        <v>40</v>
      </c>
      <c r="F151" s="202" t="s">
        <v>116</v>
      </c>
      <c r="G151" s="202" t="s">
        <v>117</v>
      </c>
      <c r="H151" s="202" t="s">
        <v>115</v>
      </c>
      <c r="I151" s="202" t="s">
        <v>119</v>
      </c>
      <c r="J151" s="202" t="s">
        <v>300</v>
      </c>
      <c r="K151" s="214" t="s">
        <v>298</v>
      </c>
      <c r="L151" s="202" t="s">
        <v>299</v>
      </c>
      <c r="M151" s="202" t="s">
        <v>121</v>
      </c>
      <c r="N151" s="202" t="s">
        <v>118</v>
      </c>
      <c r="O151" s="202" t="s">
        <v>122</v>
      </c>
      <c r="P151" s="202" t="s">
        <v>124</v>
      </c>
      <c r="Q151" s="214" t="s">
        <v>38</v>
      </c>
    </row>
    <row r="152" spans="2:21" ht="21.75" customHeight="1" x14ac:dyDescent="0.3">
      <c r="B152" s="292" t="s">
        <v>20</v>
      </c>
      <c r="C152" s="292"/>
      <c r="D152" s="86">
        <v>15.803152502039497</v>
      </c>
      <c r="E152" s="86">
        <v>10.79368943960468</v>
      </c>
      <c r="F152" s="88">
        <v>9.8719679822648523</v>
      </c>
      <c r="G152" s="88">
        <v>8.2538592213114743</v>
      </c>
      <c r="H152" s="88">
        <v>13.115556438632611</v>
      </c>
      <c r="I152" s="86">
        <v>0.58519089053811857</v>
      </c>
      <c r="J152" s="86">
        <v>1.8694708445218171</v>
      </c>
      <c r="K152" s="92">
        <v>15.736087022199921</v>
      </c>
      <c r="L152" s="86">
        <v>3.0685201157877025</v>
      </c>
      <c r="M152" s="88">
        <v>3.3091992845830558</v>
      </c>
      <c r="N152" s="86">
        <v>14.346684911875196</v>
      </c>
      <c r="O152" s="86">
        <v>1.7826658959788153</v>
      </c>
      <c r="P152" s="86">
        <v>0.84194275176106581</v>
      </c>
      <c r="Q152" s="92">
        <v>0.62201269890115651</v>
      </c>
    </row>
    <row r="153" spans="2:21" x14ac:dyDescent="0.3">
      <c r="B153" s="296" t="s">
        <v>5</v>
      </c>
      <c r="C153" s="13" t="s">
        <v>0</v>
      </c>
      <c r="D153" s="84">
        <v>18.564682210035503</v>
      </c>
      <c r="E153" s="84">
        <v>11.230316500450744</v>
      </c>
      <c r="F153" s="89">
        <v>9.4373318069514269</v>
      </c>
      <c r="G153" s="89">
        <v>9.6404704108810471</v>
      </c>
      <c r="H153" s="89">
        <v>14.498103420456099</v>
      </c>
      <c r="I153" s="84">
        <v>0.39515433305127867</v>
      </c>
      <c r="J153" s="84">
        <v>1.2608462930469204</v>
      </c>
      <c r="K153" s="93">
        <v>12.280198231798739</v>
      </c>
      <c r="L153" s="84">
        <v>2.707486625480334</v>
      </c>
      <c r="M153" s="89">
        <v>2.9209615224406513</v>
      </c>
      <c r="N153" s="84">
        <v>14.451839652527454</v>
      </c>
      <c r="O153" s="84">
        <v>1.0038557668108965</v>
      </c>
      <c r="P153" s="84">
        <v>0.93189948123765276</v>
      </c>
      <c r="Q153" s="93">
        <v>0.67685374483075333</v>
      </c>
    </row>
    <row r="154" spans="2:21" x14ac:dyDescent="0.3">
      <c r="B154" s="295"/>
      <c r="C154" s="12" t="s">
        <v>1</v>
      </c>
      <c r="D154" s="90">
        <v>13.486507781169307</v>
      </c>
      <c r="E154" s="90">
        <v>10.427403401627464</v>
      </c>
      <c r="F154" s="91">
        <v>10.236583868207831</v>
      </c>
      <c r="G154" s="91">
        <v>7.0906323753663774</v>
      </c>
      <c r="H154" s="91">
        <v>11.955739052811046</v>
      </c>
      <c r="I154" s="90">
        <v>0.74461238305346178</v>
      </c>
      <c r="J154" s="90">
        <v>2.380045418492033</v>
      </c>
      <c r="K154" s="94">
        <v>18.635228935833755</v>
      </c>
      <c r="L154" s="90">
        <v>3.3713907772750678</v>
      </c>
      <c r="M154" s="91">
        <v>3.6348915845808647</v>
      </c>
      <c r="N154" s="90">
        <v>14.258470697086361</v>
      </c>
      <c r="O154" s="90">
        <v>2.4360089938541623</v>
      </c>
      <c r="P154" s="90">
        <v>0.76647813450734847</v>
      </c>
      <c r="Q154" s="94">
        <v>0.57600659613429461</v>
      </c>
    </row>
    <row r="155" spans="2:21" x14ac:dyDescent="0.3">
      <c r="B155" s="296" t="s">
        <v>4</v>
      </c>
      <c r="C155" s="9" t="s">
        <v>175</v>
      </c>
      <c r="D155" s="86">
        <v>14.982037702017967</v>
      </c>
      <c r="E155" s="86">
        <v>8.2938853934021974</v>
      </c>
      <c r="F155" s="88">
        <v>8.9455705334960545</v>
      </c>
      <c r="G155" s="88">
        <v>5.3017682238005275</v>
      </c>
      <c r="H155" s="88">
        <v>5.4342954527887333</v>
      </c>
      <c r="I155" s="86">
        <v>0.7148424872266923</v>
      </c>
      <c r="J155" s="86">
        <v>2.5717348756751579</v>
      </c>
      <c r="K155" s="92">
        <v>42.885653939405415</v>
      </c>
      <c r="L155" s="86">
        <v>2.9037921748855768</v>
      </c>
      <c r="M155" s="88">
        <v>1.4380674675037806</v>
      </c>
      <c r="N155" s="86">
        <v>2.7458763539624043</v>
      </c>
      <c r="O155" s="86">
        <v>0.63612300811580147</v>
      </c>
      <c r="P155" s="86">
        <v>1.9423509444009994</v>
      </c>
      <c r="Q155" s="92">
        <v>1.2040014433186874</v>
      </c>
    </row>
    <row r="156" spans="2:21" x14ac:dyDescent="0.3">
      <c r="B156" s="292"/>
      <c r="C156" s="9" t="s">
        <v>176</v>
      </c>
      <c r="D156" s="86">
        <v>15.673585084292807</v>
      </c>
      <c r="E156" s="86">
        <v>8.3336550532370275</v>
      </c>
      <c r="F156" s="88">
        <v>12.797679383237934</v>
      </c>
      <c r="G156" s="88">
        <v>6.1889720110300317</v>
      </c>
      <c r="H156" s="88">
        <v>5.5457565899597743</v>
      </c>
      <c r="I156" s="86">
        <v>0.89489995186168114</v>
      </c>
      <c r="J156" s="86">
        <v>1.347260734413138</v>
      </c>
      <c r="K156" s="92">
        <v>32.335045959155863</v>
      </c>
      <c r="L156" s="86">
        <v>4.7771764511514174</v>
      </c>
      <c r="M156" s="88">
        <v>1.0894172018985713</v>
      </c>
      <c r="N156" s="86">
        <v>8.7343439776421246</v>
      </c>
      <c r="O156" s="86">
        <v>0.28518791740439625</v>
      </c>
      <c r="P156" s="86">
        <v>1.5865085507066616</v>
      </c>
      <c r="Q156" s="92">
        <v>0.41051113400846662</v>
      </c>
    </row>
    <row r="157" spans="2:21" x14ac:dyDescent="0.3">
      <c r="B157" s="292"/>
      <c r="C157" s="9" t="s">
        <v>177</v>
      </c>
      <c r="D157" s="86">
        <v>17.637440977920551</v>
      </c>
      <c r="E157" s="86">
        <v>12.02689832183877</v>
      </c>
      <c r="F157" s="88">
        <v>12.686965743639918</v>
      </c>
      <c r="G157" s="88">
        <v>4.617584988871795</v>
      </c>
      <c r="H157" s="88">
        <v>11.56256886922532</v>
      </c>
      <c r="I157" s="86">
        <v>0.50337378812053013</v>
      </c>
      <c r="J157" s="86">
        <v>1.1561905202034877</v>
      </c>
      <c r="K157" s="92">
        <v>17.799180174575504</v>
      </c>
      <c r="L157" s="86">
        <v>3.4163163488727113</v>
      </c>
      <c r="M157" s="88">
        <v>2.6384018945258951</v>
      </c>
      <c r="N157" s="86">
        <v>13.926810153990148</v>
      </c>
      <c r="O157" s="86">
        <v>0.38109317909166007</v>
      </c>
      <c r="P157" s="86">
        <v>1.0246697324782803</v>
      </c>
      <c r="Q157" s="92">
        <v>0.62250530664524328</v>
      </c>
    </row>
    <row r="158" spans="2:21" x14ac:dyDescent="0.3">
      <c r="B158" s="292"/>
      <c r="C158" s="9" t="s">
        <v>178</v>
      </c>
      <c r="D158" s="86">
        <v>15.649544636144086</v>
      </c>
      <c r="E158" s="86">
        <v>12.036637164694621</v>
      </c>
      <c r="F158" s="88">
        <v>7.9929294445234316</v>
      </c>
      <c r="G158" s="88">
        <v>9.6733995630927296</v>
      </c>
      <c r="H158" s="88">
        <v>15.894841309793279</v>
      </c>
      <c r="I158" s="86">
        <v>0.80737283618968914</v>
      </c>
      <c r="J158" s="86">
        <v>1.841461384405219</v>
      </c>
      <c r="K158" s="92">
        <v>9.5620156454598586</v>
      </c>
      <c r="L158" s="86">
        <v>3.2158957816611085</v>
      </c>
      <c r="M158" s="88">
        <v>4.1260648654663088</v>
      </c>
      <c r="N158" s="86">
        <v>16.575249891184463</v>
      </c>
      <c r="O158" s="86">
        <v>1.7459040063750511</v>
      </c>
      <c r="P158" s="86">
        <v>0.48317362718980178</v>
      </c>
      <c r="Q158" s="92">
        <v>0.39550984382000004</v>
      </c>
    </row>
    <row r="159" spans="2:21" x14ac:dyDescent="0.3">
      <c r="B159" s="292"/>
      <c r="C159" s="9" t="s">
        <v>179</v>
      </c>
      <c r="D159" s="86">
        <v>13.89674650035658</v>
      </c>
      <c r="E159" s="86">
        <v>11.89594740473737</v>
      </c>
      <c r="F159" s="88">
        <v>8.6480026640767775</v>
      </c>
      <c r="G159" s="88">
        <v>9.2548148443998954</v>
      </c>
      <c r="H159" s="88">
        <v>16.306256616788847</v>
      </c>
      <c r="I159" s="86">
        <v>0.26661936142172793</v>
      </c>
      <c r="J159" s="86">
        <v>1.7366547217625081</v>
      </c>
      <c r="K159" s="92">
        <v>7.7498955749212488</v>
      </c>
      <c r="L159" s="86">
        <v>2.0847614925979556</v>
      </c>
      <c r="M159" s="88">
        <v>5.1278027679691283</v>
      </c>
      <c r="N159" s="86">
        <v>19.339136291232442</v>
      </c>
      <c r="O159" s="86">
        <v>2.5464201336971906</v>
      </c>
      <c r="P159" s="86">
        <v>0.43904569072027594</v>
      </c>
      <c r="Q159" s="92">
        <v>0.7078959353179809</v>
      </c>
    </row>
    <row r="160" spans="2:21" x14ac:dyDescent="0.3">
      <c r="B160" s="298"/>
      <c r="C160" s="12" t="s">
        <v>180</v>
      </c>
      <c r="D160" s="90">
        <v>16.534337724817252</v>
      </c>
      <c r="E160" s="90">
        <v>9.869236712059795</v>
      </c>
      <c r="F160" s="91">
        <v>7.4499636164811864</v>
      </c>
      <c r="G160" s="91">
        <v>12.797273291714392</v>
      </c>
      <c r="H160" s="91">
        <v>18.29159201781745</v>
      </c>
      <c r="I160" s="90">
        <v>0.40770338637844716</v>
      </c>
      <c r="J160" s="90">
        <v>3.2830546935326299</v>
      </c>
      <c r="K160" s="94">
        <v>4.0740742812702031</v>
      </c>
      <c r="L160" s="90">
        <v>1.8337499988135892</v>
      </c>
      <c r="M160" s="91">
        <v>3.879394189493139</v>
      </c>
      <c r="N160" s="90">
        <v>15.722005564397667</v>
      </c>
      <c r="O160" s="90">
        <v>4.5946864050685852</v>
      </c>
      <c r="P160" s="90">
        <v>0.40678870952371332</v>
      </c>
      <c r="Q160" s="94">
        <v>0.85613940863192539</v>
      </c>
    </row>
    <row r="161" spans="2:17" x14ac:dyDescent="0.3">
      <c r="B161" s="292" t="s">
        <v>223</v>
      </c>
      <c r="C161" s="9" t="s">
        <v>210</v>
      </c>
      <c r="D161" s="86">
        <v>19.734258595401837</v>
      </c>
      <c r="E161" s="86">
        <v>10.273324079940508</v>
      </c>
      <c r="F161" s="88">
        <v>8.7800561401900552</v>
      </c>
      <c r="G161" s="88">
        <v>5.6228290160395069</v>
      </c>
      <c r="H161" s="88">
        <v>6.5049543159095116</v>
      </c>
      <c r="I161" s="86">
        <v>0.78922919695353244</v>
      </c>
      <c r="J161" s="86">
        <v>3.7379346755922418</v>
      </c>
      <c r="K161" s="92">
        <v>30.527468456016798</v>
      </c>
      <c r="L161" s="86">
        <v>3.1791329196627118</v>
      </c>
      <c r="M161" s="88">
        <v>2.0089932769957461</v>
      </c>
      <c r="N161" s="86">
        <v>4.0473700989892585</v>
      </c>
      <c r="O161" s="86">
        <v>0.81637235336706382</v>
      </c>
      <c r="P161" s="86">
        <v>2.7851131753063627</v>
      </c>
      <c r="Q161" s="92">
        <v>1.1929636996348687</v>
      </c>
    </row>
    <row r="162" spans="2:17" x14ac:dyDescent="0.3">
      <c r="B162" s="292"/>
      <c r="C162" s="9" t="s">
        <v>211</v>
      </c>
      <c r="D162" s="86">
        <v>20.301415491287365</v>
      </c>
      <c r="E162" s="86">
        <v>8.7830130773431012</v>
      </c>
      <c r="F162" s="88">
        <v>11.452637895513702</v>
      </c>
      <c r="G162" s="88">
        <v>7.5371423377998417</v>
      </c>
      <c r="H162" s="88">
        <v>6.343622424790814</v>
      </c>
      <c r="I162" s="86">
        <v>0.63052109961335989</v>
      </c>
      <c r="J162" s="86">
        <v>0.71234626517475164</v>
      </c>
      <c r="K162" s="92">
        <v>24.87428251125689</v>
      </c>
      <c r="L162" s="86">
        <v>5.013995879155174</v>
      </c>
      <c r="M162" s="88">
        <v>1.2826860088496872</v>
      </c>
      <c r="N162" s="86">
        <v>9.5214906926126215</v>
      </c>
      <c r="O162" s="86">
        <v>0.30316322017347586</v>
      </c>
      <c r="P162" s="86">
        <v>2.553483222819465</v>
      </c>
      <c r="Q162" s="92">
        <v>0.69019987360948709</v>
      </c>
    </row>
    <row r="163" spans="2:17" x14ac:dyDescent="0.3">
      <c r="B163" s="292"/>
      <c r="C163" s="9" t="s">
        <v>212</v>
      </c>
      <c r="D163" s="86">
        <v>21.028517483295392</v>
      </c>
      <c r="E163" s="86">
        <v>12.447770462070503</v>
      </c>
      <c r="F163" s="88">
        <v>12.264192530006154</v>
      </c>
      <c r="G163" s="88">
        <v>4.7569133577576821</v>
      </c>
      <c r="H163" s="88">
        <v>14.557360298324989</v>
      </c>
      <c r="I163" s="86">
        <v>0.46494681910166463</v>
      </c>
      <c r="J163" s="86">
        <v>0.71698320504829816</v>
      </c>
      <c r="K163" s="92">
        <v>14.288269233628146</v>
      </c>
      <c r="L163" s="86">
        <v>2.4610438775178012</v>
      </c>
      <c r="M163" s="88">
        <v>2.9650225626288504</v>
      </c>
      <c r="N163" s="86">
        <v>12.423543775889737</v>
      </c>
      <c r="O163" s="86">
        <v>0.37610905307750914</v>
      </c>
      <c r="P163" s="86">
        <v>0.72424590437003766</v>
      </c>
      <c r="Q163" s="92">
        <v>0.5250814372836613</v>
      </c>
    </row>
    <row r="164" spans="2:17" x14ac:dyDescent="0.3">
      <c r="B164" s="292"/>
      <c r="C164" s="9" t="s">
        <v>213</v>
      </c>
      <c r="D164" s="86">
        <v>19.751055409589203</v>
      </c>
      <c r="E164" s="86">
        <v>11.918772207868537</v>
      </c>
      <c r="F164" s="88">
        <v>6.8993856837379148</v>
      </c>
      <c r="G164" s="88">
        <v>11.600047506799479</v>
      </c>
      <c r="H164" s="88">
        <v>15.535658006457567</v>
      </c>
      <c r="I164" s="86">
        <v>0.46238761210058127</v>
      </c>
      <c r="J164" s="86">
        <v>0.80991087859238575</v>
      </c>
      <c r="K164" s="92">
        <v>7.4756360538773503</v>
      </c>
      <c r="L164" s="86">
        <v>2.8454089802048848</v>
      </c>
      <c r="M164" s="88">
        <v>3.0319386768177976</v>
      </c>
      <c r="N164" s="86">
        <v>17.613280101409551</v>
      </c>
      <c r="O164" s="86">
        <v>1.1998759873078075</v>
      </c>
      <c r="P164" s="86">
        <v>0.60099456627725933</v>
      </c>
      <c r="Q164" s="92">
        <v>0.25564832896012452</v>
      </c>
    </row>
    <row r="165" spans="2:17" x14ac:dyDescent="0.3">
      <c r="B165" s="292"/>
      <c r="C165" s="9" t="s">
        <v>214</v>
      </c>
      <c r="D165" s="86">
        <v>15.48843859465601</v>
      </c>
      <c r="E165" s="86">
        <v>12.582957624225655</v>
      </c>
      <c r="F165" s="88">
        <v>8.8987851230962196</v>
      </c>
      <c r="G165" s="88">
        <v>9.9823848217896707</v>
      </c>
      <c r="H165" s="88">
        <v>19.596966084853918</v>
      </c>
      <c r="I165" s="86">
        <v>0.20795763772614548</v>
      </c>
      <c r="J165" s="86">
        <v>1.2168872586845589</v>
      </c>
      <c r="K165" s="92">
        <v>5.4484645095840767</v>
      </c>
      <c r="L165" s="86">
        <v>0.84427827574972947</v>
      </c>
      <c r="M165" s="88">
        <v>4.0190502314664487</v>
      </c>
      <c r="N165" s="86">
        <v>19.585796444460556</v>
      </c>
      <c r="O165" s="86">
        <v>0.86411422790264059</v>
      </c>
      <c r="P165" s="86">
        <v>0.14788811613049374</v>
      </c>
      <c r="Q165" s="92">
        <v>1.1160310496739401</v>
      </c>
    </row>
    <row r="166" spans="2:17" x14ac:dyDescent="0.3">
      <c r="B166" s="292"/>
      <c r="C166" s="12" t="s">
        <v>215</v>
      </c>
      <c r="D166" s="90">
        <v>14.682963798244995</v>
      </c>
      <c r="E166" s="90">
        <v>10.198112776124225</v>
      </c>
      <c r="F166" s="91">
        <v>7.4593774184994421</v>
      </c>
      <c r="G166" s="91">
        <v>17.421261097996791</v>
      </c>
      <c r="H166" s="91">
        <v>19.53041946010158</v>
      </c>
      <c r="I166" s="90">
        <v>0</v>
      </c>
      <c r="J166" s="90">
        <v>2.6050948125486739</v>
      </c>
      <c r="K166" s="94">
        <v>2.7826737907451085</v>
      </c>
      <c r="L166" s="90">
        <v>2.1573549814170501</v>
      </c>
      <c r="M166" s="91">
        <v>3.689801483930641</v>
      </c>
      <c r="N166" s="90">
        <v>15.964035090687497</v>
      </c>
      <c r="O166" s="90">
        <v>2.7704382597408999</v>
      </c>
      <c r="P166" s="90">
        <v>0</v>
      </c>
      <c r="Q166" s="94">
        <v>0.73846702996299585</v>
      </c>
    </row>
    <row r="167" spans="2:17" x14ac:dyDescent="0.3">
      <c r="B167" s="292"/>
      <c r="C167" s="9" t="s">
        <v>216</v>
      </c>
      <c r="D167" s="86">
        <v>11.053989811311196</v>
      </c>
      <c r="E167" s="86">
        <v>6.6577388143858149</v>
      </c>
      <c r="F167" s="88">
        <v>9.0823799281124558</v>
      </c>
      <c r="G167" s="88">
        <v>5.0363886894655918</v>
      </c>
      <c r="H167" s="88">
        <v>4.5493199048710844</v>
      </c>
      <c r="I167" s="86">
        <v>0.65335659151718728</v>
      </c>
      <c r="J167" s="86">
        <v>1.6077879618049369</v>
      </c>
      <c r="K167" s="92">
        <v>53.100571450620237</v>
      </c>
      <c r="L167" s="86">
        <v>2.676203505080009</v>
      </c>
      <c r="M167" s="88">
        <v>0.96615676048104981</v>
      </c>
      <c r="N167" s="86">
        <v>1.6700993910189774</v>
      </c>
      <c r="O167" s="86">
        <v>0.48713412979972204</v>
      </c>
      <c r="P167" s="86">
        <v>1.245748139576845</v>
      </c>
      <c r="Q167" s="92">
        <v>1.2131249219549083</v>
      </c>
    </row>
    <row r="168" spans="2:17" x14ac:dyDescent="0.3">
      <c r="B168" s="292"/>
      <c r="C168" s="9" t="s">
        <v>217</v>
      </c>
      <c r="D168" s="86">
        <v>11.440627466286271</v>
      </c>
      <c r="E168" s="86">
        <v>7.9226388093234217</v>
      </c>
      <c r="F168" s="88">
        <v>14.027954287735714</v>
      </c>
      <c r="G168" s="88">
        <v>4.9558352378143784</v>
      </c>
      <c r="H168" s="88">
        <v>4.8159692022044638</v>
      </c>
      <c r="I168" s="86">
        <v>1.1367204980452525</v>
      </c>
      <c r="J168" s="86">
        <v>1.9280006930951137</v>
      </c>
      <c r="K168" s="92">
        <v>39.159214672252403</v>
      </c>
      <c r="L168" s="86">
        <v>4.5605638025233919</v>
      </c>
      <c r="M168" s="88">
        <v>0.91263918784899289</v>
      </c>
      <c r="N168" s="86">
        <v>8.0143610935271177</v>
      </c>
      <c r="O168" s="86">
        <v>0.26874636961618309</v>
      </c>
      <c r="P168" s="86">
        <v>0.70204165266459151</v>
      </c>
      <c r="Q168" s="92">
        <v>0.15468702706293028</v>
      </c>
    </row>
    <row r="169" spans="2:17" x14ac:dyDescent="0.3">
      <c r="B169" s="292"/>
      <c r="C169" s="9" t="s">
        <v>218</v>
      </c>
      <c r="D169" s="86">
        <v>14.454430678138882</v>
      </c>
      <c r="E169" s="86">
        <v>11.631849624139049</v>
      </c>
      <c r="F169" s="88">
        <v>13.083798870623514</v>
      </c>
      <c r="G169" s="88">
        <v>4.4868053876116853</v>
      </c>
      <c r="H169" s="88">
        <v>8.7515287911223183</v>
      </c>
      <c r="I169" s="86">
        <v>0.5394429944573943</v>
      </c>
      <c r="J169" s="86">
        <v>1.5684494019074777</v>
      </c>
      <c r="K169" s="92">
        <v>21.094672231136229</v>
      </c>
      <c r="L169" s="86">
        <v>4.3129761884845177</v>
      </c>
      <c r="M169" s="88">
        <v>2.3318216834792165</v>
      </c>
      <c r="N169" s="86">
        <v>15.337840650419702</v>
      </c>
      <c r="O169" s="86">
        <v>0.38577149419700119</v>
      </c>
      <c r="P169" s="86">
        <v>1.306660462458209</v>
      </c>
      <c r="Q169" s="92">
        <v>0.71395154182484433</v>
      </c>
    </row>
    <row r="170" spans="2:17" x14ac:dyDescent="0.3">
      <c r="B170" s="292"/>
      <c r="C170" s="9" t="s">
        <v>219</v>
      </c>
      <c r="D170" s="86">
        <v>12.027062902697219</v>
      </c>
      <c r="E170" s="86">
        <v>12.140736282483415</v>
      </c>
      <c r="F170" s="88">
        <v>8.9587546043202853</v>
      </c>
      <c r="G170" s="88">
        <v>7.9717712196913189</v>
      </c>
      <c r="H170" s="88">
        <v>16.212074404417333</v>
      </c>
      <c r="I170" s="86">
        <v>1.1120660923096304</v>
      </c>
      <c r="J170" s="86">
        <v>2.7525336869891039</v>
      </c>
      <c r="K170" s="92">
        <v>11.40472004806146</v>
      </c>
      <c r="L170" s="86">
        <v>3.5431122013881602</v>
      </c>
      <c r="M170" s="88">
        <v>5.0924044294451871</v>
      </c>
      <c r="N170" s="86">
        <v>15.658454670347558</v>
      </c>
      <c r="O170" s="86">
        <v>2.2281596029780806</v>
      </c>
      <c r="P170" s="86">
        <v>0.37911338616223311</v>
      </c>
      <c r="Q170" s="92">
        <v>0.51903646870963926</v>
      </c>
    </row>
    <row r="171" spans="2:17" x14ac:dyDescent="0.3">
      <c r="B171" s="292"/>
      <c r="C171" s="9" t="s">
        <v>220</v>
      </c>
      <c r="D171" s="86">
        <v>12.662762310738252</v>
      </c>
      <c r="E171" s="86">
        <v>11.363331987477377</v>
      </c>
      <c r="F171" s="88">
        <v>8.4535796405712205</v>
      </c>
      <c r="G171" s="88">
        <v>8.6907548404861998</v>
      </c>
      <c r="H171" s="88">
        <v>13.755082636115759</v>
      </c>
      <c r="I171" s="86">
        <v>0.31209778016575729</v>
      </c>
      <c r="J171" s="86">
        <v>2.1396125764966811</v>
      </c>
      <c r="K171" s="92">
        <v>9.5341160019081777</v>
      </c>
      <c r="L171" s="86">
        <v>3.0464655071871518</v>
      </c>
      <c r="M171" s="88">
        <v>5.9873805123982562</v>
      </c>
      <c r="N171" s="86">
        <v>19.147909149763027</v>
      </c>
      <c r="O171" s="86">
        <v>3.8506540978457604</v>
      </c>
      <c r="P171" s="86">
        <v>0.66477015402456741</v>
      </c>
      <c r="Q171" s="92">
        <v>0.39148280482178077</v>
      </c>
    </row>
    <row r="172" spans="2:17" x14ac:dyDescent="0.3">
      <c r="B172" s="295"/>
      <c r="C172" s="9" t="s">
        <v>221</v>
      </c>
      <c r="D172" s="86">
        <v>17.80741155186541</v>
      </c>
      <c r="E172" s="86">
        <v>9.6430892528707677</v>
      </c>
      <c r="F172" s="88">
        <v>7.4434903347791419</v>
      </c>
      <c r="G172" s="88">
        <v>9.6176466542866805</v>
      </c>
      <c r="H172" s="88">
        <v>17.439728020833815</v>
      </c>
      <c r="I172" s="86">
        <v>0.68805545515706279</v>
      </c>
      <c r="J172" s="86">
        <v>3.7492452171657189</v>
      </c>
      <c r="K172" s="92">
        <v>4.9620894688712172</v>
      </c>
      <c r="L172" s="86">
        <v>1.6112271320161611</v>
      </c>
      <c r="M172" s="88">
        <v>4.0097652116764992</v>
      </c>
      <c r="N172" s="86">
        <v>15.555577026720766</v>
      </c>
      <c r="O172" s="86">
        <v>5.8491075322785315</v>
      </c>
      <c r="P172" s="86">
        <v>0.68651181235047265</v>
      </c>
      <c r="Q172" s="92">
        <v>0.93705532912739931</v>
      </c>
    </row>
    <row r="173" spans="2:17" ht="16.5" customHeight="1" x14ac:dyDescent="0.3">
      <c r="B173" s="291" t="s">
        <v>222</v>
      </c>
      <c r="C173" s="13" t="s">
        <v>226</v>
      </c>
      <c r="D173" s="84">
        <v>12.565436175976707</v>
      </c>
      <c r="E173" s="84">
        <v>8.2009108516809395</v>
      </c>
      <c r="F173" s="89">
        <v>9.2090989536841583</v>
      </c>
      <c r="G173" s="89">
        <v>9.9466278795787062</v>
      </c>
      <c r="H173" s="89">
        <v>9.2268539647407852</v>
      </c>
      <c r="I173" s="84">
        <v>0.52303672102474175</v>
      </c>
      <c r="J173" s="84">
        <v>3.1034304159245027</v>
      </c>
      <c r="K173" s="93">
        <v>17.528090755106934</v>
      </c>
      <c r="L173" s="84">
        <v>3.3612419871736723</v>
      </c>
      <c r="M173" s="89">
        <v>3.2210027727869162</v>
      </c>
      <c r="N173" s="84">
        <v>18.778618234795868</v>
      </c>
      <c r="O173" s="84">
        <v>2.1827142957018224</v>
      </c>
      <c r="P173" s="84">
        <v>1.1348812286549361</v>
      </c>
      <c r="Q173" s="93">
        <v>1.0180557631692639</v>
      </c>
    </row>
    <row r="174" spans="2:17" ht="16.5" customHeight="1" x14ac:dyDescent="0.3">
      <c r="B174" s="294"/>
      <c r="C174" s="9" t="s">
        <v>227</v>
      </c>
      <c r="D174" s="86">
        <v>13.071521425257663</v>
      </c>
      <c r="E174" s="86">
        <v>11.061574801408931</v>
      </c>
      <c r="F174" s="88">
        <v>10.81666864780537</v>
      </c>
      <c r="G174" s="88">
        <v>9.587655363358202</v>
      </c>
      <c r="H174" s="88">
        <v>13.061636259774408</v>
      </c>
      <c r="I174" s="86">
        <v>0.43903501650140514</v>
      </c>
      <c r="J174" s="86">
        <v>1.7422698019843659</v>
      </c>
      <c r="K174" s="92">
        <v>16.67043512369359</v>
      </c>
      <c r="L174" s="86">
        <v>2.729448116436672</v>
      </c>
      <c r="M174" s="88">
        <v>4.006447319584602</v>
      </c>
      <c r="N174" s="86">
        <v>13.160467261481964</v>
      </c>
      <c r="O174" s="86">
        <v>2.3827792415175462</v>
      </c>
      <c r="P174" s="86">
        <v>0.86329941752239581</v>
      </c>
      <c r="Q174" s="92">
        <v>0.40676220367271082</v>
      </c>
    </row>
    <row r="175" spans="2:17" x14ac:dyDescent="0.3">
      <c r="B175" s="292"/>
      <c r="C175" s="9" t="s">
        <v>228</v>
      </c>
      <c r="D175" s="86">
        <v>15.744607427659869</v>
      </c>
      <c r="E175" s="86">
        <v>12.356568678898661</v>
      </c>
      <c r="F175" s="88">
        <v>10.60246474097851</v>
      </c>
      <c r="G175" s="88">
        <v>8.3850775529913566</v>
      </c>
      <c r="H175" s="88">
        <v>14.02866109223215</v>
      </c>
      <c r="I175" s="86">
        <v>0.64654639600349673</v>
      </c>
      <c r="J175" s="86">
        <v>1.4332703059416718</v>
      </c>
      <c r="K175" s="92">
        <v>13.976557309293863</v>
      </c>
      <c r="L175" s="86">
        <v>3.3295240852321335</v>
      </c>
      <c r="M175" s="88">
        <v>3.0639933921117404</v>
      </c>
      <c r="N175" s="86">
        <v>13.849113056332296</v>
      </c>
      <c r="O175" s="86">
        <v>1.3781213583357883</v>
      </c>
      <c r="P175" s="86">
        <v>0.64012838558035035</v>
      </c>
      <c r="Q175" s="92">
        <v>0.56536621840788925</v>
      </c>
    </row>
    <row r="176" spans="2:17" x14ac:dyDescent="0.3">
      <c r="B176" s="295"/>
      <c r="C176" s="12" t="s">
        <v>229</v>
      </c>
      <c r="D176" s="90">
        <v>22.013122367949826</v>
      </c>
      <c r="E176" s="90">
        <v>11.59939273210702</v>
      </c>
      <c r="F176" s="91">
        <v>8.8025797374142201</v>
      </c>
      <c r="G176" s="91">
        <v>5.0260160607438005</v>
      </c>
      <c r="H176" s="91">
        <v>16.081762846729024</v>
      </c>
      <c r="I176" s="90">
        <v>0.75571459222243687</v>
      </c>
      <c r="J176" s="90">
        <v>1.2182371378090009</v>
      </c>
      <c r="K176" s="94">
        <v>14.508023301014788</v>
      </c>
      <c r="L176" s="90">
        <v>2.9453108674962332</v>
      </c>
      <c r="M176" s="91">
        <v>2.8203814684156523</v>
      </c>
      <c r="N176" s="90">
        <v>11.900256199158459</v>
      </c>
      <c r="O176" s="90">
        <v>1.0774049229848406</v>
      </c>
      <c r="P176" s="90">
        <v>0.71466667058217981</v>
      </c>
      <c r="Q176" s="94">
        <v>0.53713109537238313</v>
      </c>
    </row>
    <row r="177" spans="2:21" x14ac:dyDescent="0.3">
      <c r="B177" s="296" t="s">
        <v>199</v>
      </c>
      <c r="C177" s="13" t="s">
        <v>192</v>
      </c>
      <c r="D177" s="84">
        <v>17.647538598582909</v>
      </c>
      <c r="E177" s="84">
        <v>14.066240575179142</v>
      </c>
      <c r="F177" s="89">
        <v>10.085756527604868</v>
      </c>
      <c r="G177" s="89">
        <v>7.672643929385246</v>
      </c>
      <c r="H177" s="89">
        <v>11.718232485063581</v>
      </c>
      <c r="I177" s="84">
        <v>0.72482618835377033</v>
      </c>
      <c r="J177" s="84">
        <v>1.4563339321420656</v>
      </c>
      <c r="K177" s="93">
        <v>14.414274886152509</v>
      </c>
      <c r="L177" s="84">
        <v>3.1782772636654371</v>
      </c>
      <c r="M177" s="89">
        <v>3.2088014615218143</v>
      </c>
      <c r="N177" s="84">
        <v>12.80722671784971</v>
      </c>
      <c r="O177" s="84">
        <v>1.6266253182702215</v>
      </c>
      <c r="P177" s="84">
        <v>0.80890921903849966</v>
      </c>
      <c r="Q177" s="93">
        <v>0.58431289718908075</v>
      </c>
    </row>
    <row r="178" spans="2:21" x14ac:dyDescent="0.3">
      <c r="B178" s="292"/>
      <c r="C178" s="9" t="s">
        <v>200</v>
      </c>
      <c r="D178" s="86">
        <v>6.1343190959286389</v>
      </c>
      <c r="E178" s="86">
        <v>5.4743454406150089</v>
      </c>
      <c r="F178" s="88">
        <v>10.873792262097684</v>
      </c>
      <c r="G178" s="88">
        <v>15.775535469529936</v>
      </c>
      <c r="H178" s="88">
        <v>11.25157639940409</v>
      </c>
      <c r="I178" s="86">
        <v>0</v>
      </c>
      <c r="J178" s="86">
        <v>2.0447387200347267</v>
      </c>
      <c r="K178" s="92">
        <v>18.397840830062954</v>
      </c>
      <c r="L178" s="86">
        <v>4.358441097361812</v>
      </c>
      <c r="M178" s="88">
        <v>3.1446055370978483</v>
      </c>
      <c r="N178" s="86">
        <v>18.205110413835087</v>
      </c>
      <c r="O178" s="86">
        <v>3.0307983218876187</v>
      </c>
      <c r="P178" s="86">
        <v>0.91136088202601939</v>
      </c>
      <c r="Q178" s="92">
        <v>0.39753553011854809</v>
      </c>
    </row>
    <row r="179" spans="2:21" x14ac:dyDescent="0.3">
      <c r="B179" s="292"/>
      <c r="C179" s="9" t="s">
        <v>201</v>
      </c>
      <c r="D179" s="86">
        <v>15.50315831993197</v>
      </c>
      <c r="E179" s="86">
        <v>8.4041036194758032</v>
      </c>
      <c r="F179" s="88">
        <v>8.8464165929901082</v>
      </c>
      <c r="G179" s="88">
        <v>8.2705569357610322</v>
      </c>
      <c r="H179" s="88">
        <v>14.735081226979982</v>
      </c>
      <c r="I179" s="86">
        <v>0.50926959480215006</v>
      </c>
      <c r="J179" s="86">
        <v>1.7351470504160142</v>
      </c>
      <c r="K179" s="92">
        <v>18.514138268923201</v>
      </c>
      <c r="L179" s="86">
        <v>2.774268534771609</v>
      </c>
      <c r="M179" s="88">
        <v>3.8580750534245722</v>
      </c>
      <c r="N179" s="86">
        <v>14.236266077346855</v>
      </c>
      <c r="O179" s="86">
        <v>1.5938272536922482</v>
      </c>
      <c r="P179" s="86">
        <v>0.73027009871955517</v>
      </c>
      <c r="Q179" s="92">
        <v>0.28942137276473201</v>
      </c>
    </row>
    <row r="180" spans="2:21" x14ac:dyDescent="0.3">
      <c r="B180" s="292"/>
      <c r="C180" s="9" t="s">
        <v>202</v>
      </c>
      <c r="D180" s="86">
        <v>11.529827921803577</v>
      </c>
      <c r="E180" s="86">
        <v>6.7435631879999072</v>
      </c>
      <c r="F180" s="88">
        <v>9.0644156330582835</v>
      </c>
      <c r="G180" s="88">
        <v>8.9029149005052393</v>
      </c>
      <c r="H180" s="88">
        <v>15.469652457974997</v>
      </c>
      <c r="I180" s="86">
        <v>0.30353261995394948</v>
      </c>
      <c r="J180" s="86">
        <v>2.5090814079949113</v>
      </c>
      <c r="K180" s="92">
        <v>16.402168091903992</v>
      </c>
      <c r="L180" s="86">
        <v>3.1857855831356656</v>
      </c>
      <c r="M180" s="88">
        <v>2.9401005534205047</v>
      </c>
      <c r="N180" s="86">
        <v>18.434396205280219</v>
      </c>
      <c r="O180" s="86">
        <v>2.6472511944958987</v>
      </c>
      <c r="P180" s="86">
        <v>0.9801154046694901</v>
      </c>
      <c r="Q180" s="92">
        <v>0.88719483780324948</v>
      </c>
    </row>
    <row r="181" spans="2:21" x14ac:dyDescent="0.3">
      <c r="B181" s="295"/>
      <c r="C181" s="12" t="s">
        <v>203</v>
      </c>
      <c r="D181" s="90">
        <v>14.605573682369421</v>
      </c>
      <c r="E181" s="90">
        <v>6.2729086597444557</v>
      </c>
      <c r="F181" s="91">
        <v>9.9051778390323921</v>
      </c>
      <c r="G181" s="91">
        <v>8.1419605254647465</v>
      </c>
      <c r="H181" s="91">
        <v>15.277852846153813</v>
      </c>
      <c r="I181" s="90">
        <v>0.4784426125077384</v>
      </c>
      <c r="J181" s="90">
        <v>2.6685873031298084</v>
      </c>
      <c r="K181" s="94">
        <v>17.021961525008958</v>
      </c>
      <c r="L181" s="90">
        <v>2.6750440277509973</v>
      </c>
      <c r="M181" s="91">
        <v>3.4650487709597435</v>
      </c>
      <c r="N181" s="90">
        <v>16.039318914107977</v>
      </c>
      <c r="O181" s="90">
        <v>1.7337792904254541</v>
      </c>
      <c r="P181" s="90">
        <v>0.91055271210460864</v>
      </c>
      <c r="Q181" s="94">
        <v>0.80379129123997217</v>
      </c>
    </row>
    <row r="182" spans="2:21" x14ac:dyDescent="0.3">
      <c r="B182" s="291" t="s">
        <v>204</v>
      </c>
      <c r="C182" s="13" t="s">
        <v>192</v>
      </c>
      <c r="D182" s="84">
        <v>17.647538598582909</v>
      </c>
      <c r="E182" s="84">
        <v>14.066240575179142</v>
      </c>
      <c r="F182" s="89">
        <v>10.085756527604868</v>
      </c>
      <c r="G182" s="89">
        <v>7.672643929385246</v>
      </c>
      <c r="H182" s="89">
        <v>11.718232485063581</v>
      </c>
      <c r="I182" s="84">
        <v>0.72482618835377033</v>
      </c>
      <c r="J182" s="84">
        <v>1.4563339321420656</v>
      </c>
      <c r="K182" s="93">
        <v>14.414274886152509</v>
      </c>
      <c r="L182" s="84">
        <v>3.1782772636654371</v>
      </c>
      <c r="M182" s="89">
        <v>3.2088014615218143</v>
      </c>
      <c r="N182" s="84">
        <v>12.80722671784971</v>
      </c>
      <c r="O182" s="84">
        <v>1.6266253182702215</v>
      </c>
      <c r="P182" s="84">
        <v>0.80890921903849966</v>
      </c>
      <c r="Q182" s="93">
        <v>0.58431289718908075</v>
      </c>
    </row>
    <row r="183" spans="2:21" x14ac:dyDescent="0.3">
      <c r="B183" s="295"/>
      <c r="C183" s="12" t="s">
        <v>193</v>
      </c>
      <c r="D183" s="90">
        <v>13.52892731849801</v>
      </c>
      <c r="E183" s="90">
        <v>6.7584615548909124</v>
      </c>
      <c r="F183" s="91">
        <v>9.6083554476246498</v>
      </c>
      <c r="G183" s="91">
        <v>8.9705282834102853</v>
      </c>
      <c r="H183" s="91">
        <v>14.838530457319731</v>
      </c>
      <c r="I183" s="90">
        <v>0.41301321505097155</v>
      </c>
      <c r="J183" s="90">
        <v>2.3788904135292914</v>
      </c>
      <c r="K183" s="94">
        <v>17.365950993384221</v>
      </c>
      <c r="L183" s="90">
        <v>2.9331837725756986</v>
      </c>
      <c r="M183" s="91">
        <v>3.4329950874284969</v>
      </c>
      <c r="N183" s="90">
        <v>16.244917933921428</v>
      </c>
      <c r="O183" s="90">
        <v>1.9750721454860498</v>
      </c>
      <c r="P183" s="90">
        <v>0.88267483717408346</v>
      </c>
      <c r="Q183" s="94">
        <v>0.66849853970682827</v>
      </c>
    </row>
    <row r="184" spans="2:21" ht="16.5" customHeight="1" x14ac:dyDescent="0.3">
      <c r="B184" s="291" t="s">
        <v>209</v>
      </c>
      <c r="C184" s="13" t="s">
        <v>205</v>
      </c>
      <c r="D184" s="84">
        <v>12.992282300316486</v>
      </c>
      <c r="E184" s="84">
        <v>8.8322853254734692</v>
      </c>
      <c r="F184" s="89">
        <v>10.239497419524467</v>
      </c>
      <c r="G184" s="89">
        <v>5.3539747979278429</v>
      </c>
      <c r="H184" s="89">
        <v>8.6629644533763965</v>
      </c>
      <c r="I184" s="84">
        <v>0.48855194869316715</v>
      </c>
      <c r="J184" s="84">
        <v>1.8542585798037265</v>
      </c>
      <c r="K184" s="93">
        <v>21.502073584425681</v>
      </c>
      <c r="L184" s="84">
        <v>4.0078515343325849</v>
      </c>
      <c r="M184" s="89">
        <v>3.163152368810318</v>
      </c>
      <c r="N184" s="84">
        <v>19.914452209516252</v>
      </c>
      <c r="O184" s="84">
        <v>1.6123455456497824</v>
      </c>
      <c r="P184" s="84">
        <v>1.0618264258730736</v>
      </c>
      <c r="Q184" s="93">
        <v>0.31448350627681454</v>
      </c>
    </row>
    <row r="185" spans="2:21" x14ac:dyDescent="0.3">
      <c r="B185" s="292"/>
      <c r="C185" s="9" t="s">
        <v>206</v>
      </c>
      <c r="D185" s="86">
        <v>14.365083436787831</v>
      </c>
      <c r="E185" s="86">
        <v>10.590733265065118</v>
      </c>
      <c r="F185" s="88">
        <v>8.5454791902074287</v>
      </c>
      <c r="G185" s="88">
        <v>8.8547809365693944</v>
      </c>
      <c r="H185" s="88">
        <v>15.234811880678855</v>
      </c>
      <c r="I185" s="86">
        <v>0.28038795635153468</v>
      </c>
      <c r="J185" s="86">
        <v>2.6331592440468508</v>
      </c>
      <c r="K185" s="92">
        <v>12.002346638554178</v>
      </c>
      <c r="L185" s="86">
        <v>2.715963105997103</v>
      </c>
      <c r="M185" s="88">
        <v>2.9087626695839641</v>
      </c>
      <c r="N185" s="86">
        <v>17.319470194447671</v>
      </c>
      <c r="O185" s="86">
        <v>3.1728057113521952</v>
      </c>
      <c r="P185" s="86">
        <v>0.61462750352011675</v>
      </c>
      <c r="Q185" s="92">
        <v>0.76158826683767844</v>
      </c>
    </row>
    <row r="186" spans="2:21" x14ac:dyDescent="0.3">
      <c r="B186" s="292"/>
      <c r="C186" s="9" t="s">
        <v>207</v>
      </c>
      <c r="D186" s="86">
        <v>17.937909329271317</v>
      </c>
      <c r="E186" s="86">
        <v>11.454293050128372</v>
      </c>
      <c r="F186" s="88">
        <v>9.156293223490092</v>
      </c>
      <c r="G186" s="88">
        <v>9.3875994719778859</v>
      </c>
      <c r="H186" s="88">
        <v>13.165381303571829</v>
      </c>
      <c r="I186" s="86">
        <v>0.74120009359191319</v>
      </c>
      <c r="J186" s="86">
        <v>2.0311944180270451</v>
      </c>
      <c r="K186" s="92">
        <v>13.631068430436461</v>
      </c>
      <c r="L186" s="86">
        <v>3.1637615960302532</v>
      </c>
      <c r="M186" s="88">
        <v>3.899754191478217</v>
      </c>
      <c r="N186" s="86">
        <v>12.137643738800836</v>
      </c>
      <c r="O186" s="86">
        <v>1.7416880092023523</v>
      </c>
      <c r="P186" s="86">
        <v>0.6416702721699542</v>
      </c>
      <c r="Q186" s="92">
        <v>0.91054287182317262</v>
      </c>
    </row>
    <row r="187" spans="2:21" x14ac:dyDescent="0.3">
      <c r="B187" s="293"/>
      <c r="C187" s="25" t="s">
        <v>208</v>
      </c>
      <c r="D187" s="87">
        <v>15.964459534160225</v>
      </c>
      <c r="E187" s="87">
        <v>11.203430706318949</v>
      </c>
      <c r="F187" s="95">
        <v>11.140998199195943</v>
      </c>
      <c r="G187" s="95">
        <v>8.1869929053316213</v>
      </c>
      <c r="H187" s="95">
        <v>13.874503851755781</v>
      </c>
      <c r="I187" s="87">
        <v>0.6639322939723229</v>
      </c>
      <c r="J187" s="87">
        <v>1.2798823716305954</v>
      </c>
      <c r="K187" s="96">
        <v>17.21775454610194</v>
      </c>
      <c r="L187" s="87">
        <v>2.755358596930519</v>
      </c>
      <c r="M187" s="95">
        <v>3.0651698626242632</v>
      </c>
      <c r="N187" s="87">
        <v>12.088644720463453</v>
      </c>
      <c r="O187" s="87">
        <v>1.0848110085950349</v>
      </c>
      <c r="P187" s="87">
        <v>1.0590396479872948</v>
      </c>
      <c r="Q187" s="96">
        <v>0.41502175493176396</v>
      </c>
    </row>
    <row r="188" spans="2:21" x14ac:dyDescent="0.3">
      <c r="B188" s="136"/>
    </row>
    <row r="189" spans="2:21" x14ac:dyDescent="0.3">
      <c r="B189" s="60"/>
      <c r="C189" s="9"/>
      <c r="D189" s="58"/>
      <c r="E189" s="58"/>
      <c r="F189" s="50"/>
      <c r="G189" s="58"/>
      <c r="H189" s="50"/>
      <c r="I189" s="58"/>
      <c r="J189" s="58"/>
      <c r="K189" s="58"/>
      <c r="L189" s="50"/>
      <c r="M189" s="58"/>
      <c r="N189" s="58"/>
    </row>
    <row r="190" spans="2:21" ht="17.25" customHeight="1" x14ac:dyDescent="0.3">
      <c r="B190" s="1" t="s">
        <v>488</v>
      </c>
      <c r="D190" s="59"/>
      <c r="E190" s="59"/>
      <c r="F190" s="304"/>
      <c r="G190" s="304"/>
      <c r="H190" s="304"/>
      <c r="I190" s="304"/>
      <c r="J190" s="304"/>
      <c r="K190" s="304"/>
      <c r="L190" s="304"/>
      <c r="M190" s="304"/>
      <c r="N190" s="304"/>
      <c r="O190" s="304"/>
      <c r="P190" s="304"/>
      <c r="Q190" s="304"/>
      <c r="R190" s="304"/>
      <c r="S190" s="304"/>
      <c r="T190" s="304"/>
      <c r="U190" s="304"/>
    </row>
    <row r="191" spans="2:21" ht="10.5" customHeight="1" x14ac:dyDescent="0.3"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30"/>
      <c r="P191" s="30"/>
      <c r="Q191" s="30" t="s">
        <v>157</v>
      </c>
    </row>
    <row r="192" spans="2:21" s="22" customFormat="1" ht="20.25" customHeight="1" x14ac:dyDescent="0.3">
      <c r="B192" s="307"/>
      <c r="C192" s="307"/>
      <c r="D192" s="300" t="s">
        <v>120</v>
      </c>
      <c r="E192" s="300"/>
      <c r="F192" s="300"/>
      <c r="G192" s="300"/>
      <c r="H192" s="300"/>
      <c r="I192" s="300"/>
      <c r="J192" s="301"/>
      <c r="K192" s="299" t="s">
        <v>125</v>
      </c>
      <c r="L192" s="300"/>
      <c r="M192" s="300"/>
      <c r="N192" s="300"/>
      <c r="O192" s="300"/>
      <c r="P192" s="301"/>
      <c r="Q192" s="212" t="s">
        <v>38</v>
      </c>
    </row>
    <row r="193" spans="2:17" s="22" customFormat="1" ht="27" x14ac:dyDescent="0.3">
      <c r="B193" s="300"/>
      <c r="C193" s="300"/>
      <c r="D193" s="202" t="s">
        <v>39</v>
      </c>
      <c r="E193" s="202" t="s">
        <v>40</v>
      </c>
      <c r="F193" s="202" t="s">
        <v>116</v>
      </c>
      <c r="G193" s="202" t="s">
        <v>117</v>
      </c>
      <c r="H193" s="202" t="s">
        <v>115</v>
      </c>
      <c r="I193" s="202" t="s">
        <v>119</v>
      </c>
      <c r="J193" s="202" t="s">
        <v>300</v>
      </c>
      <c r="K193" s="214" t="s">
        <v>298</v>
      </c>
      <c r="L193" s="202" t="s">
        <v>299</v>
      </c>
      <c r="M193" s="202" t="s">
        <v>121</v>
      </c>
      <c r="N193" s="202" t="s">
        <v>118</v>
      </c>
      <c r="O193" s="202" t="s">
        <v>122</v>
      </c>
      <c r="P193" s="202" t="s">
        <v>124</v>
      </c>
      <c r="Q193" s="214" t="s">
        <v>38</v>
      </c>
    </row>
    <row r="194" spans="2:17" ht="21.75" customHeight="1" x14ac:dyDescent="0.3">
      <c r="B194" s="292" t="s">
        <v>20</v>
      </c>
      <c r="C194" s="292"/>
      <c r="D194" s="86">
        <v>29.008185376193364</v>
      </c>
      <c r="E194" s="86">
        <v>26.791262361445906</v>
      </c>
      <c r="F194" s="88">
        <v>27.747170916661211</v>
      </c>
      <c r="G194" s="88">
        <v>24.858584556309911</v>
      </c>
      <c r="H194" s="88">
        <v>40.791808054927209</v>
      </c>
      <c r="I194" s="86">
        <v>3.7928318093643756</v>
      </c>
      <c r="J194" s="86">
        <v>10.225446801425289</v>
      </c>
      <c r="K194" s="92">
        <v>38.912884285449827</v>
      </c>
      <c r="L194" s="86">
        <v>18.307197424040087</v>
      </c>
      <c r="M194" s="88">
        <v>20.456985152784693</v>
      </c>
      <c r="N194" s="86">
        <v>42.575735905122414</v>
      </c>
      <c r="O194" s="86">
        <v>9.9485882138258095</v>
      </c>
      <c r="P194" s="86">
        <v>4.8561335538228922</v>
      </c>
      <c r="Q194" s="92">
        <v>1.7271855886277294</v>
      </c>
    </row>
    <row r="195" spans="2:17" x14ac:dyDescent="0.3">
      <c r="B195" s="296" t="s">
        <v>5</v>
      </c>
      <c r="C195" s="13" t="s">
        <v>0</v>
      </c>
      <c r="D195" s="84">
        <v>33.122930180126133</v>
      </c>
      <c r="E195" s="84">
        <v>28.691775599846999</v>
      </c>
      <c r="F195" s="89">
        <v>27.593565057412906</v>
      </c>
      <c r="G195" s="89">
        <v>29.000621678096316</v>
      </c>
      <c r="H195" s="89">
        <v>43.230033150874654</v>
      </c>
      <c r="I195" s="84">
        <v>3.8889434390408533</v>
      </c>
      <c r="J195" s="84">
        <v>9.6951114248746961</v>
      </c>
      <c r="K195" s="93">
        <v>34.290466350462239</v>
      </c>
      <c r="L195" s="84">
        <v>15.932858098670099</v>
      </c>
      <c r="M195" s="89">
        <v>18.643104773209824</v>
      </c>
      <c r="N195" s="84">
        <v>42.309015734539216</v>
      </c>
      <c r="O195" s="84">
        <v>8.1083912917471785</v>
      </c>
      <c r="P195" s="84">
        <v>4.122476415086374</v>
      </c>
      <c r="Q195" s="93">
        <v>1.3707068060109382</v>
      </c>
    </row>
    <row r="196" spans="2:17" x14ac:dyDescent="0.3">
      <c r="B196" s="295"/>
      <c r="C196" s="12" t="s">
        <v>1</v>
      </c>
      <c r="D196" s="90">
        <v>25.556329761474395</v>
      </c>
      <c r="E196" s="90">
        <v>25.196923561490873</v>
      </c>
      <c r="F196" s="91">
        <v>27.876030730079528</v>
      </c>
      <c r="G196" s="91">
        <v>21.383833441356874</v>
      </c>
      <c r="H196" s="91">
        <v>38.746383274427323</v>
      </c>
      <c r="I196" s="90">
        <v>3.7122038520189973</v>
      </c>
      <c r="J196" s="90">
        <v>10.670344658876859</v>
      </c>
      <c r="K196" s="94">
        <v>42.790626420808998</v>
      </c>
      <c r="L196" s="90">
        <v>20.299028490620717</v>
      </c>
      <c r="M196" s="91">
        <v>21.978647727503304</v>
      </c>
      <c r="N196" s="90">
        <v>42.799487209821571</v>
      </c>
      <c r="O196" s="90">
        <v>11.492327711739113</v>
      </c>
      <c r="P196" s="90">
        <v>5.4715978497387283</v>
      </c>
      <c r="Q196" s="94">
        <v>2.026235310041232</v>
      </c>
    </row>
    <row r="197" spans="2:17" x14ac:dyDescent="0.3">
      <c r="B197" s="296" t="s">
        <v>4</v>
      </c>
      <c r="C197" s="9" t="s">
        <v>175</v>
      </c>
      <c r="D197" s="86">
        <v>30.521414352978105</v>
      </c>
      <c r="E197" s="86">
        <v>23.585930528086493</v>
      </c>
      <c r="F197" s="88">
        <v>32.167748224371529</v>
      </c>
      <c r="G197" s="88">
        <v>16.464423370578967</v>
      </c>
      <c r="H197" s="88">
        <v>28.592144162593929</v>
      </c>
      <c r="I197" s="86">
        <v>4.1297970430466178</v>
      </c>
      <c r="J197" s="86">
        <v>10.138820714746268</v>
      </c>
      <c r="K197" s="92">
        <v>69.560199335044231</v>
      </c>
      <c r="L197" s="86">
        <v>30.611267471487547</v>
      </c>
      <c r="M197" s="88">
        <v>8.0433276502336195</v>
      </c>
      <c r="N197" s="86">
        <v>22.489026834173604</v>
      </c>
      <c r="O197" s="86">
        <v>5.7341552118501458</v>
      </c>
      <c r="P197" s="86">
        <v>15.903863256553805</v>
      </c>
      <c r="Q197" s="92">
        <v>2.0578818442551272</v>
      </c>
    </row>
    <row r="198" spans="2:17" x14ac:dyDescent="0.3">
      <c r="B198" s="292"/>
      <c r="C198" s="9" t="s">
        <v>176</v>
      </c>
      <c r="D198" s="86">
        <v>30.581204920188888</v>
      </c>
      <c r="E198" s="86">
        <v>29.450110564762173</v>
      </c>
      <c r="F198" s="88">
        <v>34.163138352811835</v>
      </c>
      <c r="G198" s="88">
        <v>18.692630994990932</v>
      </c>
      <c r="H198" s="88">
        <v>28.4187820707611</v>
      </c>
      <c r="I198" s="86">
        <v>4.2425200455092922</v>
      </c>
      <c r="J198" s="86">
        <v>7.8523688558060911</v>
      </c>
      <c r="K198" s="92">
        <v>58.265409375055057</v>
      </c>
      <c r="L198" s="86">
        <v>28.748246517112364</v>
      </c>
      <c r="M198" s="88">
        <v>13.480559253926879</v>
      </c>
      <c r="N198" s="86">
        <v>33.485701308044376</v>
      </c>
      <c r="O198" s="86">
        <v>2.3986781175343435</v>
      </c>
      <c r="P198" s="86">
        <v>8.5229656326154775</v>
      </c>
      <c r="Q198" s="92">
        <v>1.6976839908808783</v>
      </c>
    </row>
    <row r="199" spans="2:17" x14ac:dyDescent="0.3">
      <c r="B199" s="292"/>
      <c r="C199" s="9" t="s">
        <v>177</v>
      </c>
      <c r="D199" s="86">
        <v>30.033243262115295</v>
      </c>
      <c r="E199" s="86">
        <v>33.568053234514764</v>
      </c>
      <c r="F199" s="88">
        <v>34.239244562270919</v>
      </c>
      <c r="G199" s="88">
        <v>17.943059211271837</v>
      </c>
      <c r="H199" s="88">
        <v>37.7078989396203</v>
      </c>
      <c r="I199" s="86">
        <v>4.6129258798274746</v>
      </c>
      <c r="J199" s="86">
        <v>7.2611562748503449</v>
      </c>
      <c r="K199" s="92">
        <v>45.449117610094426</v>
      </c>
      <c r="L199" s="86">
        <v>17.786721996561251</v>
      </c>
      <c r="M199" s="88">
        <v>18.351101820060936</v>
      </c>
      <c r="N199" s="86">
        <v>42.189988308440832</v>
      </c>
      <c r="O199" s="86">
        <v>4.9799280843372262</v>
      </c>
      <c r="P199" s="86">
        <v>4.3611928362284313</v>
      </c>
      <c r="Q199" s="92">
        <v>1.516367979805485</v>
      </c>
    </row>
    <row r="200" spans="2:17" x14ac:dyDescent="0.3">
      <c r="B200" s="292"/>
      <c r="C200" s="9" t="s">
        <v>178</v>
      </c>
      <c r="D200" s="86">
        <v>27.711969295571841</v>
      </c>
      <c r="E200" s="86">
        <v>25.96035635698879</v>
      </c>
      <c r="F200" s="88">
        <v>25.520470052651341</v>
      </c>
      <c r="G200" s="88">
        <v>26.652637355470876</v>
      </c>
      <c r="H200" s="88">
        <v>45.351519411947429</v>
      </c>
      <c r="I200" s="86">
        <v>3.773641092978087</v>
      </c>
      <c r="J200" s="86">
        <v>8.9590169714305787</v>
      </c>
      <c r="K200" s="92">
        <v>33.040630124938012</v>
      </c>
      <c r="L200" s="86">
        <v>17.179769284575226</v>
      </c>
      <c r="M200" s="88">
        <v>23.926572526579822</v>
      </c>
      <c r="N200" s="86">
        <v>47.90041359471828</v>
      </c>
      <c r="O200" s="86">
        <v>9.7162613997001586</v>
      </c>
      <c r="P200" s="86">
        <v>3.219088701201025</v>
      </c>
      <c r="Q200" s="92">
        <v>1.087653831247225</v>
      </c>
    </row>
    <row r="201" spans="2:17" x14ac:dyDescent="0.3">
      <c r="B201" s="292"/>
      <c r="C201" s="9" t="s">
        <v>179</v>
      </c>
      <c r="D201" s="86">
        <v>26.914020742047835</v>
      </c>
      <c r="E201" s="86">
        <v>22.655147271123557</v>
      </c>
      <c r="F201" s="88">
        <v>23.165772341729181</v>
      </c>
      <c r="G201" s="88">
        <v>27.82504944867723</v>
      </c>
      <c r="H201" s="88">
        <v>46.396866907474646</v>
      </c>
      <c r="I201" s="86">
        <v>2.9077432315153322</v>
      </c>
      <c r="J201" s="86">
        <v>10.738133178202727</v>
      </c>
      <c r="K201" s="92">
        <v>28.997864354178283</v>
      </c>
      <c r="L201" s="86">
        <v>12.820012883842471</v>
      </c>
      <c r="M201" s="88">
        <v>27.001060844006158</v>
      </c>
      <c r="N201" s="86">
        <v>51.127339988081623</v>
      </c>
      <c r="O201" s="86">
        <v>15.136776967678928</v>
      </c>
      <c r="P201" s="86">
        <v>2.3623549642295587</v>
      </c>
      <c r="Q201" s="92">
        <v>1.9518568772120275</v>
      </c>
    </row>
    <row r="202" spans="2:17" x14ac:dyDescent="0.3">
      <c r="B202" s="298"/>
      <c r="C202" s="12" t="s">
        <v>180</v>
      </c>
      <c r="D202" s="90">
        <v>29.790514685626672</v>
      </c>
      <c r="E202" s="90">
        <v>22.846931562582064</v>
      </c>
      <c r="F202" s="91">
        <v>19.926457209411396</v>
      </c>
      <c r="G202" s="91">
        <v>36.701710447251401</v>
      </c>
      <c r="H202" s="91">
        <v>49.29667034706425</v>
      </c>
      <c r="I202" s="90">
        <v>3.314115443033149</v>
      </c>
      <c r="J202" s="90">
        <v>17.43464145545963</v>
      </c>
      <c r="K202" s="94">
        <v>19.703985264044213</v>
      </c>
      <c r="L202" s="90">
        <v>11.706861987136215</v>
      </c>
      <c r="M202" s="91">
        <v>22.131472336389383</v>
      </c>
      <c r="N202" s="90">
        <v>42.09076676978313</v>
      </c>
      <c r="O202" s="90">
        <v>19.524168182503466</v>
      </c>
      <c r="P202" s="90">
        <v>3.0797824930431053</v>
      </c>
      <c r="Q202" s="94">
        <v>2.451921816672026</v>
      </c>
    </row>
    <row r="203" spans="2:17" x14ac:dyDescent="0.3">
      <c r="B203" s="292" t="s">
        <v>223</v>
      </c>
      <c r="C203" s="9" t="s">
        <v>210</v>
      </c>
      <c r="D203" s="86">
        <v>38.456429520829694</v>
      </c>
      <c r="E203" s="86">
        <v>23.291131856966054</v>
      </c>
      <c r="F203" s="88">
        <v>27.64407245776896</v>
      </c>
      <c r="G203" s="88">
        <v>18.173182407430783</v>
      </c>
      <c r="H203" s="88">
        <v>33.527512777876652</v>
      </c>
      <c r="I203" s="86">
        <v>3.966135061938393</v>
      </c>
      <c r="J203" s="86">
        <v>13.561269964206621</v>
      </c>
      <c r="K203" s="92">
        <v>52.81257334019849</v>
      </c>
      <c r="L203" s="86">
        <v>30.458764374770098</v>
      </c>
      <c r="M203" s="88">
        <v>10.024472124164777</v>
      </c>
      <c r="N203" s="86">
        <v>21.296521450881155</v>
      </c>
      <c r="O203" s="86">
        <v>8.9205711097897122</v>
      </c>
      <c r="P203" s="86">
        <v>15.40726411422559</v>
      </c>
      <c r="Q203" s="92">
        <v>2.4600994389530539</v>
      </c>
    </row>
    <row r="204" spans="2:17" x14ac:dyDescent="0.3">
      <c r="B204" s="292"/>
      <c r="C204" s="9" t="s">
        <v>211</v>
      </c>
      <c r="D204" s="86">
        <v>36.887088339980245</v>
      </c>
      <c r="E204" s="86">
        <v>30.952751867094452</v>
      </c>
      <c r="F204" s="88">
        <v>29.644598954552681</v>
      </c>
      <c r="G204" s="88">
        <v>21.745585668059377</v>
      </c>
      <c r="H204" s="88">
        <v>30.569988589137669</v>
      </c>
      <c r="I204" s="86">
        <v>4.2086044464166932</v>
      </c>
      <c r="J204" s="86">
        <v>7.8516039260287593</v>
      </c>
      <c r="K204" s="92">
        <v>49.110714452881723</v>
      </c>
      <c r="L204" s="86">
        <v>26.766752074560333</v>
      </c>
      <c r="M204" s="88">
        <v>14.057759240472672</v>
      </c>
      <c r="N204" s="86">
        <v>36.362493115284863</v>
      </c>
      <c r="O204" s="86">
        <v>2.297896581175733</v>
      </c>
      <c r="P204" s="86">
        <v>7.6268692371841524</v>
      </c>
      <c r="Q204" s="92">
        <v>1.9172935071699684</v>
      </c>
    </row>
    <row r="205" spans="2:17" x14ac:dyDescent="0.3">
      <c r="B205" s="292"/>
      <c r="C205" s="9" t="s">
        <v>212</v>
      </c>
      <c r="D205" s="86">
        <v>35.560319608648889</v>
      </c>
      <c r="E205" s="86">
        <v>35.946032190145154</v>
      </c>
      <c r="F205" s="88">
        <v>33.665140845450502</v>
      </c>
      <c r="G205" s="88">
        <v>21.989076438366194</v>
      </c>
      <c r="H205" s="88">
        <v>41.63930647054957</v>
      </c>
      <c r="I205" s="86">
        <v>5.3816183836967513</v>
      </c>
      <c r="J205" s="86">
        <v>7.3526651385263504</v>
      </c>
      <c r="K205" s="92">
        <v>39.849526530624878</v>
      </c>
      <c r="L205" s="86">
        <v>14.023858865200612</v>
      </c>
      <c r="M205" s="88">
        <v>16.571816754165773</v>
      </c>
      <c r="N205" s="86">
        <v>38.408741108467432</v>
      </c>
      <c r="O205" s="86">
        <v>5.163178052368619</v>
      </c>
      <c r="P205" s="86">
        <v>3.3306740921242834</v>
      </c>
      <c r="Q205" s="92">
        <v>1.1180455216662</v>
      </c>
    </row>
    <row r="206" spans="2:17" x14ac:dyDescent="0.3">
      <c r="B206" s="292"/>
      <c r="C206" s="9" t="s">
        <v>213</v>
      </c>
      <c r="D206" s="86">
        <v>32.626899189166437</v>
      </c>
      <c r="E206" s="86">
        <v>26.993266141861177</v>
      </c>
      <c r="F206" s="88">
        <v>26.040798385606017</v>
      </c>
      <c r="G206" s="88">
        <v>31.435700990275379</v>
      </c>
      <c r="H206" s="88">
        <v>44.831178751377308</v>
      </c>
      <c r="I206" s="86">
        <v>3.8865831799154948</v>
      </c>
      <c r="J206" s="86">
        <v>8.6304717523896404</v>
      </c>
      <c r="K206" s="92">
        <v>28.7484469186385</v>
      </c>
      <c r="L206" s="86">
        <v>13.888691984354844</v>
      </c>
      <c r="M206" s="88">
        <v>22.781979879898781</v>
      </c>
      <c r="N206" s="86">
        <v>47.086656686218305</v>
      </c>
      <c r="O206" s="86">
        <v>9.0546814469370567</v>
      </c>
      <c r="P206" s="86">
        <v>2.9671536339903977</v>
      </c>
      <c r="Q206" s="92">
        <v>1.027491059371886</v>
      </c>
    </row>
    <row r="207" spans="2:17" x14ac:dyDescent="0.3">
      <c r="B207" s="292"/>
      <c r="C207" s="9" t="s">
        <v>214</v>
      </c>
      <c r="D207" s="86">
        <v>30.631542161456537</v>
      </c>
      <c r="E207" s="86">
        <v>25.647646482035597</v>
      </c>
      <c r="F207" s="88">
        <v>25.795474796416677</v>
      </c>
      <c r="G207" s="88">
        <v>32.392360417047648</v>
      </c>
      <c r="H207" s="88">
        <v>50.224370108123772</v>
      </c>
      <c r="I207" s="86">
        <v>2.5149801288227849</v>
      </c>
      <c r="J207" s="86">
        <v>9.0424770316299821</v>
      </c>
      <c r="K207" s="92">
        <v>27.438711667959737</v>
      </c>
      <c r="L207" s="86">
        <v>10.137791150564937</v>
      </c>
      <c r="M207" s="88">
        <v>21.491224160528009</v>
      </c>
      <c r="N207" s="86">
        <v>51.958642127949183</v>
      </c>
      <c r="O207" s="86">
        <v>9.8459483047061713</v>
      </c>
      <c r="P207" s="86">
        <v>1.3956781693708322</v>
      </c>
      <c r="Q207" s="92">
        <v>1.4831532933881708</v>
      </c>
    </row>
    <row r="208" spans="2:17" x14ac:dyDescent="0.3">
      <c r="B208" s="292"/>
      <c r="C208" s="12" t="s">
        <v>215</v>
      </c>
      <c r="D208" s="90">
        <v>26.904777635778576</v>
      </c>
      <c r="E208" s="90">
        <v>23.781824253613976</v>
      </c>
      <c r="F208" s="91">
        <v>20.886032775448125</v>
      </c>
      <c r="G208" s="91">
        <v>44.165515942026339</v>
      </c>
      <c r="H208" s="91">
        <v>53.731429215866257</v>
      </c>
      <c r="I208" s="90">
        <v>3.1243313366003824</v>
      </c>
      <c r="J208" s="90">
        <v>16.509573165971648</v>
      </c>
      <c r="K208" s="94">
        <v>17.845063523772104</v>
      </c>
      <c r="L208" s="90">
        <v>10.190969245942817</v>
      </c>
      <c r="M208" s="91">
        <v>20.714767590200537</v>
      </c>
      <c r="N208" s="90">
        <v>43.201220646987537</v>
      </c>
      <c r="O208" s="90">
        <v>15.883127748837694</v>
      </c>
      <c r="P208" s="90">
        <v>2.0606318112395354</v>
      </c>
      <c r="Q208" s="94">
        <v>1.000735107714174</v>
      </c>
    </row>
    <row r="209" spans="2:17" x14ac:dyDescent="0.3">
      <c r="B209" s="292"/>
      <c r="C209" s="9" t="s">
        <v>216</v>
      </c>
      <c r="D209" s="86">
        <v>23.96256107319897</v>
      </c>
      <c r="E209" s="86">
        <v>23.829602555178077</v>
      </c>
      <c r="F209" s="88">
        <v>35.906887345194662</v>
      </c>
      <c r="G209" s="88">
        <v>15.052012735421702</v>
      </c>
      <c r="H209" s="88">
        <v>24.512711679539141</v>
      </c>
      <c r="I209" s="86">
        <v>4.2650752874935618</v>
      </c>
      <c r="J209" s="86">
        <v>7.3099234776439079</v>
      </c>
      <c r="K209" s="92">
        <v>83.403301000412483</v>
      </c>
      <c r="L209" s="86">
        <v>30.737322105905136</v>
      </c>
      <c r="M209" s="88">
        <v>6.4057711168567799</v>
      </c>
      <c r="N209" s="86">
        <v>23.474717179927488</v>
      </c>
      <c r="O209" s="86">
        <v>3.1003562939080886</v>
      </c>
      <c r="P209" s="86">
        <v>16.314337697307373</v>
      </c>
      <c r="Q209" s="92">
        <v>1.7254204520126177</v>
      </c>
    </row>
    <row r="210" spans="2:17" x14ac:dyDescent="0.3">
      <c r="B210" s="292"/>
      <c r="C210" s="9" t="s">
        <v>217</v>
      </c>
      <c r="D210" s="86">
        <v>24.813375308342493</v>
      </c>
      <c r="E210" s="86">
        <v>28.075683157434391</v>
      </c>
      <c r="F210" s="88">
        <v>38.296130292018518</v>
      </c>
      <c r="G210" s="88">
        <v>15.900171763714507</v>
      </c>
      <c r="H210" s="88">
        <v>26.451128717236276</v>
      </c>
      <c r="I210" s="86">
        <v>4.2735417729544771</v>
      </c>
      <c r="J210" s="86">
        <v>7.853068517427964</v>
      </c>
      <c r="K210" s="92">
        <v>66.638973702902987</v>
      </c>
      <c r="L210" s="86">
        <v>30.560668593548346</v>
      </c>
      <c r="M210" s="88">
        <v>12.952609250298948</v>
      </c>
      <c r="N210" s="86">
        <v>30.854373725799348</v>
      </c>
      <c r="O210" s="86">
        <v>2.4908604004976138</v>
      </c>
      <c r="P210" s="86">
        <v>9.3426019913239351</v>
      </c>
      <c r="Q210" s="92">
        <v>1.4968128065009114</v>
      </c>
    </row>
    <row r="211" spans="2:17" x14ac:dyDescent="0.3">
      <c r="B211" s="292"/>
      <c r="C211" s="9" t="s">
        <v>218</v>
      </c>
      <c r="D211" s="86">
        <v>24.845291615842559</v>
      </c>
      <c r="E211" s="86">
        <v>31.33597988068794</v>
      </c>
      <c r="F211" s="88">
        <v>34.778123010128645</v>
      </c>
      <c r="G211" s="88">
        <v>14.145293373042273</v>
      </c>
      <c r="H211" s="88">
        <v>34.01771069298168</v>
      </c>
      <c r="I211" s="86">
        <v>3.8913980247930207</v>
      </c>
      <c r="J211" s="86">
        <v>7.1752621184843015</v>
      </c>
      <c r="K211" s="92">
        <v>50.705134704450629</v>
      </c>
      <c r="L211" s="86">
        <v>21.318707218601109</v>
      </c>
      <c r="M211" s="88">
        <v>20.021215331807412</v>
      </c>
      <c r="N211" s="86">
        <v>45.739229608205427</v>
      </c>
      <c r="O211" s="86">
        <v>4.8079217805118866</v>
      </c>
      <c r="P211" s="86">
        <v>5.3284820647087621</v>
      </c>
      <c r="Q211" s="92">
        <v>1.8902505757546546</v>
      </c>
    </row>
    <row r="212" spans="2:17" x14ac:dyDescent="0.3">
      <c r="B212" s="292"/>
      <c r="C212" s="9" t="s">
        <v>219</v>
      </c>
      <c r="D212" s="86">
        <v>23.371070357553666</v>
      </c>
      <c r="E212" s="86">
        <v>25.048083530053194</v>
      </c>
      <c r="F212" s="88">
        <v>25.060912590624064</v>
      </c>
      <c r="G212" s="88">
        <v>22.428203578733637</v>
      </c>
      <c r="H212" s="88">
        <v>45.811087761808629</v>
      </c>
      <c r="I212" s="86">
        <v>3.6738898867843166</v>
      </c>
      <c r="J212" s="86">
        <v>9.2491903051917177</v>
      </c>
      <c r="K212" s="92">
        <v>36.83151502571598</v>
      </c>
      <c r="L212" s="86">
        <v>20.086470756773963</v>
      </c>
      <c r="M212" s="88">
        <v>24.937484403658363</v>
      </c>
      <c r="N212" s="86">
        <v>48.619129136220181</v>
      </c>
      <c r="O212" s="86">
        <v>10.300573236600894</v>
      </c>
      <c r="P212" s="86">
        <v>3.4415994367315128</v>
      </c>
      <c r="Q212" s="92">
        <v>1.1407899935518717</v>
      </c>
    </row>
    <row r="213" spans="2:17" x14ac:dyDescent="0.3">
      <c r="B213" s="292"/>
      <c r="C213" s="9" t="s">
        <v>220</v>
      </c>
      <c r="D213" s="86">
        <v>24.031954120904683</v>
      </c>
      <c r="E213" s="86">
        <v>20.335165456213463</v>
      </c>
      <c r="F213" s="88">
        <v>21.127054386097683</v>
      </c>
      <c r="G213" s="88">
        <v>24.284170189287458</v>
      </c>
      <c r="H213" s="88">
        <v>43.429535190347906</v>
      </c>
      <c r="I213" s="86">
        <v>3.2122389695565432</v>
      </c>
      <c r="J213" s="86">
        <v>12.052717125307742</v>
      </c>
      <c r="K213" s="92">
        <v>30.206621858777044</v>
      </c>
      <c r="L213" s="86">
        <v>14.899447231584242</v>
      </c>
      <c r="M213" s="88">
        <v>31.272647904808931</v>
      </c>
      <c r="N213" s="86">
        <v>50.482860002871945</v>
      </c>
      <c r="O213" s="86">
        <v>19.238574635375258</v>
      </c>
      <c r="P213" s="86">
        <v>3.111786267933847</v>
      </c>
      <c r="Q213" s="92">
        <v>2.3152266609330905</v>
      </c>
    </row>
    <row r="214" spans="2:17" x14ac:dyDescent="0.3">
      <c r="B214" s="295"/>
      <c r="C214" s="9" t="s">
        <v>221</v>
      </c>
      <c r="D214" s="86">
        <v>31.774855210885406</v>
      </c>
      <c r="E214" s="86">
        <v>22.204064446993385</v>
      </c>
      <c r="F214" s="88">
        <v>19.26661722751307</v>
      </c>
      <c r="G214" s="88">
        <v>31.569319151685637</v>
      </c>
      <c r="H214" s="88">
        <v>46.247164591306152</v>
      </c>
      <c r="I214" s="86">
        <v>3.4446180796002501</v>
      </c>
      <c r="J214" s="86">
        <v>18.070752945783848</v>
      </c>
      <c r="K214" s="92">
        <v>20.9822492495659</v>
      </c>
      <c r="L214" s="86">
        <v>12.749246426998468</v>
      </c>
      <c r="M214" s="88">
        <v>23.105651408019209</v>
      </c>
      <c r="N214" s="86">
        <v>41.327177228565503</v>
      </c>
      <c r="O214" s="86">
        <v>22.027883511316627</v>
      </c>
      <c r="P214" s="86">
        <v>3.7805885485894435</v>
      </c>
      <c r="Q214" s="92">
        <v>3.4498119731759362</v>
      </c>
    </row>
    <row r="215" spans="2:17" ht="16.5" customHeight="1" x14ac:dyDescent="0.3">
      <c r="B215" s="291" t="s">
        <v>222</v>
      </c>
      <c r="C215" s="13" t="s">
        <v>226</v>
      </c>
      <c r="D215" s="84">
        <v>24.206938705710495</v>
      </c>
      <c r="E215" s="84">
        <v>23.508522213668016</v>
      </c>
      <c r="F215" s="89">
        <v>27.451722358750175</v>
      </c>
      <c r="G215" s="89">
        <v>28.05928308157203</v>
      </c>
      <c r="H215" s="89">
        <v>31.76892775227159</v>
      </c>
      <c r="I215" s="84">
        <v>3.8910929389170055</v>
      </c>
      <c r="J215" s="84">
        <v>13.806677642044688</v>
      </c>
      <c r="K215" s="93">
        <v>39.495170138958017</v>
      </c>
      <c r="L215" s="84">
        <v>18.69390463646786</v>
      </c>
      <c r="M215" s="89">
        <v>20.806409843358768</v>
      </c>
      <c r="N215" s="84">
        <v>47.245012700344688</v>
      </c>
      <c r="O215" s="84">
        <v>10.738035605155886</v>
      </c>
      <c r="P215" s="84">
        <v>6.9967994589937756</v>
      </c>
      <c r="Q215" s="93">
        <v>3.3315029237868554</v>
      </c>
    </row>
    <row r="216" spans="2:17" ht="16.5" customHeight="1" x14ac:dyDescent="0.3">
      <c r="B216" s="294"/>
      <c r="C216" s="9" t="s">
        <v>227</v>
      </c>
      <c r="D216" s="86">
        <v>26.570424955129361</v>
      </c>
      <c r="E216" s="86">
        <v>25.415117534999009</v>
      </c>
      <c r="F216" s="88">
        <v>27.130781145037957</v>
      </c>
      <c r="G216" s="88">
        <v>26.863605820634529</v>
      </c>
      <c r="H216" s="88">
        <v>41.126381937798612</v>
      </c>
      <c r="I216" s="86">
        <v>2.8657577538313688</v>
      </c>
      <c r="J216" s="86">
        <v>11.243554294567865</v>
      </c>
      <c r="K216" s="92">
        <v>39.188396704296537</v>
      </c>
      <c r="L216" s="86">
        <v>17.304691091746381</v>
      </c>
      <c r="M216" s="88">
        <v>20.052723723473012</v>
      </c>
      <c r="N216" s="86">
        <v>44.32570708584278</v>
      </c>
      <c r="O216" s="86">
        <v>11.929713889723201</v>
      </c>
      <c r="P216" s="86">
        <v>4.7613989742742353</v>
      </c>
      <c r="Q216" s="92">
        <v>1.2217450886444781</v>
      </c>
    </row>
    <row r="217" spans="2:17" x14ac:dyDescent="0.3">
      <c r="B217" s="292"/>
      <c r="C217" s="9" t="s">
        <v>228</v>
      </c>
      <c r="D217" s="86">
        <v>29.120468628011807</v>
      </c>
      <c r="E217" s="86">
        <v>28.102258016423765</v>
      </c>
      <c r="F217" s="88">
        <v>27.987414696888042</v>
      </c>
      <c r="G217" s="88">
        <v>25.70083803782089</v>
      </c>
      <c r="H217" s="88">
        <v>45.106151087093316</v>
      </c>
      <c r="I217" s="86">
        <v>3.8184512820510679</v>
      </c>
      <c r="J217" s="86">
        <v>9.2139624555902948</v>
      </c>
      <c r="K217" s="92">
        <v>38.338885939072554</v>
      </c>
      <c r="L217" s="86">
        <v>18.000374972080376</v>
      </c>
      <c r="M217" s="88">
        <v>20.766523040154553</v>
      </c>
      <c r="N217" s="86">
        <v>40.654397411104917</v>
      </c>
      <c r="O217" s="86">
        <v>8.8842858025536291</v>
      </c>
      <c r="P217" s="86">
        <v>3.0734242279885908</v>
      </c>
      <c r="Q217" s="92">
        <v>1.2325644031655068</v>
      </c>
    </row>
    <row r="218" spans="2:17" x14ac:dyDescent="0.3">
      <c r="B218" s="295"/>
      <c r="C218" s="12" t="s">
        <v>229</v>
      </c>
      <c r="D218" s="90">
        <v>36.225777563359678</v>
      </c>
      <c r="E218" s="90">
        <v>30.325434428858706</v>
      </c>
      <c r="F218" s="91">
        <v>28.514125390545725</v>
      </c>
      <c r="G218" s="91">
        <v>18.821436908111131</v>
      </c>
      <c r="H218" s="91">
        <v>45.247029781173282</v>
      </c>
      <c r="I218" s="90">
        <v>4.7220504909003251</v>
      </c>
      <c r="J218" s="90">
        <v>6.5504740118002269</v>
      </c>
      <c r="K218" s="94">
        <v>38.547474341744056</v>
      </c>
      <c r="L218" s="90">
        <v>19.336087148158903</v>
      </c>
      <c r="M218" s="91">
        <v>20.311115361681395</v>
      </c>
      <c r="N218" s="90">
        <v>37.831850142521503</v>
      </c>
      <c r="O218" s="90">
        <v>7.8898897984934377</v>
      </c>
      <c r="P218" s="90">
        <v>4.4764909570555806</v>
      </c>
      <c r="Q218" s="94">
        <v>1.2007636755954729</v>
      </c>
    </row>
    <row r="219" spans="2:17" x14ac:dyDescent="0.3">
      <c r="B219" s="296" t="s">
        <v>199</v>
      </c>
      <c r="C219" s="13" t="s">
        <v>192</v>
      </c>
      <c r="D219" s="84">
        <v>30.732701334196211</v>
      </c>
      <c r="E219" s="84">
        <v>33.945295630896574</v>
      </c>
      <c r="F219" s="89">
        <v>30.129684564064007</v>
      </c>
      <c r="G219" s="89">
        <v>23.286070246634118</v>
      </c>
      <c r="H219" s="89">
        <v>40.306094153297948</v>
      </c>
      <c r="I219" s="84">
        <v>4.4749871967589989</v>
      </c>
      <c r="J219" s="84">
        <v>8.9637004682052535</v>
      </c>
      <c r="K219" s="93">
        <v>37.643422515492098</v>
      </c>
      <c r="L219" s="84">
        <v>17.480056595220095</v>
      </c>
      <c r="M219" s="89">
        <v>19.252040869082172</v>
      </c>
      <c r="N219" s="84">
        <v>39.764000174908453</v>
      </c>
      <c r="O219" s="84">
        <v>8.5237744349241407</v>
      </c>
      <c r="P219" s="84">
        <v>4.0289767799491392</v>
      </c>
      <c r="Q219" s="93">
        <v>1.4691950363679456</v>
      </c>
    </row>
    <row r="220" spans="2:17" x14ac:dyDescent="0.3">
      <c r="B220" s="292"/>
      <c r="C220" s="9" t="s">
        <v>200</v>
      </c>
      <c r="D220" s="86">
        <v>12.855160937073485</v>
      </c>
      <c r="E220" s="86">
        <v>13.748425225599778</v>
      </c>
      <c r="F220" s="88">
        <v>25.675549659349368</v>
      </c>
      <c r="G220" s="88">
        <v>38.125950856336807</v>
      </c>
      <c r="H220" s="88">
        <v>30.507133146489601</v>
      </c>
      <c r="I220" s="86">
        <v>1.9228825295960223</v>
      </c>
      <c r="J220" s="86">
        <v>17.125790556864757</v>
      </c>
      <c r="K220" s="92">
        <v>40.369175918412061</v>
      </c>
      <c r="L220" s="86">
        <v>20.940559520304276</v>
      </c>
      <c r="M220" s="88">
        <v>22.509986170876122</v>
      </c>
      <c r="N220" s="86">
        <v>53.745404470561297</v>
      </c>
      <c r="O220" s="86">
        <v>14.342758008842834</v>
      </c>
      <c r="P220" s="86">
        <v>6.1606623049934477</v>
      </c>
      <c r="Q220" s="92">
        <v>1.9705606947000063</v>
      </c>
    </row>
    <row r="221" spans="2:17" x14ac:dyDescent="0.3">
      <c r="B221" s="292"/>
      <c r="C221" s="9" t="s">
        <v>201</v>
      </c>
      <c r="D221" s="86">
        <v>29.121488951329582</v>
      </c>
      <c r="E221" s="86">
        <v>21.779989050139172</v>
      </c>
      <c r="F221" s="88">
        <v>22.635503979964408</v>
      </c>
      <c r="G221" s="88">
        <v>27.335189138847376</v>
      </c>
      <c r="H221" s="88">
        <v>43.751121250230732</v>
      </c>
      <c r="I221" s="86">
        <v>4.3061894928654159</v>
      </c>
      <c r="J221" s="86">
        <v>9.5473869344598796</v>
      </c>
      <c r="K221" s="92">
        <v>38.3812092519888</v>
      </c>
      <c r="L221" s="86">
        <v>18.437173326892776</v>
      </c>
      <c r="M221" s="88">
        <v>21.67979400377736</v>
      </c>
      <c r="N221" s="86">
        <v>44.070765376875961</v>
      </c>
      <c r="O221" s="86">
        <v>10.780479240331758</v>
      </c>
      <c r="P221" s="86">
        <v>6.0501664977681431</v>
      </c>
      <c r="Q221" s="92">
        <v>2.1235435045280449</v>
      </c>
    </row>
    <row r="222" spans="2:17" x14ac:dyDescent="0.3">
      <c r="B222" s="292"/>
      <c r="C222" s="9" t="s">
        <v>202</v>
      </c>
      <c r="D222" s="86">
        <v>23.972693730787327</v>
      </c>
      <c r="E222" s="86">
        <v>18.616594894383347</v>
      </c>
      <c r="F222" s="88">
        <v>24.808037984147628</v>
      </c>
      <c r="G222" s="88">
        <v>25.188528411637183</v>
      </c>
      <c r="H222" s="88">
        <v>39.380468884691012</v>
      </c>
      <c r="I222" s="86">
        <v>2.3491532630153378</v>
      </c>
      <c r="J222" s="86">
        <v>9.716254867694472</v>
      </c>
      <c r="K222" s="92">
        <v>39.779390716474893</v>
      </c>
      <c r="L222" s="86">
        <v>20.533990515860392</v>
      </c>
      <c r="M222" s="88">
        <v>22.927770405448246</v>
      </c>
      <c r="N222" s="86">
        <v>51.500044497831631</v>
      </c>
      <c r="O222" s="86">
        <v>12.854017166862638</v>
      </c>
      <c r="P222" s="86">
        <v>7.0560079369788848</v>
      </c>
      <c r="Q222" s="92">
        <v>1.3170467241865984</v>
      </c>
    </row>
    <row r="223" spans="2:17" x14ac:dyDescent="0.3">
      <c r="B223" s="295"/>
      <c r="C223" s="12" t="s">
        <v>203</v>
      </c>
      <c r="D223" s="90">
        <v>29.274067655616463</v>
      </c>
      <c r="E223" s="90">
        <v>16.827714474470103</v>
      </c>
      <c r="F223" s="91">
        <v>25.598520606695157</v>
      </c>
      <c r="G223" s="91">
        <v>25.189895871816042</v>
      </c>
      <c r="H223" s="91">
        <v>42.895876074793463</v>
      </c>
      <c r="I223" s="90">
        <v>2.7462159383279583</v>
      </c>
      <c r="J223" s="90">
        <v>12.533123118818196</v>
      </c>
      <c r="K223" s="94">
        <v>41.634415222851743</v>
      </c>
      <c r="L223" s="90">
        <v>19.030025432673849</v>
      </c>
      <c r="M223" s="91">
        <v>21.627856601719092</v>
      </c>
      <c r="N223" s="90">
        <v>43.747554006121305</v>
      </c>
      <c r="O223" s="90">
        <v>11.269711213963962</v>
      </c>
      <c r="P223" s="90">
        <v>5.3553049594025177</v>
      </c>
      <c r="Q223" s="94">
        <v>2.2697188227302871</v>
      </c>
    </row>
    <row r="224" spans="2:17" x14ac:dyDescent="0.3">
      <c r="B224" s="291" t="s">
        <v>204</v>
      </c>
      <c r="C224" s="13" t="s">
        <v>192</v>
      </c>
      <c r="D224" s="84">
        <v>30.732701334196211</v>
      </c>
      <c r="E224" s="84">
        <v>33.945295630896574</v>
      </c>
      <c r="F224" s="89">
        <v>30.129684564064007</v>
      </c>
      <c r="G224" s="89">
        <v>23.286070246634118</v>
      </c>
      <c r="H224" s="89">
        <v>40.306094153297948</v>
      </c>
      <c r="I224" s="84">
        <v>4.4749871967589989</v>
      </c>
      <c r="J224" s="84">
        <v>8.9637004682052535</v>
      </c>
      <c r="K224" s="93">
        <v>37.643422515492098</v>
      </c>
      <c r="L224" s="84">
        <v>17.480056595220095</v>
      </c>
      <c r="M224" s="89">
        <v>19.252040869082172</v>
      </c>
      <c r="N224" s="84">
        <v>39.764000174908453</v>
      </c>
      <c r="O224" s="84">
        <v>8.5237744349241407</v>
      </c>
      <c r="P224" s="84">
        <v>4.0289767799491392</v>
      </c>
      <c r="Q224" s="93">
        <v>1.4691950363679456</v>
      </c>
    </row>
    <row r="225" spans="2:19" x14ac:dyDescent="0.3">
      <c r="B225" s="295"/>
      <c r="C225" s="12" t="s">
        <v>193</v>
      </c>
      <c r="D225" s="90">
        <v>26.881766385907309</v>
      </c>
      <c r="E225" s="90">
        <v>17.969962604432315</v>
      </c>
      <c r="F225" s="91">
        <v>24.809406124783141</v>
      </c>
      <c r="G225" s="91">
        <v>26.79757750970818</v>
      </c>
      <c r="H225" s="91">
        <v>41.390718873627378</v>
      </c>
      <c r="I225" s="90">
        <v>2.9516982939856118</v>
      </c>
      <c r="J225" s="90">
        <v>11.781246474621476</v>
      </c>
      <c r="K225" s="94">
        <v>40.478197498442867</v>
      </c>
      <c r="L225" s="90">
        <v>19.327105623718381</v>
      </c>
      <c r="M225" s="91">
        <v>21.942744907694852</v>
      </c>
      <c r="N225" s="90">
        <v>46.042754128204272</v>
      </c>
      <c r="O225" s="90">
        <v>11.705458634779164</v>
      </c>
      <c r="P225" s="90">
        <v>5.8760614145923444</v>
      </c>
      <c r="Q225" s="94">
        <v>2.0453015255047826</v>
      </c>
    </row>
    <row r="226" spans="2:19" ht="16.5" customHeight="1" x14ac:dyDescent="0.3">
      <c r="B226" s="291" t="s">
        <v>209</v>
      </c>
      <c r="C226" s="13" t="s">
        <v>205</v>
      </c>
      <c r="D226" s="84">
        <v>25.74098056230331</v>
      </c>
      <c r="E226" s="84">
        <v>25.243419775170967</v>
      </c>
      <c r="F226" s="89">
        <v>27.715904537711918</v>
      </c>
      <c r="G226" s="89">
        <v>18.814753553494231</v>
      </c>
      <c r="H226" s="89">
        <v>32.566572805029296</v>
      </c>
      <c r="I226" s="84">
        <v>2.7771051235309341</v>
      </c>
      <c r="J226" s="84">
        <v>10.208144768031909</v>
      </c>
      <c r="K226" s="93">
        <v>46.25600605161106</v>
      </c>
      <c r="L226" s="84">
        <v>20.732719692230532</v>
      </c>
      <c r="M226" s="89">
        <v>21.140257384942554</v>
      </c>
      <c r="N226" s="84">
        <v>52.105250266641455</v>
      </c>
      <c r="O226" s="84">
        <v>9.0212562726924208</v>
      </c>
      <c r="P226" s="84">
        <v>5.6287743819100085</v>
      </c>
      <c r="Q226" s="93">
        <v>2.0488548246996374</v>
      </c>
    </row>
    <row r="227" spans="2:19" x14ac:dyDescent="0.3">
      <c r="B227" s="292"/>
      <c r="C227" s="9" t="s">
        <v>206</v>
      </c>
      <c r="D227" s="86">
        <v>27.380973624301625</v>
      </c>
      <c r="E227" s="86">
        <v>25.33649292218859</v>
      </c>
      <c r="F227" s="88">
        <v>23.497231333540732</v>
      </c>
      <c r="G227" s="88">
        <v>28.213084372426799</v>
      </c>
      <c r="H227" s="88">
        <v>42.712012419797787</v>
      </c>
      <c r="I227" s="86">
        <v>1.985536544818008</v>
      </c>
      <c r="J227" s="86">
        <v>12.987768059366211</v>
      </c>
      <c r="K227" s="92">
        <v>31.404843575527114</v>
      </c>
      <c r="L227" s="86">
        <v>16.434850567547354</v>
      </c>
      <c r="M227" s="88">
        <v>21.284867847488762</v>
      </c>
      <c r="N227" s="86">
        <v>45.850614438937889</v>
      </c>
      <c r="O227" s="86">
        <v>15.161200891525151</v>
      </c>
      <c r="P227" s="86">
        <v>4.6145530024398091</v>
      </c>
      <c r="Q227" s="92">
        <v>3.1359704000940125</v>
      </c>
    </row>
    <row r="228" spans="2:19" x14ac:dyDescent="0.3">
      <c r="B228" s="292"/>
      <c r="C228" s="9" t="s">
        <v>207</v>
      </c>
      <c r="D228" s="86">
        <v>31.004663790518798</v>
      </c>
      <c r="E228" s="86">
        <v>27.687901587557988</v>
      </c>
      <c r="F228" s="88">
        <v>27.527153365688878</v>
      </c>
      <c r="G228" s="88">
        <v>26.288132202799751</v>
      </c>
      <c r="H228" s="88">
        <v>41.976411249061272</v>
      </c>
      <c r="I228" s="86">
        <v>4.0964575458643075</v>
      </c>
      <c r="J228" s="86">
        <v>10.358983500854805</v>
      </c>
      <c r="K228" s="92">
        <v>35.193068975137074</v>
      </c>
      <c r="L228" s="86">
        <v>17.534985148380819</v>
      </c>
      <c r="M228" s="88">
        <v>21.966256541145963</v>
      </c>
      <c r="N228" s="86">
        <v>40.734336902220015</v>
      </c>
      <c r="O228" s="86">
        <v>9.8140189288769086</v>
      </c>
      <c r="P228" s="86">
        <v>4.3336047307693963</v>
      </c>
      <c r="Q228" s="92">
        <v>1.4840255311227712</v>
      </c>
    </row>
    <row r="229" spans="2:19" x14ac:dyDescent="0.3">
      <c r="B229" s="293"/>
      <c r="C229" s="25" t="s">
        <v>208</v>
      </c>
      <c r="D229" s="87">
        <v>29.617670947073442</v>
      </c>
      <c r="E229" s="87">
        <v>27.525889025444233</v>
      </c>
      <c r="F229" s="95">
        <v>30.453286215171566</v>
      </c>
      <c r="G229" s="95">
        <v>24.35069465467792</v>
      </c>
      <c r="H229" s="95">
        <v>42.352354787672233</v>
      </c>
      <c r="I229" s="87">
        <v>5.0372528206929257</v>
      </c>
      <c r="J229" s="87">
        <v>8.492595029891433</v>
      </c>
      <c r="K229" s="96">
        <v>43.371750622946557</v>
      </c>
      <c r="L229" s="87">
        <v>19.002474674045573</v>
      </c>
      <c r="M229" s="95">
        <v>18.263893201215193</v>
      </c>
      <c r="N229" s="87">
        <v>37.980811767390868</v>
      </c>
      <c r="O229" s="87">
        <v>7.4468490347228062</v>
      </c>
      <c r="P229" s="87">
        <v>5.1253300431002398</v>
      </c>
      <c r="Q229" s="96">
        <v>0.97914717595404999</v>
      </c>
    </row>
    <row r="230" spans="2:19" x14ac:dyDescent="0.3">
      <c r="B230" s="136"/>
    </row>
    <row r="231" spans="2:19" x14ac:dyDescent="0.3">
      <c r="B231" s="60"/>
      <c r="C231" s="9"/>
      <c r="D231" s="58"/>
      <c r="E231" s="58"/>
      <c r="F231" s="50"/>
      <c r="G231" s="58"/>
      <c r="H231" s="50"/>
      <c r="I231" s="58"/>
      <c r="J231" s="58"/>
      <c r="K231" s="58"/>
      <c r="L231" s="50"/>
      <c r="M231" s="58"/>
      <c r="N231" s="58"/>
    </row>
    <row r="232" spans="2:19" x14ac:dyDescent="0.3">
      <c r="B232" s="1" t="s">
        <v>489</v>
      </c>
      <c r="D232" s="59"/>
      <c r="E232" s="304"/>
      <c r="F232" s="304"/>
      <c r="G232" s="304"/>
      <c r="H232" s="304"/>
      <c r="I232" s="304"/>
      <c r="J232" s="304"/>
      <c r="K232" s="304"/>
      <c r="L232" s="304"/>
      <c r="M232" s="304"/>
      <c r="N232" s="304"/>
      <c r="O232" s="304"/>
      <c r="P232" s="304"/>
      <c r="Q232" s="304"/>
      <c r="R232" s="304"/>
      <c r="S232" s="304"/>
    </row>
    <row r="233" spans="2:19" ht="10.5" customHeight="1" x14ac:dyDescent="0.3"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30"/>
      <c r="O233" s="30"/>
      <c r="P233" s="30" t="s">
        <v>52</v>
      </c>
    </row>
    <row r="234" spans="2:19" s="125" customFormat="1" ht="27" x14ac:dyDescent="0.3">
      <c r="B234" s="297"/>
      <c r="C234" s="297"/>
      <c r="D234" s="215" t="s">
        <v>57</v>
      </c>
      <c r="E234" s="215" t="s">
        <v>59</v>
      </c>
      <c r="F234" s="215" t="s">
        <v>126</v>
      </c>
      <c r="G234" s="215" t="s">
        <v>58</v>
      </c>
      <c r="H234" s="215" t="s">
        <v>127</v>
      </c>
      <c r="I234" s="202" t="s">
        <v>376</v>
      </c>
      <c r="J234" s="215" t="s">
        <v>60</v>
      </c>
      <c r="K234" s="215" t="s">
        <v>61</v>
      </c>
      <c r="L234" s="215" t="s">
        <v>128</v>
      </c>
      <c r="M234" s="215" t="s">
        <v>129</v>
      </c>
      <c r="N234" s="202" t="s">
        <v>377</v>
      </c>
      <c r="O234" s="215" t="s">
        <v>130</v>
      </c>
      <c r="P234" s="215" t="s">
        <v>38</v>
      </c>
      <c r="Q234" s="126"/>
    </row>
    <row r="235" spans="2:19" ht="21.75" customHeight="1" x14ac:dyDescent="0.3">
      <c r="B235" s="292" t="s">
        <v>20</v>
      </c>
      <c r="C235" s="292"/>
      <c r="D235" s="86">
        <v>13.70157635249209</v>
      </c>
      <c r="E235" s="86">
        <v>14.57177714696093</v>
      </c>
      <c r="F235" s="88">
        <v>40.19905568298249</v>
      </c>
      <c r="G235" s="86">
        <v>3.2093971466348363</v>
      </c>
      <c r="H235" s="88">
        <v>4.5826679699643043</v>
      </c>
      <c r="I235" s="86">
        <v>7.5101525212826887</v>
      </c>
      <c r="J235" s="86">
        <v>2.9995527359754046</v>
      </c>
      <c r="K235" s="86">
        <v>1.5705442951315214</v>
      </c>
      <c r="L235" s="88">
        <v>9.4737895607255886</v>
      </c>
      <c r="M235" s="86">
        <v>1.0275117886484624</v>
      </c>
      <c r="N235" s="86">
        <v>0.93763310809537004</v>
      </c>
      <c r="O235" s="86">
        <v>0.16850470861869138</v>
      </c>
      <c r="P235" s="86">
        <v>4.7836982487781628E-2</v>
      </c>
    </row>
    <row r="236" spans="2:19" x14ac:dyDescent="0.3">
      <c r="B236" s="296" t="s">
        <v>5</v>
      </c>
      <c r="C236" s="13" t="s">
        <v>0</v>
      </c>
      <c r="D236" s="84">
        <v>15.410593494622987</v>
      </c>
      <c r="E236" s="84">
        <v>13.29286600846093</v>
      </c>
      <c r="F236" s="89">
        <v>36.167841380458022</v>
      </c>
      <c r="G236" s="84">
        <v>3.7378065570890788</v>
      </c>
      <c r="H236" s="89">
        <v>4.5428496307862085</v>
      </c>
      <c r="I236" s="84">
        <v>8.3513334169741995</v>
      </c>
      <c r="J236" s="84">
        <v>3.1913065854581957</v>
      </c>
      <c r="K236" s="84">
        <v>2.0165117664693772</v>
      </c>
      <c r="L236" s="89">
        <v>11.05111197207502</v>
      </c>
      <c r="M236" s="84">
        <v>1.3857312801537065</v>
      </c>
      <c r="N236" s="84">
        <v>0.55896820236696543</v>
      </c>
      <c r="O236" s="84">
        <v>0.25990581295225879</v>
      </c>
      <c r="P236" s="84">
        <v>3.317389213260561E-2</v>
      </c>
    </row>
    <row r="237" spans="2:19" x14ac:dyDescent="0.3">
      <c r="B237" s="295"/>
      <c r="C237" s="12" t="s">
        <v>1</v>
      </c>
      <c r="D237" s="90">
        <v>12.267883450789709</v>
      </c>
      <c r="E237" s="90">
        <v>15.644654519559479</v>
      </c>
      <c r="F237" s="90">
        <v>43.580837637236485</v>
      </c>
      <c r="G237" s="90">
        <v>2.7661149803621199</v>
      </c>
      <c r="H237" s="90">
        <v>4.6160715379156247</v>
      </c>
      <c r="I237" s="90">
        <v>6.8044866449902122</v>
      </c>
      <c r="J237" s="90">
        <v>2.838690608791099</v>
      </c>
      <c r="K237" s="90">
        <v>1.1964225954216969</v>
      </c>
      <c r="L237" s="90">
        <v>8.1505752470130091</v>
      </c>
      <c r="M237" s="90">
        <v>0.72700178815651995</v>
      </c>
      <c r="N237" s="90">
        <v>1.2552947476911356</v>
      </c>
      <c r="O237" s="90">
        <v>9.1828406631807538E-2</v>
      </c>
      <c r="P237" s="90">
        <v>6.0137835440621366E-2</v>
      </c>
    </row>
    <row r="238" spans="2:19" x14ac:dyDescent="0.3">
      <c r="B238" s="296" t="s">
        <v>4</v>
      </c>
      <c r="C238" s="9" t="s">
        <v>175</v>
      </c>
      <c r="D238" s="86">
        <v>17.056538509298839</v>
      </c>
      <c r="E238" s="86">
        <v>12.666462423395203</v>
      </c>
      <c r="F238" s="88">
        <v>48.789677670257419</v>
      </c>
      <c r="G238" s="86">
        <v>2.7629582195368596</v>
      </c>
      <c r="H238" s="88">
        <v>3.2176211545674396</v>
      </c>
      <c r="I238" s="86">
        <v>2.5591401600305002</v>
      </c>
      <c r="J238" s="86">
        <v>2.8570196603779876</v>
      </c>
      <c r="K238" s="86">
        <v>1.0012653736277097</v>
      </c>
      <c r="L238" s="88">
        <v>8.2652755545700582</v>
      </c>
      <c r="M238" s="86">
        <v>0.54088117938437363</v>
      </c>
      <c r="N238" s="86">
        <v>0.2831600949535974</v>
      </c>
      <c r="O238" s="86">
        <v>0</v>
      </c>
      <c r="P238" s="86">
        <v>0</v>
      </c>
    </row>
    <row r="239" spans="2:19" x14ac:dyDescent="0.3">
      <c r="B239" s="292"/>
      <c r="C239" s="9" t="s">
        <v>176</v>
      </c>
      <c r="D239" s="86">
        <v>16.577739060042482</v>
      </c>
      <c r="E239" s="86">
        <v>14.257093485146862</v>
      </c>
      <c r="F239" s="88">
        <v>39.890239852617768</v>
      </c>
      <c r="G239" s="86">
        <v>3.9259134836233791</v>
      </c>
      <c r="H239" s="88">
        <v>2.6707751131715565</v>
      </c>
      <c r="I239" s="86">
        <v>5.7097693358576764</v>
      </c>
      <c r="J239" s="86">
        <v>3.4226220269492762</v>
      </c>
      <c r="K239" s="86">
        <v>0.69938707848220349</v>
      </c>
      <c r="L239" s="88">
        <v>10.290590455099768</v>
      </c>
      <c r="M239" s="86">
        <v>0.99857134841065609</v>
      </c>
      <c r="N239" s="86">
        <v>1.07058735636483</v>
      </c>
      <c r="O239" s="86">
        <v>0.40786326301744236</v>
      </c>
      <c r="P239" s="86">
        <v>7.8848141216027998E-2</v>
      </c>
    </row>
    <row r="240" spans="2:19" x14ac:dyDescent="0.3">
      <c r="B240" s="292"/>
      <c r="C240" s="9" t="s">
        <v>177</v>
      </c>
      <c r="D240" s="86">
        <v>14.386339594567652</v>
      </c>
      <c r="E240" s="86">
        <v>13.116308977464824</v>
      </c>
      <c r="F240" s="88">
        <v>39.622683397020644</v>
      </c>
      <c r="G240" s="86">
        <v>4.548839720565458</v>
      </c>
      <c r="H240" s="88">
        <v>4.1878438203559982</v>
      </c>
      <c r="I240" s="86">
        <v>7.1617626076715011</v>
      </c>
      <c r="J240" s="86">
        <v>3.2440462341711913</v>
      </c>
      <c r="K240" s="86">
        <v>0.98693115009603305</v>
      </c>
      <c r="L240" s="88">
        <v>10.611390648883729</v>
      </c>
      <c r="M240" s="86">
        <v>1.4415157367988696</v>
      </c>
      <c r="N240" s="86">
        <v>0.69233811240391296</v>
      </c>
      <c r="O240" s="86">
        <v>0</v>
      </c>
      <c r="P240" s="86">
        <v>0</v>
      </c>
    </row>
    <row r="241" spans="2:16" x14ac:dyDescent="0.3">
      <c r="B241" s="292"/>
      <c r="C241" s="9" t="s">
        <v>178</v>
      </c>
      <c r="D241" s="86">
        <v>10.614585687786963</v>
      </c>
      <c r="E241" s="86">
        <v>14.433159836111445</v>
      </c>
      <c r="F241" s="88">
        <v>40.44345848649845</v>
      </c>
      <c r="G241" s="86">
        <v>3.48208690562875</v>
      </c>
      <c r="H241" s="88">
        <v>5.8144489736288287</v>
      </c>
      <c r="I241" s="86">
        <v>7.5162310045400469</v>
      </c>
      <c r="J241" s="86">
        <v>2.991855258548799</v>
      </c>
      <c r="K241" s="86">
        <v>1.4006824955921147</v>
      </c>
      <c r="L241" s="88">
        <v>11.067872441261805</v>
      </c>
      <c r="M241" s="86">
        <v>0.79934403243485164</v>
      </c>
      <c r="N241" s="86">
        <v>1.0654204326653105</v>
      </c>
      <c r="O241" s="86">
        <v>0.29833926429244467</v>
      </c>
      <c r="P241" s="86">
        <v>7.2515181009646365E-2</v>
      </c>
    </row>
    <row r="242" spans="2:16" x14ac:dyDescent="0.3">
      <c r="B242" s="292"/>
      <c r="C242" s="9" t="s">
        <v>179</v>
      </c>
      <c r="D242" s="86">
        <v>13.043530855601523</v>
      </c>
      <c r="E242" s="86">
        <v>13.914623888150105</v>
      </c>
      <c r="F242" s="88">
        <v>41.318298956958515</v>
      </c>
      <c r="G242" s="86">
        <v>2.1850754731104409</v>
      </c>
      <c r="H242" s="88">
        <v>5.88294605406222</v>
      </c>
      <c r="I242" s="86">
        <v>7.8756336877459256</v>
      </c>
      <c r="J242" s="86">
        <v>2.4897321071632792</v>
      </c>
      <c r="K242" s="86">
        <v>2.5044159188351114</v>
      </c>
      <c r="L242" s="88">
        <v>8.5654276604066144</v>
      </c>
      <c r="M242" s="86">
        <v>1.1434593649817772</v>
      </c>
      <c r="N242" s="86">
        <v>0.91331449198364012</v>
      </c>
      <c r="O242" s="86">
        <v>0.16354154100071575</v>
      </c>
      <c r="P242" s="86">
        <v>0</v>
      </c>
    </row>
    <row r="243" spans="2:16" x14ac:dyDescent="0.3">
      <c r="B243" s="298"/>
      <c r="C243" s="12" t="s">
        <v>180</v>
      </c>
      <c r="D243" s="90">
        <v>13.401689467638404</v>
      </c>
      <c r="E243" s="90">
        <v>18.256621914773785</v>
      </c>
      <c r="F243" s="91">
        <v>36.841139590857331</v>
      </c>
      <c r="G243" s="90">
        <v>1.8547764116974796</v>
      </c>
      <c r="H243" s="91">
        <v>4.4267156043058487</v>
      </c>
      <c r="I243" s="90">
        <v>11.021204642594304</v>
      </c>
      <c r="J243" s="90">
        <v>2.9187182213602259</v>
      </c>
      <c r="K243" s="90">
        <v>2.4852891919759612</v>
      </c>
      <c r="L243" s="91">
        <v>6.6580330171914266</v>
      </c>
      <c r="M243" s="90">
        <v>0.86379903272965164</v>
      </c>
      <c r="N243" s="90">
        <v>1.1585897858161283</v>
      </c>
      <c r="O243" s="90">
        <v>0</v>
      </c>
      <c r="P243" s="90">
        <v>0.11342311905943123</v>
      </c>
    </row>
    <row r="244" spans="2:16" x14ac:dyDescent="0.3">
      <c r="B244" s="292" t="s">
        <v>223</v>
      </c>
      <c r="C244" s="9" t="s">
        <v>210</v>
      </c>
      <c r="D244" s="86">
        <v>23.08221531922889</v>
      </c>
      <c r="E244" s="86">
        <v>15.817551928340645</v>
      </c>
      <c r="F244" s="88">
        <v>41.407188481589557</v>
      </c>
      <c r="G244" s="86">
        <v>1.6706174979683168</v>
      </c>
      <c r="H244" s="88">
        <v>1.5203615138886675</v>
      </c>
      <c r="I244" s="86">
        <v>1.485085072401001</v>
      </c>
      <c r="J244" s="86">
        <v>3.176040914939497</v>
      </c>
      <c r="K244" s="86">
        <v>2.2126136974688562</v>
      </c>
      <c r="L244" s="88">
        <v>9.6283255741745695</v>
      </c>
      <c r="M244" s="86">
        <v>0</v>
      </c>
      <c r="N244" s="86">
        <v>0</v>
      </c>
      <c r="O244" s="86">
        <v>0</v>
      </c>
      <c r="P244" s="86">
        <v>0</v>
      </c>
    </row>
    <row r="245" spans="2:16" x14ac:dyDescent="0.3">
      <c r="B245" s="292"/>
      <c r="C245" s="9" t="s">
        <v>211</v>
      </c>
      <c r="D245" s="86">
        <v>17.30623546014489</v>
      </c>
      <c r="E245" s="86">
        <v>13.056883318961301</v>
      </c>
      <c r="F245" s="88">
        <v>36.281208585932603</v>
      </c>
      <c r="G245" s="86">
        <v>4.2464604186277608</v>
      </c>
      <c r="H245" s="88">
        <v>2.3515849905598203</v>
      </c>
      <c r="I245" s="86">
        <v>7.3415241646829239</v>
      </c>
      <c r="J245" s="86">
        <v>3.5053276099724058</v>
      </c>
      <c r="K245" s="86">
        <v>1.1079934643263718</v>
      </c>
      <c r="L245" s="88">
        <v>11.544370980212666</v>
      </c>
      <c r="M245" s="86">
        <v>1.4893154916849991</v>
      </c>
      <c r="N245" s="86">
        <v>1.2164911386720445</v>
      </c>
      <c r="O245" s="86">
        <v>0.55260437622195779</v>
      </c>
      <c r="P245" s="86">
        <v>0</v>
      </c>
    </row>
    <row r="246" spans="2:16" x14ac:dyDescent="0.3">
      <c r="B246" s="292"/>
      <c r="C246" s="9" t="s">
        <v>212</v>
      </c>
      <c r="D246" s="86">
        <v>17.259407662665161</v>
      </c>
      <c r="E246" s="86">
        <v>13.574185065522858</v>
      </c>
      <c r="F246" s="88">
        <v>32.46452712998807</v>
      </c>
      <c r="G246" s="86">
        <v>5.51455491169372</v>
      </c>
      <c r="H246" s="88">
        <v>4.545087667549879</v>
      </c>
      <c r="I246" s="86">
        <v>6.5702854355828482</v>
      </c>
      <c r="J246" s="86">
        <v>3.8925679016092287</v>
      </c>
      <c r="K246" s="86">
        <v>0.78931613069260409</v>
      </c>
      <c r="L246" s="88">
        <v>12.648073763253622</v>
      </c>
      <c r="M246" s="86">
        <v>2.0829364868847211</v>
      </c>
      <c r="N246" s="86">
        <v>0.6590578445577111</v>
      </c>
      <c r="O246" s="86">
        <v>0</v>
      </c>
      <c r="P246" s="86">
        <v>0</v>
      </c>
    </row>
    <row r="247" spans="2:16" x14ac:dyDescent="0.3">
      <c r="B247" s="292"/>
      <c r="C247" s="9" t="s">
        <v>213</v>
      </c>
      <c r="D247" s="86">
        <v>12.826814659483091</v>
      </c>
      <c r="E247" s="86">
        <v>11.395002344485674</v>
      </c>
      <c r="F247" s="88">
        <v>38.29917931450565</v>
      </c>
      <c r="G247" s="86">
        <v>3.8697842888734617</v>
      </c>
      <c r="H247" s="88">
        <v>5.7318663736766542</v>
      </c>
      <c r="I247" s="86">
        <v>8.5034427805873261</v>
      </c>
      <c r="J247" s="86">
        <v>2.1093895604783226</v>
      </c>
      <c r="K247" s="86">
        <v>2.1707589232608977</v>
      </c>
      <c r="L247" s="88">
        <v>13.460804805063967</v>
      </c>
      <c r="M247" s="86">
        <v>0.61041258385686337</v>
      </c>
      <c r="N247" s="86">
        <v>0.47715903475390142</v>
      </c>
      <c r="O247" s="86">
        <v>0.39076572045105901</v>
      </c>
      <c r="P247" s="86">
        <v>0.15461961052359952</v>
      </c>
    </row>
    <row r="248" spans="2:16" x14ac:dyDescent="0.3">
      <c r="B248" s="292"/>
      <c r="C248" s="9" t="s">
        <v>214</v>
      </c>
      <c r="D248" s="86">
        <v>12.692742853185516</v>
      </c>
      <c r="E248" s="86">
        <v>12.626364959966377</v>
      </c>
      <c r="F248" s="88">
        <v>40.089917746430935</v>
      </c>
      <c r="G248" s="86">
        <v>2.5778642504137759</v>
      </c>
      <c r="H248" s="88">
        <v>5.0859858927946533</v>
      </c>
      <c r="I248" s="86">
        <v>8.5620954695187219</v>
      </c>
      <c r="J248" s="86">
        <v>3.0663508035380374</v>
      </c>
      <c r="K248" s="86">
        <v>3.3096774407953387</v>
      </c>
      <c r="L248" s="88">
        <v>9.2123028645034513</v>
      </c>
      <c r="M248" s="86">
        <v>2.2021779718222225</v>
      </c>
      <c r="N248" s="86">
        <v>0.20002916787380823</v>
      </c>
      <c r="O248" s="86">
        <v>0.37449057915726713</v>
      </c>
      <c r="P248" s="86">
        <v>0</v>
      </c>
    </row>
    <row r="249" spans="2:16" x14ac:dyDescent="0.3">
      <c r="B249" s="292"/>
      <c r="C249" s="12" t="s">
        <v>215</v>
      </c>
      <c r="D249" s="90">
        <v>15.010197696805882</v>
      </c>
      <c r="E249" s="90">
        <v>15.985771257498154</v>
      </c>
      <c r="F249" s="91">
        <v>31.18470231728454</v>
      </c>
      <c r="G249" s="90">
        <v>2.5923899488507054</v>
      </c>
      <c r="H249" s="91">
        <v>5.9686683909075384</v>
      </c>
      <c r="I249" s="90">
        <v>14.107897238111496</v>
      </c>
      <c r="J249" s="90">
        <v>3.544626115822437</v>
      </c>
      <c r="K249" s="90">
        <v>2.9510112964210697</v>
      </c>
      <c r="L249" s="91">
        <v>7.4962022227555893</v>
      </c>
      <c r="M249" s="90">
        <v>0.80587362648141991</v>
      </c>
      <c r="N249" s="90">
        <v>0.35265988906106971</v>
      </c>
      <c r="O249" s="90">
        <v>0</v>
      </c>
      <c r="P249" s="90">
        <v>0</v>
      </c>
    </row>
    <row r="250" spans="2:16" x14ac:dyDescent="0.3">
      <c r="B250" s="292"/>
      <c r="C250" s="9" t="s">
        <v>216</v>
      </c>
      <c r="D250" s="86">
        <v>12.075888911070127</v>
      </c>
      <c r="E250" s="86">
        <v>10.061863276802169</v>
      </c>
      <c r="F250" s="88">
        <v>54.891829008821055</v>
      </c>
      <c r="G250" s="86">
        <v>3.6658553624840913</v>
      </c>
      <c r="H250" s="88">
        <v>4.6205267225371038</v>
      </c>
      <c r="I250" s="86">
        <v>3.4469229285755465</v>
      </c>
      <c r="J250" s="86">
        <v>2.5933259487040199</v>
      </c>
      <c r="K250" s="86">
        <v>0</v>
      </c>
      <c r="L250" s="88">
        <v>7.1386179612983653</v>
      </c>
      <c r="M250" s="86">
        <v>0.98795786699409793</v>
      </c>
      <c r="N250" s="86">
        <v>0.51721201271342365</v>
      </c>
      <c r="O250" s="86">
        <v>0</v>
      </c>
      <c r="P250" s="86">
        <v>0</v>
      </c>
    </row>
    <row r="251" spans="2:16" x14ac:dyDescent="0.3">
      <c r="B251" s="292"/>
      <c r="C251" s="9" t="s">
        <v>217</v>
      </c>
      <c r="D251" s="86">
        <v>15.911402112637694</v>
      </c>
      <c r="E251" s="86">
        <v>15.354894899495461</v>
      </c>
      <c r="F251" s="88">
        <v>43.191328062516163</v>
      </c>
      <c r="G251" s="86">
        <v>3.6327174346919762</v>
      </c>
      <c r="H251" s="88">
        <v>2.9627301206540522</v>
      </c>
      <c r="I251" s="86">
        <v>4.2172451018332069</v>
      </c>
      <c r="J251" s="86">
        <v>3.346973354262337</v>
      </c>
      <c r="K251" s="86">
        <v>0.32564531147383968</v>
      </c>
      <c r="L251" s="88">
        <v>9.1437896092728792</v>
      </c>
      <c r="M251" s="86">
        <v>0.54970028420191674</v>
      </c>
      <c r="N251" s="86">
        <v>0.93713291389437392</v>
      </c>
      <c r="O251" s="86">
        <v>0.27547228411471952</v>
      </c>
      <c r="P251" s="86">
        <v>0.15096851095161534</v>
      </c>
    </row>
    <row r="252" spans="2:16" x14ac:dyDescent="0.3">
      <c r="B252" s="292"/>
      <c r="C252" s="9" t="s">
        <v>218</v>
      </c>
      <c r="D252" s="86">
        <v>11.689554299917603</v>
      </c>
      <c r="E252" s="86">
        <v>12.686526782341218</v>
      </c>
      <c r="F252" s="88">
        <v>46.34163682944844</v>
      </c>
      <c r="G252" s="86">
        <v>3.6423778949048544</v>
      </c>
      <c r="H252" s="88">
        <v>3.8525193759356577</v>
      </c>
      <c r="I252" s="86">
        <v>7.7169485280894472</v>
      </c>
      <c r="J252" s="86">
        <v>2.6353158962342476</v>
      </c>
      <c r="K252" s="86">
        <v>1.1724211091564494</v>
      </c>
      <c r="L252" s="88">
        <v>8.6996722549885739</v>
      </c>
      <c r="M252" s="86">
        <v>0.83945062538631743</v>
      </c>
      <c r="N252" s="86">
        <v>0.72357640359730657</v>
      </c>
      <c r="O252" s="86">
        <v>0</v>
      </c>
      <c r="P252" s="86">
        <v>0</v>
      </c>
    </row>
    <row r="253" spans="2:16" x14ac:dyDescent="0.3">
      <c r="B253" s="292"/>
      <c r="C253" s="9" t="s">
        <v>219</v>
      </c>
      <c r="D253" s="86">
        <v>8.6607302713742111</v>
      </c>
      <c r="E253" s="86">
        <v>17.116480842606475</v>
      </c>
      <c r="F253" s="88">
        <v>42.337300185574364</v>
      </c>
      <c r="G253" s="86">
        <v>3.1396699850145668</v>
      </c>
      <c r="H253" s="88">
        <v>5.8873864779661496</v>
      </c>
      <c r="I253" s="86">
        <v>6.6443189644868657</v>
      </c>
      <c r="J253" s="86">
        <v>3.7712548623121322</v>
      </c>
      <c r="K253" s="86">
        <v>0.7205458467628012</v>
      </c>
      <c r="L253" s="88">
        <v>8.9544185809502554</v>
      </c>
      <c r="M253" s="86">
        <v>0.96620955081374094</v>
      </c>
      <c r="N253" s="86">
        <v>1.5849768317909643</v>
      </c>
      <c r="O253" s="86">
        <v>0.21670760034814127</v>
      </c>
      <c r="P253" s="86">
        <v>0</v>
      </c>
    </row>
    <row r="254" spans="2:16" x14ac:dyDescent="0.3">
      <c r="B254" s="292"/>
      <c r="C254" s="9" t="s">
        <v>220</v>
      </c>
      <c r="D254" s="86">
        <v>13.315484740677361</v>
      </c>
      <c r="E254" s="86">
        <v>14.913366770147743</v>
      </c>
      <c r="F254" s="88">
        <v>42.270620701876574</v>
      </c>
      <c r="G254" s="86">
        <v>1.8805598304256845</v>
      </c>
      <c r="H254" s="88">
        <v>6.5008018832656331</v>
      </c>
      <c r="I254" s="86">
        <v>7.3434434554022214</v>
      </c>
      <c r="J254" s="86">
        <v>2.0426994446821745</v>
      </c>
      <c r="K254" s="86">
        <v>1.8801243299243195</v>
      </c>
      <c r="L254" s="88">
        <v>8.063927541526553</v>
      </c>
      <c r="M254" s="86">
        <v>0.32267120703662677</v>
      </c>
      <c r="N254" s="86">
        <v>1.4663000950350593</v>
      </c>
      <c r="O254" s="86">
        <v>0</v>
      </c>
      <c r="P254" s="86">
        <v>0</v>
      </c>
    </row>
    <row r="255" spans="2:16" x14ac:dyDescent="0.3">
      <c r="B255" s="295"/>
      <c r="C255" s="9" t="s">
        <v>221</v>
      </c>
      <c r="D255" s="90">
        <v>12.295619160741419</v>
      </c>
      <c r="E255" s="90">
        <v>19.81814360167861</v>
      </c>
      <c r="F255" s="91">
        <v>40.730717025199596</v>
      </c>
      <c r="G255" s="90">
        <v>1.3475658071035037</v>
      </c>
      <c r="H255" s="91">
        <v>3.3664113043521682</v>
      </c>
      <c r="I255" s="90">
        <v>8.8986795820993692</v>
      </c>
      <c r="J255" s="90">
        <v>2.4883205868542633</v>
      </c>
      <c r="K255" s="90">
        <v>2.1650412867110176</v>
      </c>
      <c r="L255" s="91">
        <v>6.081676581073105</v>
      </c>
      <c r="M255" s="90">
        <v>0.90363070452611316</v>
      </c>
      <c r="N255" s="90">
        <v>1.7127772696455748</v>
      </c>
      <c r="O255" s="90">
        <v>0</v>
      </c>
      <c r="P255" s="90">
        <v>0.19141709001487034</v>
      </c>
    </row>
    <row r="256" spans="2:16" ht="16.5" customHeight="1" x14ac:dyDescent="0.3">
      <c r="B256" s="291" t="s">
        <v>222</v>
      </c>
      <c r="C256" s="13" t="s">
        <v>226</v>
      </c>
      <c r="D256" s="80">
        <v>17.418446709929963</v>
      </c>
      <c r="E256" s="80">
        <v>13.443550479681669</v>
      </c>
      <c r="F256" s="80">
        <v>34.298062630684171</v>
      </c>
      <c r="G256" s="80">
        <v>3.8449781428635887</v>
      </c>
      <c r="H256" s="80">
        <v>5.3403661788339383</v>
      </c>
      <c r="I256" s="80">
        <v>7.6347764896432242</v>
      </c>
      <c r="J256" s="80">
        <v>2.5147539024281409</v>
      </c>
      <c r="K256" s="80">
        <v>1.3329163206977013</v>
      </c>
      <c r="L256" s="80">
        <v>12.057649816982527</v>
      </c>
      <c r="M256" s="80">
        <v>0.70306634546789082</v>
      </c>
      <c r="N256" s="80">
        <v>1.0934401927843787</v>
      </c>
      <c r="O256" s="80">
        <v>0.25903930931633512</v>
      </c>
      <c r="P256" s="80">
        <v>5.8953480686457498E-2</v>
      </c>
    </row>
    <row r="257" spans="2:16" x14ac:dyDescent="0.3">
      <c r="B257" s="294"/>
      <c r="C257" s="9" t="s">
        <v>227</v>
      </c>
      <c r="D257" s="79">
        <v>13.728979503107039</v>
      </c>
      <c r="E257" s="79">
        <v>14.574652566441859</v>
      </c>
      <c r="F257" s="79">
        <v>41.444437402881782</v>
      </c>
      <c r="G257" s="79">
        <v>3.5242267029335528</v>
      </c>
      <c r="H257" s="79">
        <v>3.7996309254939269</v>
      </c>
      <c r="I257" s="79">
        <v>6.9501455083843204</v>
      </c>
      <c r="J257" s="79">
        <v>3.3574125786786797</v>
      </c>
      <c r="K257" s="79">
        <v>1.6050928639141107</v>
      </c>
      <c r="L257" s="79">
        <v>9.4569247572242556</v>
      </c>
      <c r="M257" s="79">
        <v>0.75775077658286949</v>
      </c>
      <c r="N257" s="79">
        <v>0.6783635332761806</v>
      </c>
      <c r="O257" s="79">
        <v>6.9376380845733707E-2</v>
      </c>
      <c r="P257" s="79">
        <v>5.300650023544657E-2</v>
      </c>
    </row>
    <row r="258" spans="2:16" x14ac:dyDescent="0.3">
      <c r="B258" s="292"/>
      <c r="C258" s="9" t="s">
        <v>228</v>
      </c>
      <c r="D258" s="79">
        <v>11.980606978280765</v>
      </c>
      <c r="E258" s="79">
        <v>14.980678162746472</v>
      </c>
      <c r="F258" s="79">
        <v>41.495305066152518</v>
      </c>
      <c r="G258" s="79">
        <v>3.0174262915529186</v>
      </c>
      <c r="H258" s="79">
        <v>4.4756351827522165</v>
      </c>
      <c r="I258" s="79">
        <v>8.2451028519583449</v>
      </c>
      <c r="J258" s="79">
        <v>2.4759364361552429</v>
      </c>
      <c r="K258" s="79">
        <v>1.8136178013386826</v>
      </c>
      <c r="L258" s="79">
        <v>8.9751860606825602</v>
      </c>
      <c r="M258" s="79">
        <v>1.1776171082138374</v>
      </c>
      <c r="N258" s="79">
        <v>0.96658867161411</v>
      </c>
      <c r="O258" s="79">
        <v>0.31230806150107238</v>
      </c>
      <c r="P258" s="79">
        <v>8.3991327051021747E-2</v>
      </c>
    </row>
    <row r="259" spans="2:16" x14ac:dyDescent="0.3">
      <c r="B259" s="295"/>
      <c r="C259" s="12" t="s">
        <v>229</v>
      </c>
      <c r="D259" s="81">
        <v>11.631132673597138</v>
      </c>
      <c r="E259" s="81">
        <v>15.286298721529629</v>
      </c>
      <c r="F259" s="81">
        <v>43.281898693650618</v>
      </c>
      <c r="G259" s="81">
        <v>2.4168112461371996</v>
      </c>
      <c r="H259" s="81">
        <v>4.837543246357952</v>
      </c>
      <c r="I259" s="81">
        <v>7.3838078649868706</v>
      </c>
      <c r="J259" s="81">
        <v>3.5126404015067716</v>
      </c>
      <c r="K259" s="81">
        <v>1.546315221816142</v>
      </c>
      <c r="L259" s="81">
        <v>7.4682785882665383</v>
      </c>
      <c r="M259" s="81">
        <v>1.5097136630595063</v>
      </c>
      <c r="N259" s="81">
        <v>1.0564782231910255</v>
      </c>
      <c r="O259" s="81">
        <v>6.9081455900437183E-2</v>
      </c>
      <c r="P259" s="81">
        <v>0</v>
      </c>
    </row>
    <row r="260" spans="2:16" x14ac:dyDescent="0.3">
      <c r="B260" s="296" t="s">
        <v>199</v>
      </c>
      <c r="C260" s="13" t="s">
        <v>192</v>
      </c>
      <c r="D260" s="80">
        <v>13.304155664679252</v>
      </c>
      <c r="E260" s="80">
        <v>15.410606397500704</v>
      </c>
      <c r="F260" s="80">
        <v>40.37709986408133</v>
      </c>
      <c r="G260" s="80">
        <v>3.2656461005454989</v>
      </c>
      <c r="H260" s="80">
        <v>4.5404442611734845</v>
      </c>
      <c r="I260" s="80">
        <v>7.5925988987105066</v>
      </c>
      <c r="J260" s="80">
        <v>2.9958819111881101</v>
      </c>
      <c r="K260" s="80">
        <v>1.323078013647512</v>
      </c>
      <c r="L260" s="80">
        <v>9.2029325164560394</v>
      </c>
      <c r="M260" s="80">
        <v>0.95883773718722265</v>
      </c>
      <c r="N260" s="80">
        <v>0.89580574617231257</v>
      </c>
      <c r="O260" s="80">
        <v>9.941381590770984E-2</v>
      </c>
      <c r="P260" s="80">
        <v>3.3499072749387411E-2</v>
      </c>
    </row>
    <row r="261" spans="2:16" ht="16.5" customHeight="1" x14ac:dyDescent="0.3">
      <c r="B261" s="292"/>
      <c r="C261" s="9" t="s">
        <v>200</v>
      </c>
      <c r="D261" s="79">
        <v>12.427522873773144</v>
      </c>
      <c r="E261" s="79">
        <v>12.876035034538452</v>
      </c>
      <c r="F261" s="79">
        <v>40.884167393162329</v>
      </c>
      <c r="G261" s="79">
        <v>3.2437965195966791</v>
      </c>
      <c r="H261" s="79">
        <v>3.3611015217557236</v>
      </c>
      <c r="I261" s="79">
        <v>6.8350835103301417</v>
      </c>
      <c r="J261" s="79">
        <v>4.3214701789911656</v>
      </c>
      <c r="K261" s="79">
        <v>1.7590610440739995</v>
      </c>
      <c r="L261" s="79">
        <v>12.507737057116872</v>
      </c>
      <c r="M261" s="79">
        <v>0.57371213142848343</v>
      </c>
      <c r="N261" s="79">
        <v>1.0422314819180436</v>
      </c>
      <c r="O261" s="79">
        <v>0.16808125331493354</v>
      </c>
      <c r="P261" s="79">
        <v>0</v>
      </c>
    </row>
    <row r="262" spans="2:16" ht="16.5" customHeight="1" x14ac:dyDescent="0.3">
      <c r="B262" s="292"/>
      <c r="C262" s="9" t="s">
        <v>201</v>
      </c>
      <c r="D262" s="79">
        <v>13.996608997467696</v>
      </c>
      <c r="E262" s="79">
        <v>14.784326396671583</v>
      </c>
      <c r="F262" s="79">
        <v>35.091027090690964</v>
      </c>
      <c r="G262" s="79">
        <v>4.0527429158886896</v>
      </c>
      <c r="H262" s="79">
        <v>5.4231211670896888</v>
      </c>
      <c r="I262" s="79">
        <v>7.8473925884775859</v>
      </c>
      <c r="J262" s="79">
        <v>3.0744913094997175</v>
      </c>
      <c r="K262" s="79">
        <v>2.6983037949212751</v>
      </c>
      <c r="L262" s="79">
        <v>10.63787177092242</v>
      </c>
      <c r="M262" s="79">
        <v>1.638263680463719</v>
      </c>
      <c r="N262" s="79">
        <v>0.62994978893526732</v>
      </c>
      <c r="O262" s="79">
        <v>0.12590049897124744</v>
      </c>
      <c r="P262" s="79">
        <v>0</v>
      </c>
    </row>
    <row r="263" spans="2:16" x14ac:dyDescent="0.3">
      <c r="B263" s="292"/>
      <c r="C263" s="9" t="s">
        <v>202</v>
      </c>
      <c r="D263" s="79">
        <v>14.346985594390018</v>
      </c>
      <c r="E263" s="79">
        <v>15.947875846488751</v>
      </c>
      <c r="F263" s="79">
        <v>40.24202836207288</v>
      </c>
      <c r="G263" s="79">
        <v>2.0132980843022499</v>
      </c>
      <c r="H263" s="79">
        <v>5.0434065451146752</v>
      </c>
      <c r="I263" s="79">
        <v>6.6129832673193247</v>
      </c>
      <c r="J263" s="79">
        <v>1.9292572719662109</v>
      </c>
      <c r="K263" s="79">
        <v>1.9470649147760084</v>
      </c>
      <c r="L263" s="79">
        <v>8.7076106632547301</v>
      </c>
      <c r="M263" s="79">
        <v>1.4289727388151392</v>
      </c>
      <c r="N263" s="79">
        <v>1.2762102864258966</v>
      </c>
      <c r="O263" s="79">
        <v>0.50430642507397938</v>
      </c>
      <c r="P263" s="79">
        <v>0</v>
      </c>
    </row>
    <row r="264" spans="2:16" x14ac:dyDescent="0.3">
      <c r="B264" s="295"/>
      <c r="C264" s="12" t="s">
        <v>203</v>
      </c>
      <c r="D264" s="81">
        <v>14.521936314881387</v>
      </c>
      <c r="E264" s="81">
        <v>12.300680668044977</v>
      </c>
      <c r="F264" s="81">
        <v>41.841166960394311</v>
      </c>
      <c r="G264" s="81">
        <v>3.1094790473352609</v>
      </c>
      <c r="H264" s="81">
        <v>4.3735014960717704</v>
      </c>
      <c r="I264" s="81">
        <v>7.5848524331091349</v>
      </c>
      <c r="J264" s="81">
        <v>3.1128816865175368</v>
      </c>
      <c r="K264" s="81">
        <v>1.5174368849764304</v>
      </c>
      <c r="L264" s="81">
        <v>9.3640882596929842</v>
      </c>
      <c r="M264" s="81">
        <v>0.8702839789360719</v>
      </c>
      <c r="N264" s="81">
        <v>1.0380833044499234</v>
      </c>
      <c r="O264" s="81">
        <v>0.23872809938771533</v>
      </c>
      <c r="P264" s="81">
        <v>0.12688086620251074</v>
      </c>
    </row>
    <row r="265" spans="2:16" x14ac:dyDescent="0.3">
      <c r="B265" s="291" t="s">
        <v>204</v>
      </c>
      <c r="C265" s="13" t="s">
        <v>192</v>
      </c>
      <c r="D265" s="80">
        <v>13.304155664679252</v>
      </c>
      <c r="E265" s="80">
        <v>15.410606397500704</v>
      </c>
      <c r="F265" s="80">
        <v>40.37709986408133</v>
      </c>
      <c r="G265" s="80">
        <v>3.2656461005454989</v>
      </c>
      <c r="H265" s="80">
        <v>4.5404442611734845</v>
      </c>
      <c r="I265" s="80">
        <v>7.5925988987105066</v>
      </c>
      <c r="J265" s="80">
        <v>2.9958819111881101</v>
      </c>
      <c r="K265" s="80">
        <v>1.323078013647512</v>
      </c>
      <c r="L265" s="80">
        <v>9.2029325164560394</v>
      </c>
      <c r="M265" s="80">
        <v>0.95883773718722265</v>
      </c>
      <c r="N265" s="80">
        <v>0.89580574617231257</v>
      </c>
      <c r="O265" s="80">
        <v>9.941381590770984E-2</v>
      </c>
      <c r="P265" s="80">
        <v>3.3499072749387411E-2</v>
      </c>
    </row>
    <row r="266" spans="2:16" x14ac:dyDescent="0.3">
      <c r="B266" s="295"/>
      <c r="C266" s="12" t="s">
        <v>193</v>
      </c>
      <c r="D266" s="81">
        <v>14.191616988982522</v>
      </c>
      <c r="E266" s="81">
        <v>13.537456507782434</v>
      </c>
      <c r="F266" s="81">
        <v>39.97951783177129</v>
      </c>
      <c r="G266" s="81">
        <v>3.1400392243585546</v>
      </c>
      <c r="H266" s="81">
        <v>4.6347320264297682</v>
      </c>
      <c r="I266" s="81">
        <v>7.4084917962373025</v>
      </c>
      <c r="J266" s="81">
        <v>3.004079056246006</v>
      </c>
      <c r="K266" s="81">
        <v>1.8756832519274891</v>
      </c>
      <c r="L266" s="81">
        <v>9.8077705598080129</v>
      </c>
      <c r="M266" s="81">
        <v>1.1121905105178438</v>
      </c>
      <c r="N266" s="81">
        <v>0.98920844800103269</v>
      </c>
      <c r="O266" s="81">
        <v>0.25369741770012572</v>
      </c>
      <c r="P266" s="81">
        <v>6.5516380238344052E-2</v>
      </c>
    </row>
    <row r="267" spans="2:16" x14ac:dyDescent="0.3">
      <c r="B267" s="291" t="s">
        <v>209</v>
      </c>
      <c r="C267" s="13" t="s">
        <v>205</v>
      </c>
      <c r="D267" s="80">
        <v>14.894015873295107</v>
      </c>
      <c r="E267" s="80">
        <v>13.205944175008078</v>
      </c>
      <c r="F267" s="80">
        <v>38.575535575049415</v>
      </c>
      <c r="G267" s="80">
        <v>3.6407912349671916</v>
      </c>
      <c r="H267" s="80">
        <v>4.1020542153127231</v>
      </c>
      <c r="I267" s="80">
        <v>7.6494156397243636</v>
      </c>
      <c r="J267" s="80">
        <v>3.4942598314307252</v>
      </c>
      <c r="K267" s="80">
        <v>1.2996829416413389</v>
      </c>
      <c r="L267" s="80">
        <v>11.328056829492942</v>
      </c>
      <c r="M267" s="80">
        <v>0.73530077749456957</v>
      </c>
      <c r="N267" s="80">
        <v>0.84235892296445936</v>
      </c>
      <c r="O267" s="80">
        <v>0.11306291400706293</v>
      </c>
      <c r="P267" s="80">
        <v>0.11952106961210199</v>
      </c>
    </row>
    <row r="268" spans="2:16" x14ac:dyDescent="0.3">
      <c r="B268" s="292"/>
      <c r="C268" s="9" t="s">
        <v>206</v>
      </c>
      <c r="D268" s="79">
        <v>12.599797824978577</v>
      </c>
      <c r="E268" s="79">
        <v>15.116921166839385</v>
      </c>
      <c r="F268" s="79">
        <v>40.166021974478468</v>
      </c>
      <c r="G268" s="79">
        <v>2.780032338772751</v>
      </c>
      <c r="H268" s="79">
        <v>4.2241726599781853</v>
      </c>
      <c r="I268" s="79">
        <v>9.0633615490587793</v>
      </c>
      <c r="J268" s="79">
        <v>2.2104303764095219</v>
      </c>
      <c r="K268" s="79">
        <v>2.0361458193991302</v>
      </c>
      <c r="L268" s="79">
        <v>9.5998728843092671</v>
      </c>
      <c r="M268" s="79">
        <v>1.0653100331485135</v>
      </c>
      <c r="N268" s="79">
        <v>0.86204681393301319</v>
      </c>
      <c r="O268" s="79">
        <v>0.19915183745328685</v>
      </c>
      <c r="P268" s="79">
        <v>7.6734721241056111E-2</v>
      </c>
    </row>
    <row r="269" spans="2:16" x14ac:dyDescent="0.3">
      <c r="B269" s="292"/>
      <c r="C269" s="9" t="s">
        <v>207</v>
      </c>
      <c r="D269" s="79">
        <v>13.698240958799021</v>
      </c>
      <c r="E269" s="79">
        <v>14.796923267453298</v>
      </c>
      <c r="F269" s="79">
        <v>39.83674337670859</v>
      </c>
      <c r="G269" s="79">
        <v>3.1134050246511347</v>
      </c>
      <c r="H269" s="79">
        <v>4.6896759596552879</v>
      </c>
      <c r="I269" s="79">
        <v>7.8169435743181594</v>
      </c>
      <c r="J269" s="79">
        <v>3.0815751209866558</v>
      </c>
      <c r="K269" s="79">
        <v>1.21000311210656</v>
      </c>
      <c r="L269" s="79">
        <v>9.4125639258744354</v>
      </c>
      <c r="M269" s="79">
        <v>1.1118561092002559</v>
      </c>
      <c r="N269" s="79">
        <v>1.0445179682678238</v>
      </c>
      <c r="O269" s="79">
        <v>0.18755160197842394</v>
      </c>
      <c r="P269" s="79">
        <v>0</v>
      </c>
    </row>
    <row r="270" spans="2:16" x14ac:dyDescent="0.3">
      <c r="B270" s="293"/>
      <c r="C270" s="25" t="s">
        <v>208</v>
      </c>
      <c r="D270" s="82">
        <v>13.801884136432621</v>
      </c>
      <c r="E270" s="82">
        <v>14.672140569405631</v>
      </c>
      <c r="F270" s="82">
        <v>41.299105805267828</v>
      </c>
      <c r="G270" s="82">
        <v>3.3512731901312431</v>
      </c>
      <c r="H270" s="82">
        <v>4.9145478187501954</v>
      </c>
      <c r="I270" s="82">
        <v>6.2532703104226179</v>
      </c>
      <c r="J270" s="82">
        <v>3.1585229981493934</v>
      </c>
      <c r="K270" s="82">
        <v>1.7554724044682266</v>
      </c>
      <c r="L270" s="82">
        <v>8.6045318611399946</v>
      </c>
      <c r="M270" s="82">
        <v>1.0617202557576237</v>
      </c>
      <c r="N270" s="82">
        <v>0.92691874507658656</v>
      </c>
      <c r="O270" s="82">
        <v>0.15843705878335299</v>
      </c>
      <c r="P270" s="82">
        <v>4.2174846214449051E-2</v>
      </c>
    </row>
    <row r="271" spans="2:16" x14ac:dyDescent="0.3">
      <c r="B271" s="60"/>
      <c r="C271" s="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</row>
    <row r="272" spans="2:16" x14ac:dyDescent="0.3">
      <c r="B272" s="60"/>
      <c r="C272" s="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</row>
    <row r="273" spans="2:19" x14ac:dyDescent="0.3">
      <c r="B273" s="1" t="s">
        <v>490</v>
      </c>
      <c r="D273" s="59"/>
      <c r="E273" s="304"/>
      <c r="F273" s="304"/>
      <c r="G273" s="304"/>
      <c r="H273" s="304"/>
      <c r="I273" s="304"/>
      <c r="J273" s="304"/>
      <c r="K273" s="304"/>
      <c r="L273" s="304"/>
      <c r="M273" s="304"/>
      <c r="N273" s="304"/>
      <c r="O273" s="304"/>
      <c r="P273" s="304"/>
      <c r="Q273" s="304"/>
      <c r="R273" s="304"/>
      <c r="S273" s="304"/>
    </row>
    <row r="274" spans="2:19" ht="10.5" customHeight="1" x14ac:dyDescent="0.3"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30"/>
      <c r="O274" s="30"/>
      <c r="P274" s="30" t="s">
        <v>157</v>
      </c>
    </row>
    <row r="275" spans="2:19" s="125" customFormat="1" ht="27" x14ac:dyDescent="0.3">
      <c r="B275" s="297"/>
      <c r="C275" s="297"/>
      <c r="D275" s="215" t="s">
        <v>57</v>
      </c>
      <c r="E275" s="215" t="s">
        <v>59</v>
      </c>
      <c r="F275" s="215" t="s">
        <v>126</v>
      </c>
      <c r="G275" s="215" t="s">
        <v>58</v>
      </c>
      <c r="H275" s="215" t="s">
        <v>127</v>
      </c>
      <c r="I275" s="202" t="s">
        <v>376</v>
      </c>
      <c r="J275" s="215" t="s">
        <v>60</v>
      </c>
      <c r="K275" s="215" t="s">
        <v>61</v>
      </c>
      <c r="L275" s="215" t="s">
        <v>128</v>
      </c>
      <c r="M275" s="215" t="s">
        <v>129</v>
      </c>
      <c r="N275" s="202" t="s">
        <v>377</v>
      </c>
      <c r="O275" s="215" t="s">
        <v>130</v>
      </c>
      <c r="P275" s="215" t="s">
        <v>38</v>
      </c>
      <c r="Q275" s="126"/>
    </row>
    <row r="276" spans="2:19" ht="21.75" customHeight="1" x14ac:dyDescent="0.3">
      <c r="B276" s="292" t="s">
        <v>20</v>
      </c>
      <c r="C276" s="292"/>
      <c r="D276" s="86">
        <v>31.325735369914725</v>
      </c>
      <c r="E276" s="86">
        <v>35.080032736982716</v>
      </c>
      <c r="F276" s="88">
        <v>68.513557997420278</v>
      </c>
      <c r="G276" s="86">
        <v>12.760900494470311</v>
      </c>
      <c r="H276" s="88">
        <v>22.575015700659325</v>
      </c>
      <c r="I276" s="86">
        <v>36.854572718143977</v>
      </c>
      <c r="J276" s="86">
        <v>20.314425481642587</v>
      </c>
      <c r="K276" s="86">
        <v>13.284502288534291</v>
      </c>
      <c r="L276" s="88">
        <v>41.547761613510637</v>
      </c>
      <c r="M276" s="86">
        <v>6.1827690550369745</v>
      </c>
      <c r="N276" s="86">
        <v>10.707060183767954</v>
      </c>
      <c r="O276" s="86">
        <v>0.75853408651504051</v>
      </c>
      <c r="P276" s="86">
        <v>9.5132273402048398E-2</v>
      </c>
    </row>
    <row r="277" spans="2:19" x14ac:dyDescent="0.3">
      <c r="B277" s="296" t="s">
        <v>5</v>
      </c>
      <c r="C277" s="13" t="s">
        <v>0</v>
      </c>
      <c r="D277" s="84">
        <v>31.895231592877405</v>
      </c>
      <c r="E277" s="84">
        <v>31.341023519849458</v>
      </c>
      <c r="F277" s="89">
        <v>64.821733199689305</v>
      </c>
      <c r="G277" s="84">
        <v>13.932125318358175</v>
      </c>
      <c r="H277" s="89">
        <v>21.884227418499233</v>
      </c>
      <c r="I277" s="84">
        <v>37.034845964345649</v>
      </c>
      <c r="J277" s="84">
        <v>22.738157583705636</v>
      </c>
      <c r="K277" s="84">
        <v>17.641332207847768</v>
      </c>
      <c r="L277" s="89">
        <v>41.542035186032699</v>
      </c>
      <c r="M277" s="84">
        <v>8.5605698860610602</v>
      </c>
      <c r="N277" s="84">
        <v>7.7108428468334145</v>
      </c>
      <c r="O277" s="84">
        <v>0.83165387831634718</v>
      </c>
      <c r="P277" s="84">
        <v>6.6221397582601135E-2</v>
      </c>
    </row>
    <row r="278" spans="2:19" x14ac:dyDescent="0.3">
      <c r="B278" s="295"/>
      <c r="C278" s="12" t="s">
        <v>1</v>
      </c>
      <c r="D278" s="90">
        <v>30.847985514585162</v>
      </c>
      <c r="E278" s="90">
        <v>38.21668411504826</v>
      </c>
      <c r="F278" s="90">
        <v>71.61062640963911</v>
      </c>
      <c r="G278" s="90">
        <v>11.778361071716413</v>
      </c>
      <c r="H278" s="90">
        <v>23.154517352396265</v>
      </c>
      <c r="I278" s="90">
        <v>36.703341658445652</v>
      </c>
      <c r="J278" s="90">
        <v>18.281158860323853</v>
      </c>
      <c r="K278" s="90">
        <v>9.6295616941667994</v>
      </c>
      <c r="L278" s="90">
        <v>41.552565508231147</v>
      </c>
      <c r="M278" s="90">
        <v>4.1880341345606391</v>
      </c>
      <c r="N278" s="90">
        <v>13.220584139744327</v>
      </c>
      <c r="O278" s="90">
        <v>0.69719396072274631</v>
      </c>
      <c r="P278" s="90">
        <v>0.1193855804184166</v>
      </c>
    </row>
    <row r="279" spans="2:19" x14ac:dyDescent="0.3">
      <c r="B279" s="296" t="s">
        <v>4</v>
      </c>
      <c r="C279" s="9" t="s">
        <v>175</v>
      </c>
      <c r="D279" s="86">
        <v>40.172933070769346</v>
      </c>
      <c r="E279" s="86">
        <v>31.427502762144609</v>
      </c>
      <c r="F279" s="88">
        <v>79.19187615052067</v>
      </c>
      <c r="G279" s="86">
        <v>18.314697231306674</v>
      </c>
      <c r="H279" s="88">
        <v>13.229722143881418</v>
      </c>
      <c r="I279" s="86">
        <v>35.198251632410127</v>
      </c>
      <c r="J279" s="86">
        <v>19.164814055149211</v>
      </c>
      <c r="K279" s="86">
        <v>5.3161225965536296</v>
      </c>
      <c r="L279" s="88">
        <v>37.547441733729251</v>
      </c>
      <c r="M279" s="86">
        <v>5.8647425277220071</v>
      </c>
      <c r="N279" s="86">
        <v>14.383897241384357</v>
      </c>
      <c r="O279" s="86">
        <v>0.18799885442868336</v>
      </c>
      <c r="P279" s="86">
        <v>0</v>
      </c>
    </row>
    <row r="280" spans="2:19" x14ac:dyDescent="0.3">
      <c r="B280" s="292"/>
      <c r="C280" s="9" t="s">
        <v>176</v>
      </c>
      <c r="D280" s="86">
        <v>36.708315427666172</v>
      </c>
      <c r="E280" s="86">
        <v>35.857994868603249</v>
      </c>
      <c r="F280" s="88">
        <v>71.773594479163535</v>
      </c>
      <c r="G280" s="86">
        <v>16.942139531688845</v>
      </c>
      <c r="H280" s="88">
        <v>16.544925834273364</v>
      </c>
      <c r="I280" s="86">
        <v>30.220099192087236</v>
      </c>
      <c r="J280" s="86">
        <v>22.737398493583111</v>
      </c>
      <c r="K280" s="86">
        <v>8.4551458752724518</v>
      </c>
      <c r="L280" s="88">
        <v>41.717287761298024</v>
      </c>
      <c r="M280" s="86">
        <v>5.8751395107333018</v>
      </c>
      <c r="N280" s="86">
        <v>12.134529065568</v>
      </c>
      <c r="O280" s="86">
        <v>0.78831427188817393</v>
      </c>
      <c r="P280" s="86">
        <v>0.24511568817433285</v>
      </c>
    </row>
    <row r="281" spans="2:19" x14ac:dyDescent="0.3">
      <c r="B281" s="292"/>
      <c r="C281" s="9" t="s">
        <v>177</v>
      </c>
      <c r="D281" s="86">
        <v>30.38997688182199</v>
      </c>
      <c r="E281" s="86">
        <v>36.848891794554334</v>
      </c>
      <c r="F281" s="88">
        <v>67.528966370978381</v>
      </c>
      <c r="G281" s="86">
        <v>13.815003248172051</v>
      </c>
      <c r="H281" s="88">
        <v>23.582317566106518</v>
      </c>
      <c r="I281" s="86">
        <v>33.353926967063288</v>
      </c>
      <c r="J281" s="86">
        <v>21.315084561010135</v>
      </c>
      <c r="K281" s="86">
        <v>12.962151918579137</v>
      </c>
      <c r="L281" s="88">
        <v>42.226242370173125</v>
      </c>
      <c r="M281" s="86">
        <v>6.8218026141177184</v>
      </c>
      <c r="N281" s="86">
        <v>10.884618634234778</v>
      </c>
      <c r="O281" s="86">
        <v>0.27101707318800933</v>
      </c>
      <c r="P281" s="86">
        <v>0</v>
      </c>
    </row>
    <row r="282" spans="2:19" x14ac:dyDescent="0.3">
      <c r="B282" s="292"/>
      <c r="C282" s="9" t="s">
        <v>178</v>
      </c>
      <c r="D282" s="86">
        <v>25.615828902411096</v>
      </c>
      <c r="E282" s="86">
        <v>33.03022825387076</v>
      </c>
      <c r="F282" s="88">
        <v>67.310241986271862</v>
      </c>
      <c r="G282" s="86">
        <v>13.981993332038606</v>
      </c>
      <c r="H282" s="88">
        <v>26.409140195706378</v>
      </c>
      <c r="I282" s="86">
        <v>37.41936964456751</v>
      </c>
      <c r="J282" s="86">
        <v>20.27350655320835</v>
      </c>
      <c r="K282" s="86">
        <v>12.282257961309972</v>
      </c>
      <c r="L282" s="88">
        <v>43.939375314373017</v>
      </c>
      <c r="M282" s="86">
        <v>6.8721060872222006</v>
      </c>
      <c r="N282" s="86">
        <v>11.469972478486373</v>
      </c>
      <c r="O282" s="86">
        <v>1.3234641095228459</v>
      </c>
      <c r="P282" s="86">
        <v>7.2515181009646365E-2</v>
      </c>
    </row>
    <row r="283" spans="2:19" x14ac:dyDescent="0.3">
      <c r="B283" s="292"/>
      <c r="C283" s="9" t="s">
        <v>179</v>
      </c>
      <c r="D283" s="86">
        <v>29.724656167420154</v>
      </c>
      <c r="E283" s="86">
        <v>32.979184201334348</v>
      </c>
      <c r="F283" s="88">
        <v>67.734748939802486</v>
      </c>
      <c r="G283" s="86">
        <v>9.6329061677557899</v>
      </c>
      <c r="H283" s="88">
        <v>23.859454088724263</v>
      </c>
      <c r="I283" s="86">
        <v>40.422775096193234</v>
      </c>
      <c r="J283" s="86">
        <v>19.6586913954709</v>
      </c>
      <c r="K283" s="86">
        <v>16.607930807414931</v>
      </c>
      <c r="L283" s="88">
        <v>42.171197751691039</v>
      </c>
      <c r="M283" s="86">
        <v>7.2300909525437778</v>
      </c>
      <c r="N283" s="86">
        <v>9.1404442002668862</v>
      </c>
      <c r="O283" s="86">
        <v>0.75135640866948838</v>
      </c>
      <c r="P283" s="86">
        <v>8.6563822712246719E-2</v>
      </c>
    </row>
    <row r="284" spans="2:19" x14ac:dyDescent="0.3">
      <c r="B284" s="298"/>
      <c r="C284" s="12" t="s">
        <v>180</v>
      </c>
      <c r="D284" s="90">
        <v>32.993339428343148</v>
      </c>
      <c r="E284" s="90">
        <v>38.444560406446691</v>
      </c>
      <c r="F284" s="91">
        <v>65.231054365121039</v>
      </c>
      <c r="G284" s="90">
        <v>7.4027781867147091</v>
      </c>
      <c r="H284" s="91">
        <v>24.482803302490975</v>
      </c>
      <c r="I284" s="90">
        <v>43.815213742523035</v>
      </c>
      <c r="J284" s="90">
        <v>17.652640374325472</v>
      </c>
      <c r="K284" s="90">
        <v>18.717849172136408</v>
      </c>
      <c r="L284" s="91">
        <v>37.977111543385575</v>
      </c>
      <c r="M284" s="90">
        <v>3.6847530990334243</v>
      </c>
      <c r="N284" s="90">
        <v>8.7062341261151754</v>
      </c>
      <c r="O284" s="90">
        <v>0.77823913430526637</v>
      </c>
      <c r="P284" s="90">
        <v>0.11342311905943123</v>
      </c>
    </row>
    <row r="285" spans="2:19" x14ac:dyDescent="0.3">
      <c r="B285" s="292" t="s">
        <v>223</v>
      </c>
      <c r="C285" s="9" t="s">
        <v>210</v>
      </c>
      <c r="D285" s="86">
        <v>46.597833743573077</v>
      </c>
      <c r="E285" s="86">
        <v>35.210181534464674</v>
      </c>
      <c r="F285" s="88">
        <v>75.498574030236824</v>
      </c>
      <c r="G285" s="86">
        <v>22.04611890350348</v>
      </c>
      <c r="H285" s="88">
        <v>13.098450988580982</v>
      </c>
      <c r="I285" s="86">
        <v>31.099991579960701</v>
      </c>
      <c r="J285" s="86">
        <v>20.261207411496244</v>
      </c>
      <c r="K285" s="86">
        <v>8.1521791589445112</v>
      </c>
      <c r="L285" s="88">
        <v>32.151924208773615</v>
      </c>
      <c r="M285" s="86">
        <v>4.7327781055197908</v>
      </c>
      <c r="N285" s="86">
        <v>10.735317185334102</v>
      </c>
      <c r="O285" s="86">
        <v>0.41544314961202666</v>
      </c>
      <c r="P285" s="86">
        <v>0</v>
      </c>
    </row>
    <row r="286" spans="2:19" x14ac:dyDescent="0.3">
      <c r="B286" s="292"/>
      <c r="C286" s="9" t="s">
        <v>211</v>
      </c>
      <c r="D286" s="86">
        <v>37.240808221625961</v>
      </c>
      <c r="E286" s="86">
        <v>33.949535812629591</v>
      </c>
      <c r="F286" s="88">
        <v>66.998226617600636</v>
      </c>
      <c r="G286" s="86">
        <v>16.555698313692442</v>
      </c>
      <c r="H286" s="88">
        <v>15.393295051694706</v>
      </c>
      <c r="I286" s="86">
        <v>31.839501444205499</v>
      </c>
      <c r="J286" s="86">
        <v>25.931984181062951</v>
      </c>
      <c r="K286" s="86">
        <v>11.749501159180495</v>
      </c>
      <c r="L286" s="88">
        <v>39.905171734366327</v>
      </c>
      <c r="M286" s="86">
        <v>8.2227813386465343</v>
      </c>
      <c r="N286" s="86">
        <v>11.068439339195606</v>
      </c>
      <c r="O286" s="86">
        <v>0.96989002423771686</v>
      </c>
      <c r="P286" s="86">
        <v>0.17516676186072694</v>
      </c>
    </row>
    <row r="287" spans="2:19" x14ac:dyDescent="0.3">
      <c r="B287" s="292"/>
      <c r="C287" s="9" t="s">
        <v>212</v>
      </c>
      <c r="D287" s="86">
        <v>32.006807362462212</v>
      </c>
      <c r="E287" s="86">
        <v>35.892242836533057</v>
      </c>
      <c r="F287" s="88">
        <v>63.609211496300809</v>
      </c>
      <c r="G287" s="86">
        <v>16.665472636201624</v>
      </c>
      <c r="H287" s="88">
        <v>22.951713938204012</v>
      </c>
      <c r="I287" s="86">
        <v>30.926536749442178</v>
      </c>
      <c r="J287" s="86">
        <v>24.125592503933628</v>
      </c>
      <c r="K287" s="86">
        <v>15.804503491019304</v>
      </c>
      <c r="L287" s="88">
        <v>40.377233686742798</v>
      </c>
      <c r="M287" s="86">
        <v>8.8647599033032218</v>
      </c>
      <c r="N287" s="86">
        <v>8.4346727583559549</v>
      </c>
      <c r="O287" s="86">
        <v>0.34125263750249241</v>
      </c>
      <c r="P287" s="86">
        <v>0</v>
      </c>
    </row>
    <row r="288" spans="2:19" x14ac:dyDescent="0.3">
      <c r="B288" s="292"/>
      <c r="C288" s="9" t="s">
        <v>213</v>
      </c>
      <c r="D288" s="86">
        <v>28.674007903401833</v>
      </c>
      <c r="E288" s="86">
        <v>27.487471120953071</v>
      </c>
      <c r="F288" s="88">
        <v>65.73257997183012</v>
      </c>
      <c r="G288" s="86">
        <v>15.455079447361481</v>
      </c>
      <c r="H288" s="88">
        <v>25.133480570896715</v>
      </c>
      <c r="I288" s="86">
        <v>38.130741793955387</v>
      </c>
      <c r="J288" s="86">
        <v>20.646887947613788</v>
      </c>
      <c r="K288" s="86">
        <v>18.078717416351033</v>
      </c>
      <c r="L288" s="88">
        <v>42.904702509352468</v>
      </c>
      <c r="M288" s="86">
        <v>9.2076389682102597</v>
      </c>
      <c r="N288" s="86">
        <v>7.0331094343198588</v>
      </c>
      <c r="O288" s="86">
        <v>1.3609633052315495</v>
      </c>
      <c r="P288" s="86">
        <v>0.15461961052359952</v>
      </c>
    </row>
    <row r="289" spans="2:16" x14ac:dyDescent="0.3">
      <c r="B289" s="292"/>
      <c r="C289" s="9" t="s">
        <v>214</v>
      </c>
      <c r="D289" s="86">
        <v>26.517761137874889</v>
      </c>
      <c r="E289" s="86">
        <v>26.568844603266449</v>
      </c>
      <c r="F289" s="88">
        <v>64.500859714365006</v>
      </c>
      <c r="G289" s="86">
        <v>10.10656591680025</v>
      </c>
      <c r="H289" s="88">
        <v>22.004125479511231</v>
      </c>
      <c r="I289" s="86">
        <v>41.036176652736309</v>
      </c>
      <c r="J289" s="86">
        <v>22.843177609116225</v>
      </c>
      <c r="K289" s="86">
        <v>21.446843901484488</v>
      </c>
      <c r="L289" s="88">
        <v>46.699663176977353</v>
      </c>
      <c r="M289" s="86">
        <v>11.22856642033415</v>
      </c>
      <c r="N289" s="86">
        <v>6.1672541492376203</v>
      </c>
      <c r="O289" s="86">
        <v>0.88016123829608905</v>
      </c>
      <c r="P289" s="86">
        <v>0</v>
      </c>
    </row>
    <row r="290" spans="2:16" x14ac:dyDescent="0.3">
      <c r="B290" s="292"/>
      <c r="C290" s="12" t="s">
        <v>215</v>
      </c>
      <c r="D290" s="90">
        <v>31.492984959120047</v>
      </c>
      <c r="E290" s="90">
        <v>32.05532453224528</v>
      </c>
      <c r="F290" s="91">
        <v>59.083806565584055</v>
      </c>
      <c r="G290" s="90">
        <v>6.5777269270563865</v>
      </c>
      <c r="H290" s="91">
        <v>26.893306663616993</v>
      </c>
      <c r="I290" s="90">
        <v>47.698282083053087</v>
      </c>
      <c r="J290" s="90">
        <v>20.424710496880191</v>
      </c>
      <c r="K290" s="90">
        <v>25.565974077616175</v>
      </c>
      <c r="L290" s="91">
        <v>39.816435379267368</v>
      </c>
      <c r="M290" s="90">
        <v>5.4363534107692804</v>
      </c>
      <c r="N290" s="90">
        <v>4.2987147300309978</v>
      </c>
      <c r="O290" s="90">
        <v>0.65638017475983856</v>
      </c>
      <c r="P290" s="90">
        <v>0</v>
      </c>
    </row>
    <row r="291" spans="2:16" x14ac:dyDescent="0.3">
      <c r="B291" s="292"/>
      <c r="C291" s="9" t="s">
        <v>216</v>
      </c>
      <c r="D291" s="86">
        <v>34.862296612152036</v>
      </c>
      <c r="E291" s="86">
        <v>28.300850254572957</v>
      </c>
      <c r="F291" s="88">
        <v>82.244652511047477</v>
      </c>
      <c r="G291" s="86">
        <v>15.230412355320331</v>
      </c>
      <c r="H291" s="88">
        <v>13.338227071631396</v>
      </c>
      <c r="I291" s="86">
        <v>38.585754468611185</v>
      </c>
      <c r="J291" s="86">
        <v>18.258567121893282</v>
      </c>
      <c r="K291" s="86">
        <v>2.9719205386623053</v>
      </c>
      <c r="L291" s="88">
        <v>42.007219952936175</v>
      </c>
      <c r="M291" s="86">
        <v>6.8003914718140033</v>
      </c>
      <c r="N291" s="86">
        <v>17.39970764135883</v>
      </c>
      <c r="O291" s="86">
        <v>0</v>
      </c>
      <c r="P291" s="86">
        <v>0</v>
      </c>
    </row>
    <row r="292" spans="2:16" x14ac:dyDescent="0.3">
      <c r="B292" s="292"/>
      <c r="C292" s="9" t="s">
        <v>217</v>
      </c>
      <c r="D292" s="86">
        <v>36.221257944894404</v>
      </c>
      <c r="E292" s="86">
        <v>37.603613352683382</v>
      </c>
      <c r="F292" s="88">
        <v>76.141500817700475</v>
      </c>
      <c r="G292" s="86">
        <v>17.295607388928651</v>
      </c>
      <c r="H292" s="88">
        <v>17.598292934087418</v>
      </c>
      <c r="I292" s="86">
        <v>28.738873542728999</v>
      </c>
      <c r="J292" s="86">
        <v>19.815393010894297</v>
      </c>
      <c r="K292" s="86">
        <v>5.441883705085294</v>
      </c>
      <c r="L292" s="88">
        <v>43.374783751064435</v>
      </c>
      <c r="M292" s="86">
        <v>3.7278118245682195</v>
      </c>
      <c r="N292" s="86">
        <v>13.109653958197159</v>
      </c>
      <c r="O292" s="86">
        <v>0.62223159457320942</v>
      </c>
      <c r="P292" s="86">
        <v>0.30909617459471733</v>
      </c>
    </row>
    <row r="293" spans="2:16" x14ac:dyDescent="0.3">
      <c r="B293" s="292"/>
      <c r="C293" s="9" t="s">
        <v>218</v>
      </c>
      <c r="D293" s="86">
        <v>28.872350232962425</v>
      </c>
      <c r="E293" s="86">
        <v>37.746843663771003</v>
      </c>
      <c r="F293" s="88">
        <v>71.208216933136555</v>
      </c>
      <c r="G293" s="86">
        <v>11.139430046880465</v>
      </c>
      <c r="H293" s="88">
        <v>24.174229261260667</v>
      </c>
      <c r="I293" s="86">
        <v>35.632379857179984</v>
      </c>
      <c r="J293" s="86">
        <v>18.677020891327558</v>
      </c>
      <c r="K293" s="86">
        <v>10.294198448246711</v>
      </c>
      <c r="L293" s="88">
        <v>43.961801469007369</v>
      </c>
      <c r="M293" s="86">
        <v>4.9041950098113141</v>
      </c>
      <c r="N293" s="86">
        <v>13.184243235587894</v>
      </c>
      <c r="O293" s="86">
        <v>0.20509095082844683</v>
      </c>
      <c r="P293" s="86">
        <v>0</v>
      </c>
    </row>
    <row r="294" spans="2:16" x14ac:dyDescent="0.3">
      <c r="B294" s="292"/>
      <c r="C294" s="9" t="s">
        <v>219</v>
      </c>
      <c r="D294" s="86">
        <v>22.914824765003019</v>
      </c>
      <c r="E294" s="86">
        <v>37.925628406645572</v>
      </c>
      <c r="F294" s="88">
        <v>68.703643623998701</v>
      </c>
      <c r="G294" s="86">
        <v>12.68095382749806</v>
      </c>
      <c r="H294" s="88">
        <v>27.535811304042596</v>
      </c>
      <c r="I294" s="86">
        <v>36.791081006751064</v>
      </c>
      <c r="J294" s="86">
        <v>19.943733609638745</v>
      </c>
      <c r="K294" s="86">
        <v>7.1627862216526745</v>
      </c>
      <c r="L294" s="88">
        <v>44.853205252490639</v>
      </c>
      <c r="M294" s="86">
        <v>4.8093478338439031</v>
      </c>
      <c r="N294" s="86">
        <v>15.388639579243572</v>
      </c>
      <c r="O294" s="86">
        <v>1.2903445691931859</v>
      </c>
      <c r="P294" s="86">
        <v>0</v>
      </c>
    </row>
    <row r="295" spans="2:16" x14ac:dyDescent="0.3">
      <c r="B295" s="292"/>
      <c r="C295" s="9" t="s">
        <v>220</v>
      </c>
      <c r="D295" s="86">
        <v>32.21085169380212</v>
      </c>
      <c r="E295" s="86">
        <v>37.948900230226272</v>
      </c>
      <c r="F295" s="88">
        <v>70.241872138729946</v>
      </c>
      <c r="G295" s="86">
        <v>9.2656940394347824</v>
      </c>
      <c r="H295" s="88">
        <v>25.297826609713159</v>
      </c>
      <c r="I295" s="86">
        <v>39.9472259460955</v>
      </c>
      <c r="J295" s="86">
        <v>17.189868654081604</v>
      </c>
      <c r="K295" s="86">
        <v>12.856487752313733</v>
      </c>
      <c r="L295" s="88">
        <v>38.660434107108031</v>
      </c>
      <c r="M295" s="86">
        <v>4.1302103113687183</v>
      </c>
      <c r="N295" s="86">
        <v>11.44545628698935</v>
      </c>
      <c r="O295" s="86">
        <v>0.65149845003857121</v>
      </c>
      <c r="P295" s="86">
        <v>0.15367378009810348</v>
      </c>
    </row>
    <row r="296" spans="2:16" x14ac:dyDescent="0.3">
      <c r="B296" s="295"/>
      <c r="C296" s="9" t="s">
        <v>221</v>
      </c>
      <c r="D296" s="90">
        <v>34.0250391723267</v>
      </c>
      <c r="E296" s="90">
        <v>42.838037515278252</v>
      </c>
      <c r="F296" s="91">
        <v>69.458131439960653</v>
      </c>
      <c r="G296" s="90">
        <v>7.9701142335114801</v>
      </c>
      <c r="H296" s="91">
        <v>22.825251202930431</v>
      </c>
      <c r="I296" s="90">
        <v>41.145070989610069</v>
      </c>
      <c r="J296" s="90">
        <v>15.746461471665441</v>
      </c>
      <c r="K296" s="90">
        <v>14.008822834240039</v>
      </c>
      <c r="L296" s="91">
        <v>36.712323808547623</v>
      </c>
      <c r="M296" s="90">
        <v>2.4802873342762077</v>
      </c>
      <c r="N296" s="90">
        <v>11.737009003533235</v>
      </c>
      <c r="O296" s="90">
        <v>0.86203390410405667</v>
      </c>
      <c r="P296" s="90">
        <v>0.19141709001487034</v>
      </c>
    </row>
    <row r="297" spans="2:16" ht="16.5" customHeight="1" x14ac:dyDescent="0.3">
      <c r="B297" s="291" t="s">
        <v>222</v>
      </c>
      <c r="C297" s="13" t="s">
        <v>226</v>
      </c>
      <c r="D297" s="80">
        <v>35.18538137070378</v>
      </c>
      <c r="E297" s="80">
        <v>34.531089139477835</v>
      </c>
      <c r="F297" s="80">
        <v>66.182982167435298</v>
      </c>
      <c r="G297" s="80">
        <v>14.024284789838923</v>
      </c>
      <c r="H297" s="80">
        <v>24.444530262030217</v>
      </c>
      <c r="I297" s="80">
        <v>34.903144388573708</v>
      </c>
      <c r="J297" s="80">
        <v>17.869250835080777</v>
      </c>
      <c r="K297" s="80">
        <v>11.895905857344227</v>
      </c>
      <c r="L297" s="80">
        <v>44.93851682299853</v>
      </c>
      <c r="M297" s="80">
        <v>5.2589203483852485</v>
      </c>
      <c r="N297" s="80">
        <v>9.6957605584806501</v>
      </c>
      <c r="O297" s="80">
        <v>1.0112799789642821</v>
      </c>
      <c r="P297" s="80">
        <v>5.8953480686457498E-2</v>
      </c>
    </row>
    <row r="298" spans="2:16" x14ac:dyDescent="0.3">
      <c r="B298" s="294"/>
      <c r="C298" s="9" t="s">
        <v>227</v>
      </c>
      <c r="D298" s="79">
        <v>31.612235361386929</v>
      </c>
      <c r="E298" s="79">
        <v>34.632818387486985</v>
      </c>
      <c r="F298" s="79">
        <v>68.693257975022831</v>
      </c>
      <c r="G298" s="79">
        <v>13.031134191248245</v>
      </c>
      <c r="H298" s="79">
        <v>22.971680433236592</v>
      </c>
      <c r="I298" s="79">
        <v>35.659331411380371</v>
      </c>
      <c r="J298" s="79">
        <v>20.127841401462081</v>
      </c>
      <c r="K298" s="79">
        <v>13.308278132028367</v>
      </c>
      <c r="L298" s="79">
        <v>43.157618072778483</v>
      </c>
      <c r="M298" s="79">
        <v>5.508758666993625</v>
      </c>
      <c r="N298" s="79">
        <v>10.408630585793881</v>
      </c>
      <c r="O298" s="79">
        <v>0.66975608049655322</v>
      </c>
      <c r="P298" s="79">
        <v>0.21865930068438896</v>
      </c>
    </row>
    <row r="299" spans="2:16" x14ac:dyDescent="0.3">
      <c r="B299" s="292"/>
      <c r="C299" s="9" t="s">
        <v>228</v>
      </c>
      <c r="D299" s="79">
        <v>29.892825239357553</v>
      </c>
      <c r="E299" s="79">
        <v>35.752271361229703</v>
      </c>
      <c r="F299" s="79">
        <v>68.151520673529788</v>
      </c>
      <c r="G299" s="79">
        <v>11.795587147202445</v>
      </c>
      <c r="H299" s="79">
        <v>21.174616888400426</v>
      </c>
      <c r="I299" s="79">
        <v>38.769924830625833</v>
      </c>
      <c r="J299" s="79">
        <v>19.327760068788329</v>
      </c>
      <c r="K299" s="79">
        <v>13.663426278373048</v>
      </c>
      <c r="L299" s="79">
        <v>43.138107687964698</v>
      </c>
      <c r="M299" s="79">
        <v>6.6295867951342142</v>
      </c>
      <c r="N299" s="79">
        <v>11.093753788255921</v>
      </c>
      <c r="O299" s="79">
        <v>0.52662791408636966</v>
      </c>
      <c r="P299" s="79">
        <v>8.3991327051021747E-2</v>
      </c>
    </row>
    <row r="300" spans="2:16" x14ac:dyDescent="0.3">
      <c r="B300" s="295"/>
      <c r="C300" s="12" t="s">
        <v>229</v>
      </c>
      <c r="D300" s="81">
        <v>28.576965379768392</v>
      </c>
      <c r="E300" s="81">
        <v>35.521844987773449</v>
      </c>
      <c r="F300" s="81">
        <v>70.842871157581229</v>
      </c>
      <c r="G300" s="81">
        <v>12.09374262149711</v>
      </c>
      <c r="H300" s="81">
        <v>21.567024985734644</v>
      </c>
      <c r="I300" s="81">
        <v>38.392886914199053</v>
      </c>
      <c r="J300" s="81">
        <v>23.708712746341366</v>
      </c>
      <c r="K300" s="81">
        <v>14.249220398366393</v>
      </c>
      <c r="L300" s="81">
        <v>35.124790948033848</v>
      </c>
      <c r="M300" s="81">
        <v>7.4328631696517853</v>
      </c>
      <c r="N300" s="81">
        <v>11.669279064954994</v>
      </c>
      <c r="O300" s="81">
        <v>0.81979762609742757</v>
      </c>
      <c r="P300" s="81">
        <v>0</v>
      </c>
    </row>
    <row r="301" spans="2:16" x14ac:dyDescent="0.3">
      <c r="B301" s="296" t="s">
        <v>199</v>
      </c>
      <c r="C301" s="13" t="s">
        <v>192</v>
      </c>
      <c r="D301" s="80">
        <v>30.988761521261509</v>
      </c>
      <c r="E301" s="80">
        <v>36.308082113558221</v>
      </c>
      <c r="F301" s="80">
        <v>68.66568162948144</v>
      </c>
      <c r="G301" s="80">
        <v>13.186792812892708</v>
      </c>
      <c r="H301" s="80">
        <v>22.937683698180869</v>
      </c>
      <c r="I301" s="80">
        <v>35.66158210527098</v>
      </c>
      <c r="J301" s="80">
        <v>21.536347337722415</v>
      </c>
      <c r="K301" s="80">
        <v>13.197379481243832</v>
      </c>
      <c r="L301" s="80">
        <v>40.859343838058351</v>
      </c>
      <c r="M301" s="80">
        <v>5.5001306347949042</v>
      </c>
      <c r="N301" s="80">
        <v>10.481653460326896</v>
      </c>
      <c r="O301" s="80">
        <v>0.58471358283366115</v>
      </c>
      <c r="P301" s="80">
        <v>9.1847784372098118E-2</v>
      </c>
    </row>
    <row r="302" spans="2:16" ht="16.5" customHeight="1" x14ac:dyDescent="0.3">
      <c r="B302" s="292"/>
      <c r="C302" s="9" t="s">
        <v>200</v>
      </c>
      <c r="D302" s="79">
        <v>28.535599308594893</v>
      </c>
      <c r="E302" s="79">
        <v>32.013362588585849</v>
      </c>
      <c r="F302" s="79">
        <v>67.153934125897337</v>
      </c>
      <c r="G302" s="79">
        <v>12.349641085962809</v>
      </c>
      <c r="H302" s="79">
        <v>27.354424529336256</v>
      </c>
      <c r="I302" s="79">
        <v>37.834252388964487</v>
      </c>
      <c r="J302" s="79">
        <v>17.23299449804324</v>
      </c>
      <c r="K302" s="79">
        <v>14.309710817760985</v>
      </c>
      <c r="L302" s="79">
        <v>44.100638065447853</v>
      </c>
      <c r="M302" s="79">
        <v>6.3762588787539158</v>
      </c>
      <c r="N302" s="79">
        <v>11.807538844608212</v>
      </c>
      <c r="O302" s="79">
        <v>0.93164486804403479</v>
      </c>
      <c r="P302" s="79">
        <v>0</v>
      </c>
    </row>
    <row r="303" spans="2:16" ht="16.5" customHeight="1" x14ac:dyDescent="0.3">
      <c r="B303" s="292"/>
      <c r="C303" s="9" t="s">
        <v>201</v>
      </c>
      <c r="D303" s="79">
        <v>30.743868964890069</v>
      </c>
      <c r="E303" s="79">
        <v>34.749784330214709</v>
      </c>
      <c r="F303" s="79">
        <v>64.728461310700837</v>
      </c>
      <c r="G303" s="79">
        <v>12.855741360434239</v>
      </c>
      <c r="H303" s="79">
        <v>24.938294157752811</v>
      </c>
      <c r="I303" s="79">
        <v>36.656471347659817</v>
      </c>
      <c r="J303" s="79">
        <v>18.289849776224244</v>
      </c>
      <c r="K303" s="79">
        <v>13.650596006313306</v>
      </c>
      <c r="L303" s="79">
        <v>43.607895797154484</v>
      </c>
      <c r="M303" s="79">
        <v>8.0299657293080084</v>
      </c>
      <c r="N303" s="79">
        <v>10.626955967449495</v>
      </c>
      <c r="O303" s="79">
        <v>0.97058376392479762</v>
      </c>
      <c r="P303" s="79">
        <v>0.15153148797268085</v>
      </c>
    </row>
    <row r="304" spans="2:16" x14ac:dyDescent="0.3">
      <c r="B304" s="292"/>
      <c r="C304" s="9" t="s">
        <v>202</v>
      </c>
      <c r="D304" s="79">
        <v>32.350472310362299</v>
      </c>
      <c r="E304" s="79">
        <v>36.808724629122786</v>
      </c>
      <c r="F304" s="79">
        <v>70.69362977784813</v>
      </c>
      <c r="G304" s="79">
        <v>11.285111219499402</v>
      </c>
      <c r="H304" s="79">
        <v>21.857742079892031</v>
      </c>
      <c r="I304" s="79">
        <v>37.103054919186462</v>
      </c>
      <c r="J304" s="79">
        <v>15.910420313460827</v>
      </c>
      <c r="K304" s="79">
        <v>14.183610716829479</v>
      </c>
      <c r="L304" s="79">
        <v>39.539483640122732</v>
      </c>
      <c r="M304" s="79">
        <v>7.4016896537717454</v>
      </c>
      <c r="N304" s="79">
        <v>11.279948767093863</v>
      </c>
      <c r="O304" s="79">
        <v>1.5861119728098554</v>
      </c>
      <c r="P304" s="79">
        <v>0</v>
      </c>
    </row>
    <row r="305" spans="2:16" x14ac:dyDescent="0.3">
      <c r="B305" s="295"/>
      <c r="C305" s="12" t="s">
        <v>203</v>
      </c>
      <c r="D305" s="81">
        <v>32.507982484965439</v>
      </c>
      <c r="E305" s="81">
        <v>32.226399000554807</v>
      </c>
      <c r="F305" s="81">
        <v>69.274457584029278</v>
      </c>
      <c r="G305" s="81">
        <v>12.270075092747151</v>
      </c>
      <c r="H305" s="81">
        <v>20.124410885684728</v>
      </c>
      <c r="I305" s="81">
        <v>39.538965711255955</v>
      </c>
      <c r="J305" s="81">
        <v>20.273660296133674</v>
      </c>
      <c r="K305" s="81">
        <v>12.858397239112437</v>
      </c>
      <c r="L305" s="81">
        <v>42.549709783803927</v>
      </c>
      <c r="M305" s="81">
        <v>6.5745580620580961</v>
      </c>
      <c r="N305" s="81">
        <v>10.90034287114176</v>
      </c>
      <c r="O305" s="81">
        <v>0.77416012231029052</v>
      </c>
      <c r="P305" s="81">
        <v>0.12688086620251074</v>
      </c>
    </row>
    <row r="306" spans="2:16" x14ac:dyDescent="0.3">
      <c r="B306" s="291" t="s">
        <v>204</v>
      </c>
      <c r="C306" s="13" t="s">
        <v>192</v>
      </c>
      <c r="D306" s="80">
        <v>30.988761521261509</v>
      </c>
      <c r="E306" s="80">
        <v>36.308082113558221</v>
      </c>
      <c r="F306" s="80">
        <v>68.66568162948144</v>
      </c>
      <c r="G306" s="80">
        <v>13.186792812892708</v>
      </c>
      <c r="H306" s="80">
        <v>22.937683698180869</v>
      </c>
      <c r="I306" s="80">
        <v>35.66158210527098</v>
      </c>
      <c r="J306" s="80">
        <v>21.536347337722415</v>
      </c>
      <c r="K306" s="80">
        <v>13.197379481243832</v>
      </c>
      <c r="L306" s="80">
        <v>40.859343838058351</v>
      </c>
      <c r="M306" s="80">
        <v>5.5001306347949042</v>
      </c>
      <c r="N306" s="80">
        <v>10.481653460326896</v>
      </c>
      <c r="O306" s="80">
        <v>0.58471358283366115</v>
      </c>
      <c r="P306" s="80">
        <v>9.1847784372098118E-2</v>
      </c>
    </row>
    <row r="307" spans="2:16" x14ac:dyDescent="0.3">
      <c r="B307" s="295"/>
      <c r="C307" s="12" t="s">
        <v>193</v>
      </c>
      <c r="D307" s="81">
        <v>31.741241870553282</v>
      </c>
      <c r="E307" s="81">
        <v>33.565783185831179</v>
      </c>
      <c r="F307" s="81">
        <v>68.325981548164577</v>
      </c>
      <c r="G307" s="81">
        <v>12.235752838104631</v>
      </c>
      <c r="H307" s="81">
        <v>22.127826961395836</v>
      </c>
      <c r="I307" s="81">
        <v>38.325592967433515</v>
      </c>
      <c r="J307" s="81">
        <v>18.807731485941385</v>
      </c>
      <c r="K307" s="81">
        <v>13.391929297863836</v>
      </c>
      <c r="L307" s="81">
        <v>42.3966169831453</v>
      </c>
      <c r="M307" s="81">
        <v>7.0244981753534042</v>
      </c>
      <c r="N307" s="81">
        <v>10.98499854382705</v>
      </c>
      <c r="O307" s="81">
        <v>0.97286392104853314</v>
      </c>
      <c r="P307" s="81">
        <v>9.9182221339183807E-2</v>
      </c>
    </row>
    <row r="308" spans="2:16" x14ac:dyDescent="0.3">
      <c r="B308" s="291" t="s">
        <v>209</v>
      </c>
      <c r="C308" s="13" t="s">
        <v>205</v>
      </c>
      <c r="D308" s="80">
        <v>32.845086380991241</v>
      </c>
      <c r="E308" s="80">
        <v>32.382512797844022</v>
      </c>
      <c r="F308" s="80">
        <v>66.295388768855986</v>
      </c>
      <c r="G308" s="80">
        <v>13.260937256867628</v>
      </c>
      <c r="H308" s="80">
        <v>22.914004813745716</v>
      </c>
      <c r="I308" s="80">
        <v>32.933352805765672</v>
      </c>
      <c r="J308" s="80">
        <v>20.680903861125817</v>
      </c>
      <c r="K308" s="80">
        <v>13.122276006975826</v>
      </c>
      <c r="L308" s="80">
        <v>45.962767720293918</v>
      </c>
      <c r="M308" s="80">
        <v>6.1333163492266811</v>
      </c>
      <c r="N308" s="80">
        <v>12.876156102497497</v>
      </c>
      <c r="O308" s="80">
        <v>0.47377606619809653</v>
      </c>
      <c r="P308" s="80">
        <v>0.11952106961210199</v>
      </c>
    </row>
    <row r="309" spans="2:16" x14ac:dyDescent="0.3">
      <c r="B309" s="292"/>
      <c r="C309" s="9" t="s">
        <v>206</v>
      </c>
      <c r="D309" s="79">
        <v>30.966060113615619</v>
      </c>
      <c r="E309" s="79">
        <v>35.944139537172177</v>
      </c>
      <c r="F309" s="79">
        <v>68.317960074296039</v>
      </c>
      <c r="G309" s="79">
        <v>10.109591446001989</v>
      </c>
      <c r="H309" s="79">
        <v>23.43722493908389</v>
      </c>
      <c r="I309" s="79">
        <v>40.245279683735653</v>
      </c>
      <c r="J309" s="79">
        <v>16.667342022105686</v>
      </c>
      <c r="K309" s="79">
        <v>11.699946377813209</v>
      </c>
      <c r="L309" s="79">
        <v>45.354922079564943</v>
      </c>
      <c r="M309" s="79">
        <v>5.7643846176614115</v>
      </c>
      <c r="N309" s="79">
        <v>10.444251305495984</v>
      </c>
      <c r="O309" s="79">
        <v>0.89572070673564308</v>
      </c>
      <c r="P309" s="79">
        <v>0.15317709671756038</v>
      </c>
    </row>
    <row r="310" spans="2:16" x14ac:dyDescent="0.3">
      <c r="B310" s="292"/>
      <c r="C310" s="9" t="s">
        <v>207</v>
      </c>
      <c r="D310" s="79">
        <v>31.482304664516729</v>
      </c>
      <c r="E310" s="79">
        <v>37.084323497928636</v>
      </c>
      <c r="F310" s="79">
        <v>69.297127964297829</v>
      </c>
      <c r="G310" s="79">
        <v>11.585883717002995</v>
      </c>
      <c r="H310" s="79">
        <v>22.176709874365645</v>
      </c>
      <c r="I310" s="79">
        <v>36.831125618081437</v>
      </c>
      <c r="J310" s="79">
        <v>21.045639138744459</v>
      </c>
      <c r="K310" s="79">
        <v>13.831636218217366</v>
      </c>
      <c r="L310" s="79">
        <v>39.264022297365578</v>
      </c>
      <c r="M310" s="79">
        <v>6.749242822902719</v>
      </c>
      <c r="N310" s="79">
        <v>9.8023579236831608</v>
      </c>
      <c r="O310" s="79">
        <v>0.74609017401234368</v>
      </c>
      <c r="P310" s="79">
        <v>0.10353608888016957</v>
      </c>
    </row>
    <row r="311" spans="2:16" x14ac:dyDescent="0.3">
      <c r="B311" s="293"/>
      <c r="C311" s="25" t="s">
        <v>208</v>
      </c>
      <c r="D311" s="82">
        <v>30.693575190093121</v>
      </c>
      <c r="E311" s="82">
        <v>33.961793841651954</v>
      </c>
      <c r="F311" s="82">
        <v>68.923362448679342</v>
      </c>
      <c r="G311" s="82">
        <v>15.169150231848405</v>
      </c>
      <c r="H311" s="82">
        <v>22.282393576967564</v>
      </c>
      <c r="I311" s="82">
        <v>36.692584043725809</v>
      </c>
      <c r="J311" s="82">
        <v>21.605967015830984</v>
      </c>
      <c r="K311" s="82">
        <v>13.781363411162303</v>
      </c>
      <c r="L311" s="82">
        <v>39.399849534497434</v>
      </c>
      <c r="M311" s="82">
        <v>5.9271138018650662</v>
      </c>
      <c r="N311" s="82">
        <v>10.70012813403102</v>
      </c>
      <c r="O311" s="82">
        <v>0.82054392343173699</v>
      </c>
      <c r="P311" s="82">
        <v>4.2174846214449051E-2</v>
      </c>
    </row>
    <row r="312" spans="2:16" x14ac:dyDescent="0.3">
      <c r="B312" s="60"/>
      <c r="C312" s="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</row>
    <row r="313" spans="2:16" x14ac:dyDescent="0.3">
      <c r="B313" s="60"/>
      <c r="C313" s="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</row>
    <row r="314" spans="2:16" x14ac:dyDescent="0.3">
      <c r="B314" s="1" t="s">
        <v>502</v>
      </c>
    </row>
    <row r="315" spans="2:16" x14ac:dyDescent="0.3">
      <c r="D315" s="30"/>
      <c r="E315" s="30" t="s">
        <v>301</v>
      </c>
      <c r="N315" s="30"/>
    </row>
    <row r="316" spans="2:16" x14ac:dyDescent="0.3">
      <c r="B316" s="216"/>
      <c r="C316" s="309" t="s">
        <v>137</v>
      </c>
      <c r="D316" s="290"/>
      <c r="E316" s="290"/>
      <c r="G316" s="308"/>
      <c r="H316" s="308"/>
      <c r="I316" s="308"/>
      <c r="J316" s="308"/>
      <c r="K316" s="308"/>
      <c r="L316" s="308"/>
      <c r="M316" s="308"/>
      <c r="N316" s="308"/>
    </row>
    <row r="317" spans="2:16" x14ac:dyDescent="0.3">
      <c r="B317" s="221"/>
      <c r="C317" s="228" t="s">
        <v>56</v>
      </c>
      <c r="D317" s="215" t="s">
        <v>302</v>
      </c>
      <c r="E317" s="215" t="s">
        <v>41</v>
      </c>
      <c r="G317" s="64"/>
      <c r="H317" s="64"/>
      <c r="I317" s="64"/>
      <c r="J317" s="64"/>
      <c r="K317" s="64"/>
      <c r="L317" s="64"/>
      <c r="M317" s="64"/>
      <c r="N317" s="64"/>
    </row>
    <row r="318" spans="2:16" x14ac:dyDescent="0.3">
      <c r="B318" s="40">
        <v>1</v>
      </c>
      <c r="C318" s="23" t="s">
        <v>336</v>
      </c>
      <c r="D318" s="134">
        <v>3161</v>
      </c>
      <c r="E318" s="83">
        <v>13.146184237887296</v>
      </c>
      <c r="G318" s="9"/>
      <c r="H318" s="56"/>
      <c r="I318" s="56"/>
      <c r="J318" s="56"/>
      <c r="K318" s="9"/>
      <c r="L318" s="56"/>
      <c r="M318" s="56"/>
      <c r="N318" s="56"/>
    </row>
    <row r="319" spans="2:16" x14ac:dyDescent="0.3">
      <c r="B319" s="40">
        <v>2</v>
      </c>
      <c r="C319" s="23" t="s">
        <v>337</v>
      </c>
      <c r="D319" s="134">
        <v>1892</v>
      </c>
      <c r="E319" s="83">
        <v>7.8685797463090044</v>
      </c>
      <c r="G319" s="9"/>
      <c r="H319" s="56"/>
      <c r="I319" s="56"/>
      <c r="J319" s="56"/>
      <c r="K319" s="9"/>
      <c r="L319" s="56"/>
      <c r="M319" s="56"/>
      <c r="N319" s="56"/>
    </row>
    <row r="320" spans="2:16" x14ac:dyDescent="0.3">
      <c r="B320" s="40">
        <v>3</v>
      </c>
      <c r="C320" s="23" t="s">
        <v>313</v>
      </c>
      <c r="D320" s="134">
        <v>1663</v>
      </c>
      <c r="E320" s="83">
        <v>6.9161987939280518</v>
      </c>
      <c r="G320" s="9"/>
      <c r="H320" s="56"/>
      <c r="I320" s="56"/>
      <c r="J320" s="56"/>
      <c r="K320" s="9"/>
      <c r="L320" s="56"/>
      <c r="M320" s="56"/>
      <c r="N320" s="56"/>
    </row>
    <row r="321" spans="2:14" x14ac:dyDescent="0.3">
      <c r="B321" s="40">
        <v>4</v>
      </c>
      <c r="C321" s="23" t="s">
        <v>304</v>
      </c>
      <c r="D321" s="134">
        <v>1255</v>
      </c>
      <c r="E321" s="83">
        <v>5.2193803285506348</v>
      </c>
      <c r="G321" s="9"/>
      <c r="H321" s="56"/>
      <c r="I321" s="56"/>
      <c r="J321" s="56"/>
      <c r="K321" s="9"/>
      <c r="L321" s="56"/>
      <c r="M321" s="56"/>
      <c r="N321" s="56"/>
    </row>
    <row r="322" spans="2:14" x14ac:dyDescent="0.3">
      <c r="B322" s="40">
        <v>5</v>
      </c>
      <c r="C322" s="23" t="s">
        <v>338</v>
      </c>
      <c r="D322" s="134">
        <v>1089</v>
      </c>
      <c r="E322" s="83">
        <v>4.5290081097941357</v>
      </c>
      <c r="G322" s="9"/>
      <c r="H322" s="56"/>
      <c r="I322" s="56"/>
      <c r="J322" s="56"/>
      <c r="K322" s="9"/>
      <c r="L322" s="56"/>
      <c r="M322" s="56"/>
      <c r="N322" s="56"/>
    </row>
    <row r="323" spans="2:14" x14ac:dyDescent="0.3">
      <c r="B323" s="40">
        <v>6</v>
      </c>
      <c r="C323" s="23" t="s">
        <v>312</v>
      </c>
      <c r="D323" s="134">
        <v>1029</v>
      </c>
      <c r="E323" s="83">
        <v>4.2794759825327509</v>
      </c>
      <c r="G323" s="9"/>
      <c r="H323" s="56"/>
      <c r="I323" s="56"/>
      <c r="J323" s="56"/>
      <c r="K323" s="9"/>
      <c r="L323" s="56"/>
      <c r="M323" s="56"/>
      <c r="N323" s="56"/>
    </row>
    <row r="324" spans="2:14" x14ac:dyDescent="0.3">
      <c r="B324" s="40">
        <v>7</v>
      </c>
      <c r="C324" s="23" t="s">
        <v>308</v>
      </c>
      <c r="D324" s="134">
        <v>934</v>
      </c>
      <c r="E324" s="83">
        <v>3.8843834477022248</v>
      </c>
      <c r="G324" s="9"/>
      <c r="H324" s="56"/>
      <c r="I324" s="56"/>
      <c r="J324" s="56"/>
      <c r="K324" s="9"/>
      <c r="L324" s="56"/>
      <c r="M324" s="56"/>
      <c r="N324" s="56"/>
    </row>
    <row r="325" spans="2:14" x14ac:dyDescent="0.3">
      <c r="B325" s="40">
        <v>8</v>
      </c>
      <c r="C325" s="23" t="s">
        <v>339</v>
      </c>
      <c r="D325" s="134">
        <v>694</v>
      </c>
      <c r="E325" s="83">
        <v>2.8862549386566854</v>
      </c>
      <c r="G325" s="9"/>
      <c r="H325" s="56"/>
      <c r="I325" s="56"/>
      <c r="J325" s="56"/>
      <c r="K325" s="9"/>
      <c r="L325" s="56"/>
      <c r="M325" s="56"/>
      <c r="N325" s="56"/>
    </row>
    <row r="326" spans="2:14" x14ac:dyDescent="0.3">
      <c r="B326" s="40">
        <v>9</v>
      </c>
      <c r="C326" s="23" t="s">
        <v>306</v>
      </c>
      <c r="D326" s="134">
        <v>691</v>
      </c>
      <c r="E326" s="83">
        <v>2.8737783322936159</v>
      </c>
      <c r="G326" s="9"/>
      <c r="H326" s="56"/>
      <c r="I326" s="56"/>
      <c r="J326" s="56"/>
      <c r="K326" s="9"/>
      <c r="L326" s="56"/>
      <c r="M326" s="56"/>
      <c r="N326" s="56"/>
    </row>
    <row r="327" spans="2:14" x14ac:dyDescent="0.3">
      <c r="B327" s="40">
        <v>10</v>
      </c>
      <c r="C327" s="23" t="s">
        <v>96</v>
      </c>
      <c r="D327" s="134">
        <v>674</v>
      </c>
      <c r="E327" s="83">
        <v>2.8030775629028901</v>
      </c>
      <c r="G327" s="9"/>
      <c r="H327" s="56"/>
      <c r="I327" s="56"/>
      <c r="J327" s="56"/>
      <c r="K327" s="9"/>
      <c r="L327" s="56"/>
      <c r="M327" s="56"/>
      <c r="N327" s="56"/>
    </row>
    <row r="328" spans="2:14" x14ac:dyDescent="0.3">
      <c r="B328" s="40">
        <v>11</v>
      </c>
      <c r="C328" s="23" t="s">
        <v>311</v>
      </c>
      <c r="D328" s="134">
        <v>575</v>
      </c>
      <c r="E328" s="83">
        <v>2.3913495529216053</v>
      </c>
      <c r="G328" s="9"/>
      <c r="H328" s="56"/>
      <c r="I328" s="56"/>
      <c r="J328" s="56"/>
      <c r="K328" s="9"/>
      <c r="L328" s="56"/>
      <c r="M328" s="56"/>
      <c r="N328" s="56"/>
    </row>
    <row r="329" spans="2:14" x14ac:dyDescent="0.3">
      <c r="B329" s="40">
        <v>12</v>
      </c>
      <c r="C329" s="23" t="s">
        <v>340</v>
      </c>
      <c r="D329" s="134">
        <v>432</v>
      </c>
      <c r="E329" s="83">
        <v>1.7966313162819714</v>
      </c>
      <c r="G329" s="9"/>
      <c r="H329" s="56"/>
      <c r="I329" s="56"/>
      <c r="J329" s="56"/>
      <c r="K329" s="9"/>
      <c r="L329" s="56"/>
      <c r="M329" s="56"/>
      <c r="N329" s="56"/>
    </row>
    <row r="330" spans="2:14" x14ac:dyDescent="0.3">
      <c r="B330" s="40">
        <v>13</v>
      </c>
      <c r="C330" s="23" t="s">
        <v>341</v>
      </c>
      <c r="D330" s="134">
        <v>409</v>
      </c>
      <c r="E330" s="83">
        <v>1.7009773341651071</v>
      </c>
      <c r="G330" s="9"/>
      <c r="H330" s="56"/>
      <c r="I330" s="56"/>
      <c r="J330" s="56"/>
      <c r="K330" s="9"/>
      <c r="L330" s="56"/>
      <c r="M330" s="56"/>
      <c r="N330" s="56"/>
    </row>
    <row r="331" spans="2:14" x14ac:dyDescent="0.3">
      <c r="B331" s="40">
        <v>14</v>
      </c>
      <c r="C331" s="23" t="s">
        <v>342</v>
      </c>
      <c r="D331" s="134">
        <v>404</v>
      </c>
      <c r="E331" s="83">
        <v>1.6801829902266585</v>
      </c>
      <c r="G331" s="9"/>
      <c r="H331" s="56"/>
      <c r="I331" s="56"/>
      <c r="J331" s="56"/>
      <c r="K331" s="9"/>
      <c r="L331" s="56"/>
      <c r="M331" s="56"/>
      <c r="N331" s="56"/>
    </row>
    <row r="332" spans="2:14" x14ac:dyDescent="0.3">
      <c r="B332" s="40">
        <v>15</v>
      </c>
      <c r="C332" s="23" t="s">
        <v>343</v>
      </c>
      <c r="D332" s="134">
        <v>384</v>
      </c>
      <c r="E332" s="83">
        <v>1.5970056144728635</v>
      </c>
      <c r="G332" s="9"/>
      <c r="H332" s="56"/>
      <c r="I332" s="56"/>
      <c r="J332" s="56"/>
      <c r="K332" s="9"/>
      <c r="L332" s="56"/>
      <c r="M332" s="56"/>
      <c r="N332" s="56"/>
    </row>
    <row r="333" spans="2:14" x14ac:dyDescent="0.3">
      <c r="B333" s="40">
        <v>16</v>
      </c>
      <c r="C333" s="23" t="s">
        <v>344</v>
      </c>
      <c r="D333" s="134">
        <v>323</v>
      </c>
      <c r="E333" s="83">
        <v>1.3433146184237887</v>
      </c>
      <c r="G333" s="9"/>
      <c r="H333" s="56"/>
      <c r="I333" s="56"/>
      <c r="J333" s="56"/>
      <c r="K333" s="9"/>
      <c r="L333" s="56"/>
      <c r="M333" s="56"/>
      <c r="N333" s="56"/>
    </row>
    <row r="334" spans="2:14" x14ac:dyDescent="0.3">
      <c r="B334" s="40">
        <v>17</v>
      </c>
      <c r="C334" s="23" t="s">
        <v>345</v>
      </c>
      <c r="D334" s="134">
        <v>320</v>
      </c>
      <c r="E334" s="83">
        <v>1.3308380120607195</v>
      </c>
      <c r="G334" s="9"/>
      <c r="H334" s="56"/>
      <c r="I334" s="56"/>
      <c r="J334" s="56"/>
      <c r="K334" s="9"/>
      <c r="L334" s="56"/>
      <c r="M334" s="56"/>
      <c r="N334" s="56"/>
    </row>
    <row r="335" spans="2:14" x14ac:dyDescent="0.3">
      <c r="B335" s="40">
        <v>18</v>
      </c>
      <c r="C335" s="23" t="s">
        <v>346</v>
      </c>
      <c r="D335" s="134">
        <v>304</v>
      </c>
      <c r="E335" s="83">
        <v>1.2642961114576836</v>
      </c>
      <c r="G335" s="9"/>
      <c r="H335" s="56"/>
      <c r="I335" s="56"/>
      <c r="J335" s="56"/>
      <c r="K335" s="9"/>
      <c r="L335" s="56"/>
      <c r="M335" s="56"/>
      <c r="N335" s="56"/>
    </row>
    <row r="336" spans="2:14" x14ac:dyDescent="0.3">
      <c r="B336" s="40">
        <v>19</v>
      </c>
      <c r="C336" s="23" t="s">
        <v>305</v>
      </c>
      <c r="D336" s="134">
        <v>293</v>
      </c>
      <c r="E336" s="83">
        <v>1.2185485547930963</v>
      </c>
      <c r="G336" s="9"/>
      <c r="H336" s="56"/>
      <c r="I336" s="56"/>
      <c r="J336" s="56"/>
      <c r="K336" s="9"/>
      <c r="L336" s="56"/>
      <c r="M336" s="56"/>
      <c r="N336" s="56"/>
    </row>
    <row r="337" spans="2:14" x14ac:dyDescent="0.3">
      <c r="B337" s="40">
        <v>20</v>
      </c>
      <c r="C337" s="23" t="s">
        <v>347</v>
      </c>
      <c r="D337" s="134">
        <v>276</v>
      </c>
      <c r="E337" s="83">
        <v>1.1478477854023705</v>
      </c>
      <c r="G337" s="9"/>
      <c r="H337" s="56"/>
      <c r="I337" s="56"/>
      <c r="J337" s="56"/>
      <c r="K337" s="9"/>
      <c r="L337" s="56"/>
      <c r="M337" s="56"/>
      <c r="N337" s="56"/>
    </row>
    <row r="338" spans="2:14" x14ac:dyDescent="0.3">
      <c r="B338" s="40">
        <v>21</v>
      </c>
      <c r="C338" s="23" t="s">
        <v>348</v>
      </c>
      <c r="D338" s="134">
        <v>265</v>
      </c>
      <c r="E338" s="83">
        <v>1.1021002287377835</v>
      </c>
      <c r="G338" s="9"/>
      <c r="H338" s="56"/>
      <c r="I338" s="56"/>
      <c r="J338" s="56"/>
      <c r="K338" s="9"/>
      <c r="L338" s="56"/>
      <c r="M338" s="56"/>
      <c r="N338" s="56"/>
    </row>
    <row r="339" spans="2:14" x14ac:dyDescent="0.3">
      <c r="B339" s="40">
        <v>22</v>
      </c>
      <c r="C339" s="23" t="s">
        <v>349</v>
      </c>
      <c r="D339" s="134">
        <v>259</v>
      </c>
      <c r="E339" s="83">
        <v>1.0771470160116448</v>
      </c>
      <c r="G339" s="9"/>
      <c r="H339" s="56"/>
      <c r="I339" s="56"/>
      <c r="J339" s="56"/>
      <c r="K339" s="9"/>
      <c r="L339" s="56"/>
      <c r="M339" s="56"/>
      <c r="N339" s="56"/>
    </row>
    <row r="340" spans="2:14" x14ac:dyDescent="0.3">
      <c r="B340" s="40">
        <v>23</v>
      </c>
      <c r="C340" s="23" t="s">
        <v>99</v>
      </c>
      <c r="D340" s="134">
        <v>223</v>
      </c>
      <c r="E340" s="83">
        <v>0.92742773965481384</v>
      </c>
      <c r="G340" s="9"/>
      <c r="H340" s="56"/>
      <c r="I340" s="56"/>
      <c r="J340" s="56"/>
      <c r="K340" s="9"/>
      <c r="L340" s="56"/>
      <c r="M340" s="56"/>
      <c r="N340" s="56"/>
    </row>
    <row r="341" spans="2:14" x14ac:dyDescent="0.3">
      <c r="B341" s="40">
        <v>24</v>
      </c>
      <c r="C341" s="23" t="s">
        <v>350</v>
      </c>
      <c r="D341" s="134">
        <v>219</v>
      </c>
      <c r="E341" s="83">
        <v>0.91079226450405493</v>
      </c>
      <c r="G341" s="9"/>
      <c r="H341" s="56"/>
      <c r="I341" s="56"/>
      <c r="J341" s="56"/>
      <c r="K341" s="9"/>
      <c r="L341" s="56"/>
      <c r="M341" s="56"/>
      <c r="N341" s="56"/>
    </row>
    <row r="342" spans="2:14" x14ac:dyDescent="0.3">
      <c r="B342" s="40">
        <v>25</v>
      </c>
      <c r="C342" s="23" t="s">
        <v>351</v>
      </c>
      <c r="D342" s="134">
        <v>209</v>
      </c>
      <c r="E342" s="83">
        <v>0.86920357662715753</v>
      </c>
      <c r="G342" s="9"/>
      <c r="H342" s="56"/>
      <c r="I342" s="56"/>
      <c r="J342" s="56"/>
      <c r="K342" s="9"/>
      <c r="L342" s="56"/>
      <c r="M342" s="56"/>
      <c r="N342" s="56"/>
    </row>
    <row r="343" spans="2:14" x14ac:dyDescent="0.3">
      <c r="B343" s="40">
        <v>26</v>
      </c>
      <c r="C343" s="23" t="s">
        <v>352</v>
      </c>
      <c r="D343" s="134">
        <v>197</v>
      </c>
      <c r="E343" s="83">
        <v>0.81929715117488056</v>
      </c>
      <c r="G343" s="9"/>
      <c r="H343" s="56"/>
      <c r="I343" s="56"/>
      <c r="J343" s="56"/>
      <c r="K343" s="9"/>
      <c r="L343" s="56"/>
      <c r="M343" s="56"/>
      <c r="N343" s="56"/>
    </row>
    <row r="344" spans="2:14" x14ac:dyDescent="0.3">
      <c r="B344" s="40">
        <v>27</v>
      </c>
      <c r="C344" s="23" t="s">
        <v>353</v>
      </c>
      <c r="D344" s="134">
        <v>175</v>
      </c>
      <c r="E344" s="83">
        <v>0.72780203784570596</v>
      </c>
      <c r="G344" s="9"/>
      <c r="H344" s="56"/>
      <c r="I344" s="56"/>
      <c r="J344" s="56"/>
      <c r="K344" s="9"/>
      <c r="L344" s="56"/>
      <c r="M344" s="56"/>
      <c r="N344" s="56"/>
    </row>
    <row r="345" spans="2:14" x14ac:dyDescent="0.3">
      <c r="B345" s="40">
        <v>28</v>
      </c>
      <c r="C345" s="23" t="s">
        <v>354</v>
      </c>
      <c r="D345" s="134">
        <v>171</v>
      </c>
      <c r="E345" s="83">
        <v>0.71116656269494694</v>
      </c>
      <c r="G345" s="9"/>
      <c r="H345" s="56"/>
      <c r="I345" s="56"/>
      <c r="J345" s="56"/>
      <c r="K345" s="9"/>
      <c r="L345" s="56"/>
      <c r="M345" s="56"/>
      <c r="N345" s="56"/>
    </row>
    <row r="346" spans="2:14" x14ac:dyDescent="0.3">
      <c r="B346" s="40">
        <v>29</v>
      </c>
      <c r="C346" s="23" t="s">
        <v>303</v>
      </c>
      <c r="D346" s="134">
        <v>164</v>
      </c>
      <c r="E346" s="83">
        <v>0.68205448118111878</v>
      </c>
      <c r="G346" s="9"/>
      <c r="H346" s="56"/>
      <c r="I346" s="56"/>
      <c r="J346" s="56"/>
      <c r="K346" s="9"/>
      <c r="L346" s="56"/>
      <c r="M346" s="56"/>
      <c r="N346" s="56"/>
    </row>
    <row r="347" spans="2:14" x14ac:dyDescent="0.3">
      <c r="B347" s="41">
        <v>30</v>
      </c>
      <c r="C347" s="26" t="s">
        <v>355</v>
      </c>
      <c r="D347" s="135">
        <v>156</v>
      </c>
      <c r="E347" s="85">
        <v>0.64878353087960083</v>
      </c>
      <c r="G347" s="9"/>
      <c r="H347" s="56"/>
      <c r="I347" s="56"/>
      <c r="J347" s="56"/>
      <c r="K347" s="9"/>
      <c r="L347" s="56"/>
      <c r="M347" s="56"/>
      <c r="N347" s="56"/>
    </row>
  </sheetData>
  <mergeCells count="76">
    <mergeCell ref="E273:S273"/>
    <mergeCell ref="B275:C275"/>
    <mergeCell ref="B276:C276"/>
    <mergeCell ref="B277:B278"/>
    <mergeCell ref="B279:B284"/>
    <mergeCell ref="F190:U190"/>
    <mergeCell ref="D192:J192"/>
    <mergeCell ref="K192:P192"/>
    <mergeCell ref="B192:C193"/>
    <mergeCell ref="G316:J316"/>
    <mergeCell ref="K316:N316"/>
    <mergeCell ref="C316:E316"/>
    <mergeCell ref="B256:B259"/>
    <mergeCell ref="B260:B264"/>
    <mergeCell ref="B265:B266"/>
    <mergeCell ref="B267:B270"/>
    <mergeCell ref="B285:B296"/>
    <mergeCell ref="B297:B300"/>
    <mergeCell ref="B301:B305"/>
    <mergeCell ref="B306:B307"/>
    <mergeCell ref="B308:B311"/>
    <mergeCell ref="E232:S232"/>
    <mergeCell ref="B234:C234"/>
    <mergeCell ref="B235:C235"/>
    <mergeCell ref="B236:B237"/>
    <mergeCell ref="B238:B243"/>
    <mergeCell ref="B244:B255"/>
    <mergeCell ref="B155:B160"/>
    <mergeCell ref="B161:B172"/>
    <mergeCell ref="B173:B176"/>
    <mergeCell ref="B177:B181"/>
    <mergeCell ref="B182:B183"/>
    <mergeCell ref="B184:B187"/>
    <mergeCell ref="B194:C194"/>
    <mergeCell ref="B195:B196"/>
    <mergeCell ref="B197:B202"/>
    <mergeCell ref="B203:B214"/>
    <mergeCell ref="B215:B218"/>
    <mergeCell ref="B219:B223"/>
    <mergeCell ref="B224:B225"/>
    <mergeCell ref="B226:B229"/>
    <mergeCell ref="F148:U148"/>
    <mergeCell ref="B150:C151"/>
    <mergeCell ref="D150:J150"/>
    <mergeCell ref="K150:P150"/>
    <mergeCell ref="B152:C152"/>
    <mergeCell ref="B153:B154"/>
    <mergeCell ref="B113:B118"/>
    <mergeCell ref="B119:B130"/>
    <mergeCell ref="B131:B134"/>
    <mergeCell ref="B135:B139"/>
    <mergeCell ref="B140:B141"/>
    <mergeCell ref="B142:B145"/>
    <mergeCell ref="F66:AY66"/>
    <mergeCell ref="B111:B112"/>
    <mergeCell ref="B69:C69"/>
    <mergeCell ref="B70:B71"/>
    <mergeCell ref="B72:B77"/>
    <mergeCell ref="B78:B89"/>
    <mergeCell ref="B90:B93"/>
    <mergeCell ref="B94:B98"/>
    <mergeCell ref="B99:B100"/>
    <mergeCell ref="B101:B104"/>
    <mergeCell ref="F107:AY107"/>
    <mergeCell ref="B109:C109"/>
    <mergeCell ref="B110:C110"/>
    <mergeCell ref="B68:C68"/>
    <mergeCell ref="B49:B52"/>
    <mergeCell ref="B53:B57"/>
    <mergeCell ref="B58:B59"/>
    <mergeCell ref="B60:B63"/>
    <mergeCell ref="B27:C27"/>
    <mergeCell ref="B28:C28"/>
    <mergeCell ref="B29:B30"/>
    <mergeCell ref="B31:B36"/>
    <mergeCell ref="B37:B48"/>
  </mergeCells>
  <phoneticPr fontId="2" type="noConversion"/>
  <pageMargins left="0.70866141732283472" right="0.70866141732283472" top="1.1417322834645669" bottom="0.39370078740157483" header="0.31496062992125984" footer="0.31496062992125984"/>
  <pageSetup paperSize="9" orientation="portrait" r:id="rId1"/>
  <headerFooter>
    <oddHeader>&amp;L&amp;P&amp;RKorea Fashion Index  2017상반기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16EE-D9D5-4FB0-B8C2-06719940FB73}">
  <sheetPr codeName="Sheet16"/>
  <dimension ref="B2:AY348"/>
  <sheetViews>
    <sheetView showGridLines="0" zoomScaleNormal="100" workbookViewId="0">
      <selection activeCell="F4" sqref="F4"/>
    </sheetView>
  </sheetViews>
  <sheetFormatPr defaultColWidth="9" defaultRowHeight="16.5" x14ac:dyDescent="0.3"/>
  <cols>
    <col min="1" max="1" width="3.625" style="1" customWidth="1"/>
    <col min="2" max="2" width="14.375" style="1" customWidth="1"/>
    <col min="3" max="3" width="13.125" style="1" customWidth="1"/>
    <col min="4" max="16" width="12.25" style="1" customWidth="1"/>
    <col min="17" max="20" width="10.375" style="1" customWidth="1"/>
    <col min="21" max="16384" width="9" style="1"/>
  </cols>
  <sheetData>
    <row r="2" spans="2:8" ht="17.25" x14ac:dyDescent="0.3">
      <c r="B2" s="33" t="s">
        <v>236</v>
      </c>
    </row>
    <row r="4" spans="2:8" ht="14.25" customHeight="1" x14ac:dyDescent="0.3">
      <c r="B4" s="1" t="s">
        <v>524</v>
      </c>
    </row>
    <row r="5" spans="2:8" ht="7.5" customHeight="1" x14ac:dyDescent="0.3"/>
    <row r="6" spans="2:8" x14ac:dyDescent="0.3">
      <c r="B6" s="216"/>
      <c r="C6" s="217" t="s">
        <v>21</v>
      </c>
      <c r="D6" s="218" t="s">
        <v>133</v>
      </c>
      <c r="E6" s="219" t="s">
        <v>13</v>
      </c>
      <c r="F6" s="220" t="s">
        <v>20</v>
      </c>
    </row>
    <row r="7" spans="2:8" x14ac:dyDescent="0.3">
      <c r="B7" s="221"/>
      <c r="C7" s="222"/>
      <c r="D7" s="223" t="s">
        <v>134</v>
      </c>
      <c r="E7" s="224" t="s">
        <v>55</v>
      </c>
      <c r="F7" s="225" t="s">
        <v>525</v>
      </c>
    </row>
    <row r="8" spans="2:8" x14ac:dyDescent="0.3">
      <c r="B8" s="221"/>
      <c r="C8" s="215" t="s">
        <v>24</v>
      </c>
      <c r="D8" s="223" t="s">
        <v>25</v>
      </c>
      <c r="E8" s="224" t="s">
        <v>26</v>
      </c>
      <c r="F8" s="225" t="s">
        <v>517</v>
      </c>
    </row>
    <row r="9" spans="2:8" ht="24" customHeight="1" x14ac:dyDescent="0.3">
      <c r="B9" s="35" t="str">
        <f>RIGHT(B2,LEN(B2)-3)&amp;" 전체"</f>
        <v>스포츠의류 전체</v>
      </c>
      <c r="C9" s="36"/>
      <c r="D9" s="37"/>
      <c r="E9" s="37"/>
      <c r="F9" s="190">
        <f>SUM(F10:F23)</f>
        <v>101856.74236335242</v>
      </c>
    </row>
    <row r="10" spans="2:8" x14ac:dyDescent="0.3">
      <c r="B10" s="34" t="s">
        <v>79</v>
      </c>
      <c r="C10" s="112">
        <v>7.1834187473922588</v>
      </c>
      <c r="D10" s="101">
        <v>1.1191549692969767</v>
      </c>
      <c r="E10" s="97">
        <v>171833.68539106843</v>
      </c>
      <c r="F10" s="191">
        <v>7319.6866179666358</v>
      </c>
      <c r="H10" s="79"/>
    </row>
    <row r="11" spans="2:8" x14ac:dyDescent="0.3">
      <c r="B11" s="34" t="s">
        <v>279</v>
      </c>
      <c r="C11" s="113">
        <v>20.869774715781858</v>
      </c>
      <c r="D11" s="102">
        <v>1.1149710001634214</v>
      </c>
      <c r="E11" s="98">
        <v>176083.91662153046</v>
      </c>
      <c r="F11" s="191">
        <v>21791.666804968416</v>
      </c>
      <c r="H11" s="79"/>
    </row>
    <row r="12" spans="2:8" x14ac:dyDescent="0.3">
      <c r="B12" s="34" t="s">
        <v>69</v>
      </c>
      <c r="C12" s="112">
        <v>23.861904626699111</v>
      </c>
      <c r="D12" s="101">
        <v>1.1122932851210685</v>
      </c>
      <c r="E12" s="97">
        <v>114189.43953463854</v>
      </c>
      <c r="F12" s="191">
        <v>16157.8676394176</v>
      </c>
      <c r="H12" s="122"/>
    </row>
    <row r="13" spans="2:8" x14ac:dyDescent="0.3">
      <c r="B13" s="34" t="s">
        <v>16</v>
      </c>
      <c r="C13" s="112">
        <v>15.769949134294514</v>
      </c>
      <c r="D13" s="101">
        <v>1.1571293715014688</v>
      </c>
      <c r="E13" s="97">
        <v>121636.49739508382</v>
      </c>
      <c r="F13" s="191">
        <v>11374.889793786806</v>
      </c>
      <c r="H13" s="122"/>
    </row>
    <row r="14" spans="2:8" x14ac:dyDescent="0.3">
      <c r="B14" s="10" t="s">
        <v>232</v>
      </c>
      <c r="C14" s="112">
        <v>21.267379973867389</v>
      </c>
      <c r="D14" s="101">
        <v>1.2329137625330728</v>
      </c>
      <c r="E14" s="97">
        <v>92603.941198111905</v>
      </c>
      <c r="F14" s="191">
        <v>11678.752647013876</v>
      </c>
      <c r="H14" s="79"/>
    </row>
    <row r="15" spans="2:8" x14ac:dyDescent="0.3">
      <c r="B15" s="10" t="s">
        <v>31</v>
      </c>
      <c r="C15" s="112">
        <v>34.064491495321377</v>
      </c>
      <c r="D15" s="101">
        <v>1.5211678685632473</v>
      </c>
      <c r="E15" s="97">
        <v>69970.408615199485</v>
      </c>
      <c r="F15" s="191">
        <v>14134.137754196216</v>
      </c>
      <c r="H15" s="122"/>
    </row>
    <row r="16" spans="2:8" x14ac:dyDescent="0.3">
      <c r="B16" s="10" t="s">
        <v>32</v>
      </c>
      <c r="C16" s="112">
        <v>11.74392551684226</v>
      </c>
      <c r="D16" s="101">
        <v>1.2781457572464245</v>
      </c>
      <c r="E16" s="97">
        <v>66230.751798560348</v>
      </c>
      <c r="F16" s="191">
        <v>4612.3894733784155</v>
      </c>
      <c r="H16" s="79"/>
    </row>
    <row r="17" spans="2:17" x14ac:dyDescent="0.3">
      <c r="B17" s="10" t="s">
        <v>33</v>
      </c>
      <c r="C17" s="112">
        <v>5.1058716999963183</v>
      </c>
      <c r="D17" s="101">
        <v>1.217827005337724</v>
      </c>
      <c r="E17" s="97">
        <v>79930.826904886693</v>
      </c>
      <c r="F17" s="191">
        <v>2420.1216837222364</v>
      </c>
      <c r="H17" s="79"/>
    </row>
    <row r="18" spans="2:17" x14ac:dyDescent="0.3">
      <c r="B18" s="10" t="s">
        <v>34</v>
      </c>
      <c r="C18" s="112">
        <v>3.6149023763244728</v>
      </c>
      <c r="D18" s="101">
        <v>1.1815593467695187</v>
      </c>
      <c r="E18" s="97">
        <v>77336.559451157227</v>
      </c>
      <c r="F18" s="191">
        <v>1657.8087206453176</v>
      </c>
      <c r="H18" s="79"/>
    </row>
    <row r="19" spans="2:17" x14ac:dyDescent="0.3">
      <c r="B19" s="10" t="s">
        <v>14</v>
      </c>
      <c r="C19" s="112">
        <v>21.061448401212274</v>
      </c>
      <c r="D19" s="101">
        <v>1.3410123444301201</v>
      </c>
      <c r="E19" s="97">
        <v>60916.301909589922</v>
      </c>
      <c r="F19" s="191">
        <v>7608.0746311085222</v>
      </c>
      <c r="H19" s="122"/>
    </row>
    <row r="20" spans="2:17" x14ac:dyDescent="0.3">
      <c r="B20" s="10" t="s">
        <v>18</v>
      </c>
      <c r="C20" s="114">
        <v>1.8457922389749117</v>
      </c>
      <c r="D20" s="101">
        <v>1.1337975377807938</v>
      </c>
      <c r="E20" s="97">
        <v>59233.044731701251</v>
      </c>
      <c r="F20" s="191">
        <v>648.33560394660833</v>
      </c>
      <c r="H20" s="79"/>
    </row>
    <row r="21" spans="2:17" x14ac:dyDescent="0.3">
      <c r="B21" s="9" t="s">
        <v>19</v>
      </c>
      <c r="C21" s="115">
        <v>1.2306170947283124</v>
      </c>
      <c r="D21" s="103">
        <v>1.2093057624689882</v>
      </c>
      <c r="E21" s="99">
        <v>72640.635602332026</v>
      </c>
      <c r="F21" s="192">
        <v>530.09728333181772</v>
      </c>
      <c r="H21" s="79"/>
    </row>
    <row r="22" spans="2:17" x14ac:dyDescent="0.3">
      <c r="B22" s="10" t="s">
        <v>67</v>
      </c>
      <c r="C22" s="113">
        <v>3.0033990721084969</v>
      </c>
      <c r="D22" s="101">
        <v>1.2980723265870509</v>
      </c>
      <c r="E22" s="97">
        <v>75527.884263775661</v>
      </c>
      <c r="F22" s="191">
        <v>1345.1581915447218</v>
      </c>
      <c r="H22" s="79"/>
    </row>
    <row r="23" spans="2:17" x14ac:dyDescent="0.3">
      <c r="B23" s="111" t="s">
        <v>12</v>
      </c>
      <c r="C23" s="116">
        <v>0.94328159741101059</v>
      </c>
      <c r="D23" s="104">
        <v>1.6116629575772627</v>
      </c>
      <c r="E23" s="100">
        <v>104932.05094502357</v>
      </c>
      <c r="F23" s="193">
        <v>577.75551832525298</v>
      </c>
      <c r="H23" s="79"/>
    </row>
    <row r="24" spans="2:17" x14ac:dyDescent="0.3">
      <c r="B24" s="9"/>
      <c r="C24" s="9"/>
      <c r="D24" s="9"/>
      <c r="E24" s="9"/>
      <c r="F24" s="9"/>
      <c r="G24" s="9"/>
      <c r="H24" s="9"/>
    </row>
    <row r="25" spans="2:17" x14ac:dyDescent="0.3">
      <c r="B25" s="9"/>
      <c r="C25" s="9"/>
      <c r="D25" s="9"/>
      <c r="E25" s="9"/>
      <c r="F25" s="9"/>
      <c r="G25" s="9"/>
      <c r="H25" s="9"/>
    </row>
    <row r="26" spans="2:17" ht="18.75" customHeight="1" x14ac:dyDescent="0.3">
      <c r="B26" s="1" t="s">
        <v>132</v>
      </c>
    </row>
    <row r="27" spans="2:17" ht="13.5" customHeight="1" x14ac:dyDescent="0.3">
      <c r="N27" s="30"/>
      <c r="O27" s="30"/>
      <c r="Q27" s="30" t="s">
        <v>157</v>
      </c>
    </row>
    <row r="28" spans="2:17" ht="28.5" customHeight="1" x14ac:dyDescent="0.3">
      <c r="B28" s="305"/>
      <c r="C28" s="306"/>
      <c r="D28" s="226" t="s">
        <v>35</v>
      </c>
      <c r="E28" s="226" t="s">
        <v>280</v>
      </c>
      <c r="F28" s="226" t="s">
        <v>70</v>
      </c>
      <c r="G28" s="226" t="s">
        <v>16</v>
      </c>
      <c r="H28" s="226" t="s">
        <v>232</v>
      </c>
      <c r="I28" s="226" t="s">
        <v>287</v>
      </c>
      <c r="J28" s="226" t="s">
        <v>32</v>
      </c>
      <c r="K28" s="226" t="s">
        <v>284</v>
      </c>
      <c r="L28" s="226" t="s">
        <v>285</v>
      </c>
      <c r="M28" s="226" t="s">
        <v>288</v>
      </c>
      <c r="N28" s="227" t="s">
        <v>37</v>
      </c>
      <c r="O28" s="227" t="s">
        <v>19</v>
      </c>
      <c r="P28" s="227" t="s">
        <v>289</v>
      </c>
      <c r="Q28" s="227" t="s">
        <v>12</v>
      </c>
    </row>
    <row r="29" spans="2:17" x14ac:dyDescent="0.3">
      <c r="B29" s="292" t="s">
        <v>20</v>
      </c>
      <c r="C29" s="292"/>
      <c r="D29" s="79">
        <v>7.1834187473922588</v>
      </c>
      <c r="E29" s="79">
        <v>20.869774715781858</v>
      </c>
      <c r="F29" s="122">
        <v>23.861904626699111</v>
      </c>
      <c r="G29" s="122">
        <v>15.769949134294514</v>
      </c>
      <c r="H29" s="79">
        <v>21.267379973867389</v>
      </c>
      <c r="I29" s="122">
        <v>34.064491495321377</v>
      </c>
      <c r="J29" s="79">
        <v>11.74392551684226</v>
      </c>
      <c r="K29" s="79">
        <v>5.1058716999963183</v>
      </c>
      <c r="L29" s="79">
        <v>3.6149023763244728</v>
      </c>
      <c r="M29" s="122">
        <v>21.061448401212274</v>
      </c>
      <c r="N29" s="79">
        <v>1.8457922389749117</v>
      </c>
      <c r="O29" s="79">
        <v>1.2306170947283124</v>
      </c>
      <c r="P29" s="79">
        <v>3.0033990721084969</v>
      </c>
      <c r="Q29" s="79">
        <v>0.94328159741101059</v>
      </c>
    </row>
    <row r="30" spans="2:17" x14ac:dyDescent="0.3">
      <c r="B30" s="296" t="s">
        <v>5</v>
      </c>
      <c r="C30" s="13" t="s">
        <v>0</v>
      </c>
      <c r="D30" s="80">
        <v>7.280573606257736</v>
      </c>
      <c r="E30" s="80">
        <v>20.705498766563053</v>
      </c>
      <c r="F30" s="123">
        <v>23.827497338329813</v>
      </c>
      <c r="G30" s="123">
        <v>17.169485496978389</v>
      </c>
      <c r="H30" s="80">
        <v>20.648805345144474</v>
      </c>
      <c r="I30" s="123">
        <v>34.20076621970145</v>
      </c>
      <c r="J30" s="80">
        <v>13.231135609725145</v>
      </c>
      <c r="K30" s="80">
        <v>4.7659558428613025</v>
      </c>
      <c r="L30" s="80">
        <v>3.3207359504827059</v>
      </c>
      <c r="M30" s="123">
        <v>18.148122590233278</v>
      </c>
      <c r="N30" s="80">
        <v>1.0701590899593021</v>
      </c>
      <c r="O30" s="80">
        <v>0.63788570421320945</v>
      </c>
      <c r="P30" s="80">
        <v>2.1517381585382505</v>
      </c>
      <c r="Q30" s="80">
        <v>0.83668913917721488</v>
      </c>
    </row>
    <row r="31" spans="2:17" x14ac:dyDescent="0.3">
      <c r="B31" s="295"/>
      <c r="C31" s="12" t="s">
        <v>1</v>
      </c>
      <c r="D31" s="81">
        <v>7.0461984564279057</v>
      </c>
      <c r="E31" s="81">
        <v>21.101795983822392</v>
      </c>
      <c r="F31" s="81">
        <v>23.910501044587779</v>
      </c>
      <c r="G31" s="81">
        <v>13.793261718499366</v>
      </c>
      <c r="H31" s="81">
        <v>22.141046937390982</v>
      </c>
      <c r="I31" s="81">
        <v>33.87201880225318</v>
      </c>
      <c r="J31" s="81">
        <v>9.6434088360125791</v>
      </c>
      <c r="K31" s="81">
        <v>5.5859645472729369</v>
      </c>
      <c r="L31" s="81">
        <v>4.0303793068386815</v>
      </c>
      <c r="M31" s="81">
        <v>25.176192842457219</v>
      </c>
      <c r="N31" s="81">
        <v>2.9412866654238528</v>
      </c>
      <c r="O31" s="81">
        <v>2.0677833962391801</v>
      </c>
      <c r="P31" s="81">
        <v>4.2062741493595475</v>
      </c>
      <c r="Q31" s="81">
        <v>1.0938314340764732</v>
      </c>
    </row>
    <row r="32" spans="2:17" x14ac:dyDescent="0.3">
      <c r="B32" s="296" t="s">
        <v>4</v>
      </c>
      <c r="C32" s="9" t="s">
        <v>175</v>
      </c>
      <c r="D32" s="79">
        <v>9.4596407709787282</v>
      </c>
      <c r="E32" s="79">
        <v>12.910195941629174</v>
      </c>
      <c r="F32" s="122">
        <v>16.833994129729188</v>
      </c>
      <c r="G32" s="122">
        <v>17.172290617120375</v>
      </c>
      <c r="H32" s="79">
        <v>30.510879004794361</v>
      </c>
      <c r="I32" s="122">
        <v>40.511464567659502</v>
      </c>
      <c r="J32" s="79">
        <v>8.9339352082929864</v>
      </c>
      <c r="K32" s="79">
        <v>5.5795391431556496</v>
      </c>
      <c r="L32" s="79">
        <v>2.872212836404155</v>
      </c>
      <c r="M32" s="122">
        <v>20.481375668330095</v>
      </c>
      <c r="N32" s="79">
        <v>0.5192099555957681</v>
      </c>
      <c r="O32" s="79">
        <v>0</v>
      </c>
      <c r="P32" s="79">
        <v>2.6239827009929839</v>
      </c>
      <c r="Q32" s="79">
        <v>4.277166557812599</v>
      </c>
    </row>
    <row r="33" spans="2:17" x14ac:dyDescent="0.3">
      <c r="B33" s="292"/>
      <c r="C33" s="9" t="s">
        <v>176</v>
      </c>
      <c r="D33" s="79">
        <v>9.3930450815948952</v>
      </c>
      <c r="E33" s="79">
        <v>22.277072013050443</v>
      </c>
      <c r="F33" s="122">
        <v>32.894485292823674</v>
      </c>
      <c r="G33" s="122">
        <v>26.232952384727319</v>
      </c>
      <c r="H33" s="79">
        <v>23.825055490444548</v>
      </c>
      <c r="I33" s="122">
        <v>30.50019962886476</v>
      </c>
      <c r="J33" s="79">
        <v>11.160307644158378</v>
      </c>
      <c r="K33" s="79">
        <v>7.3994853775748073</v>
      </c>
      <c r="L33" s="79">
        <v>4.8854644581636251</v>
      </c>
      <c r="M33" s="122">
        <v>19.373223906636941</v>
      </c>
      <c r="N33" s="79">
        <v>2.632854936180149</v>
      </c>
      <c r="O33" s="79">
        <v>1.5159086378471589</v>
      </c>
      <c r="P33" s="79">
        <v>2.9253086879173553</v>
      </c>
      <c r="Q33" s="79">
        <v>0.40619554120944629</v>
      </c>
    </row>
    <row r="34" spans="2:17" x14ac:dyDescent="0.3">
      <c r="B34" s="292"/>
      <c r="C34" s="9" t="s">
        <v>177</v>
      </c>
      <c r="D34" s="79">
        <v>8.4675342747662903</v>
      </c>
      <c r="E34" s="79">
        <v>17.959548406326984</v>
      </c>
      <c r="F34" s="122">
        <v>28.063363272893138</v>
      </c>
      <c r="G34" s="122">
        <v>17.092423595759325</v>
      </c>
      <c r="H34" s="79">
        <v>21.845114720228253</v>
      </c>
      <c r="I34" s="122">
        <v>34.354849261388196</v>
      </c>
      <c r="J34" s="79">
        <v>11.166444099920584</v>
      </c>
      <c r="K34" s="79">
        <v>5.3091496017500788</v>
      </c>
      <c r="L34" s="79">
        <v>2.9627752173367043</v>
      </c>
      <c r="M34" s="122">
        <v>20.383098960753124</v>
      </c>
      <c r="N34" s="79">
        <v>1.5206063781717916</v>
      </c>
      <c r="O34" s="79">
        <v>1.5497617119525036</v>
      </c>
      <c r="P34" s="79">
        <v>3.4713536504918365</v>
      </c>
      <c r="Q34" s="79">
        <v>1.0602818998713803</v>
      </c>
    </row>
    <row r="35" spans="2:17" x14ac:dyDescent="0.3">
      <c r="B35" s="292"/>
      <c r="C35" s="9" t="s">
        <v>178</v>
      </c>
      <c r="D35" s="79">
        <v>5.4247695361534083</v>
      </c>
      <c r="E35" s="79">
        <v>21.127253465537748</v>
      </c>
      <c r="F35" s="122">
        <v>22.799300607365794</v>
      </c>
      <c r="G35" s="122">
        <v>13.832405713282631</v>
      </c>
      <c r="H35" s="79">
        <v>23.242702990318008</v>
      </c>
      <c r="I35" s="122">
        <v>35.892522202974085</v>
      </c>
      <c r="J35" s="79">
        <v>9.0480368010946091</v>
      </c>
      <c r="K35" s="79">
        <v>3.7781434648413819</v>
      </c>
      <c r="L35" s="79">
        <v>3.4266649724932727</v>
      </c>
      <c r="M35" s="122">
        <v>22.425403090985881</v>
      </c>
      <c r="N35" s="79">
        <v>1.5308320942805065</v>
      </c>
      <c r="O35" s="79">
        <v>1.868020777803522</v>
      </c>
      <c r="P35" s="79">
        <v>4.0260177674628892</v>
      </c>
      <c r="Q35" s="79">
        <v>0.57928910613034945</v>
      </c>
    </row>
    <row r="36" spans="2:17" x14ac:dyDescent="0.3">
      <c r="B36" s="292"/>
      <c r="C36" s="9" t="s">
        <v>179</v>
      </c>
      <c r="D36" s="79">
        <v>5.2405633793339481</v>
      </c>
      <c r="E36" s="79">
        <v>20.672253690729328</v>
      </c>
      <c r="F36" s="122">
        <v>19.501481593341396</v>
      </c>
      <c r="G36" s="122">
        <v>12.494519112667641</v>
      </c>
      <c r="H36" s="79">
        <v>19.666289173076954</v>
      </c>
      <c r="I36" s="122">
        <v>34.266978809663918</v>
      </c>
      <c r="J36" s="79">
        <v>12.736691307241118</v>
      </c>
      <c r="K36" s="79">
        <v>4.4784552277629661</v>
      </c>
      <c r="L36" s="79">
        <v>3.7596615846741046</v>
      </c>
      <c r="M36" s="122">
        <v>20.570105669609831</v>
      </c>
      <c r="N36" s="79">
        <v>1.3062234697569337</v>
      </c>
      <c r="O36" s="79">
        <v>0.59939034789811907</v>
      </c>
      <c r="P36" s="79">
        <v>2.4554463792218257</v>
      </c>
      <c r="Q36" s="79">
        <v>1.3431225530187947</v>
      </c>
    </row>
    <row r="37" spans="2:17" x14ac:dyDescent="0.3">
      <c r="B37" s="298"/>
      <c r="C37" s="12" t="s">
        <v>180</v>
      </c>
      <c r="D37" s="81">
        <v>8.756539280012781</v>
      </c>
      <c r="E37" s="81">
        <v>24.265905976734999</v>
      </c>
      <c r="F37" s="124">
        <v>20.475216754130958</v>
      </c>
      <c r="G37" s="124">
        <v>12.15300586813766</v>
      </c>
      <c r="H37" s="81">
        <v>15.755643868621739</v>
      </c>
      <c r="I37" s="124">
        <v>32.636325837393784</v>
      </c>
      <c r="J37" s="81">
        <v>16.07419338984614</v>
      </c>
      <c r="K37" s="81">
        <v>5.590165031626074</v>
      </c>
      <c r="L37" s="81">
        <v>3.3826009924502936</v>
      </c>
      <c r="M37" s="124">
        <v>22.121212188672711</v>
      </c>
      <c r="N37" s="81">
        <v>3.0043371031681132</v>
      </c>
      <c r="O37" s="81">
        <v>0.84427339484856012</v>
      </c>
      <c r="P37" s="81">
        <v>1.9153535043451413</v>
      </c>
      <c r="Q37" s="81">
        <v>0.5796957580704909</v>
      </c>
    </row>
    <row r="38" spans="2:17" x14ac:dyDescent="0.3">
      <c r="B38" s="292" t="s">
        <v>223</v>
      </c>
      <c r="C38" s="9" t="s">
        <v>210</v>
      </c>
      <c r="D38" s="79">
        <v>11.099600025919116</v>
      </c>
      <c r="E38" s="79">
        <v>10.841037439802266</v>
      </c>
      <c r="F38" s="122">
        <v>20.543302285395455</v>
      </c>
      <c r="G38" s="122">
        <v>19.275648951947183</v>
      </c>
      <c r="H38" s="79">
        <v>27.687146615583945</v>
      </c>
      <c r="I38" s="122">
        <v>37.788646646968616</v>
      </c>
      <c r="J38" s="79">
        <v>11.317345799755866</v>
      </c>
      <c r="K38" s="79">
        <v>7.3291145357693557</v>
      </c>
      <c r="L38" s="79">
        <v>0.90387272924182149</v>
      </c>
      <c r="M38" s="122">
        <v>16.839622197708572</v>
      </c>
      <c r="N38" s="79">
        <v>0</v>
      </c>
      <c r="O38" s="79">
        <v>0</v>
      </c>
      <c r="P38" s="79">
        <v>2.3396493537611427</v>
      </c>
      <c r="Q38" s="79">
        <v>6.2793850846585233</v>
      </c>
    </row>
    <row r="39" spans="2:17" x14ac:dyDescent="0.3">
      <c r="B39" s="292"/>
      <c r="C39" s="9" t="s">
        <v>211</v>
      </c>
      <c r="D39" s="79">
        <v>8.725696632651065</v>
      </c>
      <c r="E39" s="79">
        <v>22.250865771658059</v>
      </c>
      <c r="F39" s="122">
        <v>32.726264399460668</v>
      </c>
      <c r="G39" s="122">
        <v>30.868190275233193</v>
      </c>
      <c r="H39" s="79">
        <v>24.737034724082402</v>
      </c>
      <c r="I39" s="122">
        <v>32.129075892385451</v>
      </c>
      <c r="J39" s="79">
        <v>12.040993740906341</v>
      </c>
      <c r="K39" s="79">
        <v>7.6756570304275362</v>
      </c>
      <c r="L39" s="79">
        <v>4.5130779758730917</v>
      </c>
      <c r="M39" s="122">
        <v>16.390883617296392</v>
      </c>
      <c r="N39" s="79">
        <v>1.4915067263376733</v>
      </c>
      <c r="O39" s="79">
        <v>0.87373310557102823</v>
      </c>
      <c r="P39" s="79">
        <v>1.5999697109440074</v>
      </c>
      <c r="Q39" s="79">
        <v>0.35994579289456241</v>
      </c>
    </row>
    <row r="40" spans="2:17" x14ac:dyDescent="0.3">
      <c r="B40" s="292"/>
      <c r="C40" s="9" t="s">
        <v>212</v>
      </c>
      <c r="D40" s="79">
        <v>10.636001512608278</v>
      </c>
      <c r="E40" s="79">
        <v>20.582546825224558</v>
      </c>
      <c r="F40" s="122">
        <v>30.658707443071126</v>
      </c>
      <c r="G40" s="122">
        <v>18.308364521441721</v>
      </c>
      <c r="H40" s="79">
        <v>22.885089078724583</v>
      </c>
      <c r="I40" s="122">
        <v>32.954580682492583</v>
      </c>
      <c r="J40" s="79">
        <v>13.331187611186307</v>
      </c>
      <c r="K40" s="79">
        <v>5.9957722712734389</v>
      </c>
      <c r="L40" s="79">
        <v>3.1402908336309885</v>
      </c>
      <c r="M40" s="122">
        <v>15.552784414233866</v>
      </c>
      <c r="N40" s="79">
        <v>1.1452234789307842</v>
      </c>
      <c r="O40" s="79">
        <v>0.9149134679607821</v>
      </c>
      <c r="P40" s="79">
        <v>1.6820130729766236</v>
      </c>
      <c r="Q40" s="79">
        <v>0.90646591271046906</v>
      </c>
    </row>
    <row r="41" spans="2:17" x14ac:dyDescent="0.3">
      <c r="B41" s="292"/>
      <c r="C41" s="9" t="s">
        <v>213</v>
      </c>
      <c r="D41" s="79">
        <v>6.0130369319877435</v>
      </c>
      <c r="E41" s="79">
        <v>22.360936634287292</v>
      </c>
      <c r="F41" s="122">
        <v>20.867199651076803</v>
      </c>
      <c r="G41" s="122">
        <v>13.427380627495729</v>
      </c>
      <c r="H41" s="79">
        <v>22.549183005432994</v>
      </c>
      <c r="I41" s="122">
        <v>37.537228280544987</v>
      </c>
      <c r="J41" s="79">
        <v>10.037216168621466</v>
      </c>
      <c r="K41" s="79">
        <v>4.2045504787306349</v>
      </c>
      <c r="L41" s="79">
        <v>3.1270388283981876</v>
      </c>
      <c r="M41" s="122">
        <v>19.077607247738388</v>
      </c>
      <c r="N41" s="79">
        <v>0.91737350406308482</v>
      </c>
      <c r="O41" s="79">
        <v>0.98667183708294282</v>
      </c>
      <c r="P41" s="79">
        <v>3.52418022096965</v>
      </c>
      <c r="Q41" s="79">
        <v>0.65986494234499904</v>
      </c>
    </row>
    <row r="42" spans="2:17" x14ac:dyDescent="0.3">
      <c r="B42" s="292"/>
      <c r="C42" s="9" t="s">
        <v>214</v>
      </c>
      <c r="D42" s="79">
        <v>5.4630451617913849</v>
      </c>
      <c r="E42" s="79">
        <v>19.3402066580562</v>
      </c>
      <c r="F42" s="122">
        <v>18.384057381938739</v>
      </c>
      <c r="G42" s="122">
        <v>13.728182689805937</v>
      </c>
      <c r="H42" s="79">
        <v>17.311165743649269</v>
      </c>
      <c r="I42" s="122">
        <v>33.792250317721361</v>
      </c>
      <c r="J42" s="79">
        <v>14.978291272135769</v>
      </c>
      <c r="K42" s="79">
        <v>2.1338725726175936</v>
      </c>
      <c r="L42" s="79">
        <v>3.1069871361104964</v>
      </c>
      <c r="M42" s="122">
        <v>18.470160947889504</v>
      </c>
      <c r="N42" s="79">
        <v>0.75166116139455863</v>
      </c>
      <c r="O42" s="79">
        <v>0.15409116866220079</v>
      </c>
      <c r="P42" s="79">
        <v>2.140964100937786</v>
      </c>
      <c r="Q42" s="79">
        <v>0.76443736198957701</v>
      </c>
    </row>
    <row r="43" spans="2:17" x14ac:dyDescent="0.3">
      <c r="B43" s="292"/>
      <c r="C43" s="12" t="s">
        <v>215</v>
      </c>
      <c r="D43" s="81">
        <v>5.8933318120282383</v>
      </c>
      <c r="E43" s="81">
        <v>21.057261767957851</v>
      </c>
      <c r="F43" s="124">
        <v>20.649834792495991</v>
      </c>
      <c r="G43" s="124">
        <v>12.438519034372904</v>
      </c>
      <c r="H43" s="81">
        <v>14.73209011026278</v>
      </c>
      <c r="I43" s="124">
        <v>32.528117127981993</v>
      </c>
      <c r="J43" s="81">
        <v>16.843111381219124</v>
      </c>
      <c r="K43" s="81">
        <v>4.6942115650186276</v>
      </c>
      <c r="L43" s="81">
        <v>3.4651274271565309</v>
      </c>
      <c r="M43" s="124">
        <v>21.182582711201963</v>
      </c>
      <c r="N43" s="81">
        <v>1.502084330167673</v>
      </c>
      <c r="O43" s="81">
        <v>0.44407483514110241</v>
      </c>
      <c r="P43" s="81">
        <v>1.1668042003774648</v>
      </c>
      <c r="Q43" s="81">
        <v>0.40637554545432913</v>
      </c>
    </row>
    <row r="44" spans="2:17" x14ac:dyDescent="0.3">
      <c r="B44" s="292"/>
      <c r="C44" s="9" t="s">
        <v>216</v>
      </c>
      <c r="D44" s="79">
        <v>6.9446059743422026</v>
      </c>
      <c r="E44" s="79">
        <v>16.083448945430291</v>
      </c>
      <c r="F44" s="122">
        <v>11.145414334319911</v>
      </c>
      <c r="G44" s="122">
        <v>13.946588889502056</v>
      </c>
      <c r="H44" s="79">
        <v>34.841343431797455</v>
      </c>
      <c r="I44" s="122">
        <v>44.687166979053949</v>
      </c>
      <c r="J44" s="79">
        <v>5.2787464869005802</v>
      </c>
      <c r="K44" s="79">
        <v>2.8963974867353866</v>
      </c>
      <c r="L44" s="79">
        <v>5.8908511630670404</v>
      </c>
      <c r="M44" s="122">
        <v>26.066353875436821</v>
      </c>
      <c r="N44" s="79">
        <v>1.3154682169822292</v>
      </c>
      <c r="O44" s="79">
        <v>0</v>
      </c>
      <c r="P44" s="79">
        <v>3.0600351577707703</v>
      </c>
      <c r="Q44" s="79">
        <v>1.2065724254779631</v>
      </c>
    </row>
    <row r="45" spans="2:17" x14ac:dyDescent="0.3">
      <c r="B45" s="292"/>
      <c r="C45" s="9" t="s">
        <v>217</v>
      </c>
      <c r="D45" s="79">
        <v>10.508701123135344</v>
      </c>
      <c r="E45" s="79">
        <v>22.320882936087205</v>
      </c>
      <c r="F45" s="122">
        <v>33.175712673048743</v>
      </c>
      <c r="G45" s="122">
        <v>18.483880419841928</v>
      </c>
      <c r="H45" s="79">
        <v>22.300431969736746</v>
      </c>
      <c r="I45" s="122">
        <v>27.777086018284098</v>
      </c>
      <c r="J45" s="79">
        <v>9.6879991880697833</v>
      </c>
      <c r="K45" s="79">
        <v>6.9377886829994004</v>
      </c>
      <c r="L45" s="79">
        <v>5.5080106398666704</v>
      </c>
      <c r="M45" s="122">
        <v>24.359024004019638</v>
      </c>
      <c r="N45" s="79">
        <v>4.5409316355827318</v>
      </c>
      <c r="O45" s="79">
        <v>2.5894812421548759</v>
      </c>
      <c r="P45" s="79">
        <v>5.140976438534782</v>
      </c>
      <c r="Q45" s="79">
        <v>0.48351468566672079</v>
      </c>
    </row>
    <row r="46" spans="2:17" x14ac:dyDescent="0.3">
      <c r="B46" s="292"/>
      <c r="C46" s="9" t="s">
        <v>218</v>
      </c>
      <c r="D46" s="79">
        <v>5.4142887795329093</v>
      </c>
      <c r="E46" s="79">
        <v>14.266313864091915</v>
      </c>
      <c r="F46" s="122">
        <v>24.409066469192389</v>
      </c>
      <c r="G46" s="122">
        <v>15.380354310588112</v>
      </c>
      <c r="H46" s="79">
        <v>20.380809901679697</v>
      </c>
      <c r="I46" s="122">
        <v>36.326455590513845</v>
      </c>
      <c r="J46" s="79">
        <v>8.118441686619045</v>
      </c>
      <c r="K46" s="79">
        <v>4.3423710698624687</v>
      </c>
      <c r="L46" s="79">
        <v>2.7128296584065952</v>
      </c>
      <c r="M46" s="122">
        <v>27.184279016578252</v>
      </c>
      <c r="N46" s="79">
        <v>2.0491530521053747</v>
      </c>
      <c r="O46" s="79">
        <v>2.4436408111145678</v>
      </c>
      <c r="P46" s="79">
        <v>5.9907811808675504</v>
      </c>
      <c r="Q46" s="79">
        <v>1.276857904202136</v>
      </c>
    </row>
    <row r="47" spans="2:17" x14ac:dyDescent="0.3">
      <c r="B47" s="292"/>
      <c r="C47" s="9" t="s">
        <v>219</v>
      </c>
      <c r="D47" s="79">
        <v>4.6612155049545922</v>
      </c>
      <c r="E47" s="79">
        <v>19.525968465908001</v>
      </c>
      <c r="F47" s="122">
        <v>25.307111654356618</v>
      </c>
      <c r="G47" s="122">
        <v>14.358116536590762</v>
      </c>
      <c r="H47" s="79">
        <v>24.142871831776691</v>
      </c>
      <c r="I47" s="122">
        <v>33.757741379561217</v>
      </c>
      <c r="J47" s="79">
        <v>7.7641106494801644</v>
      </c>
      <c r="K47" s="79">
        <v>3.2246795185269432</v>
      </c>
      <c r="L47" s="79">
        <v>3.8155710240549721</v>
      </c>
      <c r="M47" s="122">
        <v>26.770745072955165</v>
      </c>
      <c r="N47" s="79">
        <v>2.3270835657219537</v>
      </c>
      <c r="O47" s="79">
        <v>3.0119861604602329</v>
      </c>
      <c r="P47" s="79">
        <v>4.6773883590430216</v>
      </c>
      <c r="Q47" s="79">
        <v>0.47470400589433626</v>
      </c>
    </row>
    <row r="48" spans="2:17" x14ac:dyDescent="0.3">
      <c r="B48" s="292"/>
      <c r="C48" s="9" t="s">
        <v>220</v>
      </c>
      <c r="D48" s="79">
        <v>4.9228139829576119</v>
      </c>
      <c r="E48" s="79">
        <v>22.574688739125971</v>
      </c>
      <c r="F48" s="122">
        <v>21.097391446038802</v>
      </c>
      <c r="G48" s="122">
        <v>10.732595719941472</v>
      </c>
      <c r="H48" s="79">
        <v>23.029886137406379</v>
      </c>
      <c r="I48" s="122">
        <v>34.9449879935677</v>
      </c>
      <c r="J48" s="79">
        <v>9.5352290216772708</v>
      </c>
      <c r="K48" s="79">
        <v>7.826997814926977</v>
      </c>
      <c r="L48" s="79">
        <v>4.6918139153981953</v>
      </c>
      <c r="M48" s="122">
        <v>23.569255354496875</v>
      </c>
      <c r="N48" s="79">
        <v>2.0982516384854351</v>
      </c>
      <c r="O48" s="79">
        <v>1.2353684664039042</v>
      </c>
      <c r="P48" s="79">
        <v>2.9045912619716239</v>
      </c>
      <c r="Q48" s="79">
        <v>2.1696031219464578</v>
      </c>
    </row>
    <row r="49" spans="2:17" x14ac:dyDescent="0.3">
      <c r="B49" s="295"/>
      <c r="C49" s="9" t="s">
        <v>221</v>
      </c>
      <c r="D49" s="81">
        <v>12.58941367600622</v>
      </c>
      <c r="E49" s="81">
        <v>28.561204299050342</v>
      </c>
      <c r="F49" s="124">
        <v>20.241461772764239</v>
      </c>
      <c r="G49" s="124">
        <v>11.770799508026316</v>
      </c>
      <c r="H49" s="81">
        <v>17.125839021157656</v>
      </c>
      <c r="I49" s="124">
        <v>32.781181002926132</v>
      </c>
      <c r="J49" s="81">
        <v>15.04487011701095</v>
      </c>
      <c r="K49" s="81">
        <v>6.7895461943814874</v>
      </c>
      <c r="L49" s="81">
        <v>3.2721257781617608</v>
      </c>
      <c r="M49" s="124">
        <v>23.377722215190257</v>
      </c>
      <c r="N49" s="81">
        <v>5.0153496666400201</v>
      </c>
      <c r="O49" s="81">
        <v>1.3800050279795337</v>
      </c>
      <c r="P49" s="81">
        <v>2.9174099369989763</v>
      </c>
      <c r="Q49" s="81">
        <v>0.81171338608829091</v>
      </c>
    </row>
    <row r="50" spans="2:17" ht="16.5" customHeight="1" x14ac:dyDescent="0.3">
      <c r="B50" s="291" t="s">
        <v>222</v>
      </c>
      <c r="C50" s="13" t="s">
        <v>226</v>
      </c>
      <c r="D50" s="80">
        <v>7.8738513566289896</v>
      </c>
      <c r="E50" s="80">
        <v>22.795342508926986</v>
      </c>
      <c r="F50" s="80">
        <v>23.576944459743558</v>
      </c>
      <c r="G50" s="80">
        <v>18.819651149434673</v>
      </c>
      <c r="H50" s="80">
        <v>23.336724713485914</v>
      </c>
      <c r="I50" s="80">
        <v>31.73200574023015</v>
      </c>
      <c r="J50" s="80">
        <v>11.480629034964924</v>
      </c>
      <c r="K50" s="80">
        <v>5.430880404989586</v>
      </c>
      <c r="L50" s="80">
        <v>3.001086228597079</v>
      </c>
      <c r="M50" s="80">
        <v>17.783745532959948</v>
      </c>
      <c r="N50" s="80">
        <v>1.8710530163013228</v>
      </c>
      <c r="O50" s="80">
        <v>1.3227349374112667</v>
      </c>
      <c r="P50" s="80">
        <v>2.5796502163237158</v>
      </c>
      <c r="Q50" s="80">
        <v>1.468826959189151</v>
      </c>
    </row>
    <row r="51" spans="2:17" x14ac:dyDescent="0.3">
      <c r="B51" s="294"/>
      <c r="C51" s="9" t="s">
        <v>227</v>
      </c>
      <c r="D51" s="79">
        <v>6.2345447793464874</v>
      </c>
      <c r="E51" s="79">
        <v>19.61987142547277</v>
      </c>
      <c r="F51" s="79">
        <v>23.782047084120144</v>
      </c>
      <c r="G51" s="79">
        <v>16.474571860850784</v>
      </c>
      <c r="H51" s="79">
        <v>19.298577104235545</v>
      </c>
      <c r="I51" s="79">
        <v>34.523682877727211</v>
      </c>
      <c r="J51" s="79">
        <v>10.297870419589096</v>
      </c>
      <c r="K51" s="79">
        <v>4.5107817618288051</v>
      </c>
      <c r="L51" s="79">
        <v>3.2629522207863948</v>
      </c>
      <c r="M51" s="79">
        <v>20.705109644430657</v>
      </c>
      <c r="N51" s="79">
        <v>1.183351867060338</v>
      </c>
      <c r="O51" s="79">
        <v>1.7102450664838664</v>
      </c>
      <c r="P51" s="79">
        <v>3.1067001385023043</v>
      </c>
      <c r="Q51" s="79">
        <v>0.61320300516290982</v>
      </c>
    </row>
    <row r="52" spans="2:17" x14ac:dyDescent="0.3">
      <c r="B52" s="292"/>
      <c r="C52" s="9" t="s">
        <v>228</v>
      </c>
      <c r="D52" s="79">
        <v>6.1900535813364836</v>
      </c>
      <c r="E52" s="79">
        <v>18.728819612400166</v>
      </c>
      <c r="F52" s="79">
        <v>23.995630704224315</v>
      </c>
      <c r="G52" s="79">
        <v>16.2489239315987</v>
      </c>
      <c r="H52" s="79">
        <v>21.046504183049372</v>
      </c>
      <c r="I52" s="79">
        <v>33.438267223579288</v>
      </c>
      <c r="J52" s="79">
        <v>12.803591901021779</v>
      </c>
      <c r="K52" s="79">
        <v>5.5058950071738284</v>
      </c>
      <c r="L52" s="79">
        <v>4.0648628022932396</v>
      </c>
      <c r="M52" s="79">
        <v>20.709381004322687</v>
      </c>
      <c r="N52" s="79">
        <v>1.3660975765624419</v>
      </c>
      <c r="O52" s="79">
        <v>1.0672320056803051</v>
      </c>
      <c r="P52" s="79">
        <v>2.9776404544194142</v>
      </c>
      <c r="Q52" s="79">
        <v>0.86935070546776105</v>
      </c>
    </row>
    <row r="53" spans="2:17" x14ac:dyDescent="0.3">
      <c r="B53" s="295"/>
      <c r="C53" s="12" t="s">
        <v>229</v>
      </c>
      <c r="D53" s="81">
        <v>8.4655400558831673</v>
      </c>
      <c r="E53" s="81">
        <v>22.489353873772348</v>
      </c>
      <c r="F53" s="81">
        <v>24.044268394687737</v>
      </c>
      <c r="G53" s="81">
        <v>12.443789161401748</v>
      </c>
      <c r="H53" s="81">
        <v>21.991779152664293</v>
      </c>
      <c r="I53" s="81">
        <v>35.778962501487399</v>
      </c>
      <c r="J53" s="81">
        <v>12.589088485858765</v>
      </c>
      <c r="K53" s="81">
        <v>5.1685525524777454</v>
      </c>
      <c r="L53" s="81">
        <v>4.0650664317049969</v>
      </c>
      <c r="M53" s="81">
        <v>24.089041030032174</v>
      </c>
      <c r="N53" s="81">
        <v>2.9005424697465818</v>
      </c>
      <c r="O53" s="81">
        <v>0.79612599504136228</v>
      </c>
      <c r="P53" s="81">
        <v>3.2236897337210997</v>
      </c>
      <c r="Q53" s="81">
        <v>0.96487358575026227</v>
      </c>
    </row>
    <row r="54" spans="2:17" x14ac:dyDescent="0.3">
      <c r="B54" s="296" t="s">
        <v>199</v>
      </c>
      <c r="C54" s="13" t="s">
        <v>192</v>
      </c>
      <c r="D54" s="80">
        <v>7.6644725476828937</v>
      </c>
      <c r="E54" s="80">
        <v>20.767720556182798</v>
      </c>
      <c r="F54" s="80">
        <v>24.302493963665167</v>
      </c>
      <c r="G54" s="80">
        <v>16.534360174994106</v>
      </c>
      <c r="H54" s="80">
        <v>22.832035420128381</v>
      </c>
      <c r="I54" s="80">
        <v>33.978983696300958</v>
      </c>
      <c r="J54" s="80">
        <v>11.635577556627471</v>
      </c>
      <c r="K54" s="80">
        <v>5.8337039520898699</v>
      </c>
      <c r="L54" s="80">
        <v>3.9990129402209842</v>
      </c>
      <c r="M54" s="80">
        <v>21.145578721837339</v>
      </c>
      <c r="N54" s="80">
        <v>1.6416367969745944</v>
      </c>
      <c r="O54" s="80">
        <v>1.2758192050099471</v>
      </c>
      <c r="P54" s="80">
        <v>2.9520987009551747</v>
      </c>
      <c r="Q54" s="80">
        <v>0.88874478695226844</v>
      </c>
    </row>
    <row r="55" spans="2:17" ht="16.5" customHeight="1" x14ac:dyDescent="0.3">
      <c r="B55" s="292"/>
      <c r="C55" s="9" t="s">
        <v>200</v>
      </c>
      <c r="D55" s="79">
        <v>3.7976862580716793</v>
      </c>
      <c r="E55" s="79">
        <v>24.859117085290457</v>
      </c>
      <c r="F55" s="79">
        <v>22.691028555400951</v>
      </c>
      <c r="G55" s="79">
        <v>13.436331885478497</v>
      </c>
      <c r="H55" s="79">
        <v>20.322686908614727</v>
      </c>
      <c r="I55" s="79">
        <v>33.71594757494335</v>
      </c>
      <c r="J55" s="79">
        <v>16.02817052293727</v>
      </c>
      <c r="K55" s="79">
        <v>5.7679696260463009</v>
      </c>
      <c r="L55" s="79">
        <v>3.6464545625980782</v>
      </c>
      <c r="M55" s="79">
        <v>16.085448721580235</v>
      </c>
      <c r="N55" s="79">
        <v>2.1151315283473129</v>
      </c>
      <c r="O55" s="79">
        <v>1.4846037355961694</v>
      </c>
      <c r="P55" s="79">
        <v>2.4724116184231497</v>
      </c>
      <c r="Q55" s="79">
        <v>1.17232639218256</v>
      </c>
    </row>
    <row r="56" spans="2:17" x14ac:dyDescent="0.3">
      <c r="B56" s="292"/>
      <c r="C56" s="9" t="s">
        <v>201</v>
      </c>
      <c r="D56" s="79">
        <v>6.1515159226151743</v>
      </c>
      <c r="E56" s="79">
        <v>20.167006131040981</v>
      </c>
      <c r="F56" s="79">
        <v>19.929667786016235</v>
      </c>
      <c r="G56" s="79">
        <v>15.021611490937914</v>
      </c>
      <c r="H56" s="79">
        <v>16.978792479647296</v>
      </c>
      <c r="I56" s="79">
        <v>36.04878733864274</v>
      </c>
      <c r="J56" s="79">
        <v>10.999302964337005</v>
      </c>
      <c r="K56" s="79">
        <v>3.9835542500811374</v>
      </c>
      <c r="L56" s="79">
        <v>2.6456772492683442</v>
      </c>
      <c r="M56" s="79">
        <v>22.003262577366918</v>
      </c>
      <c r="N56" s="79">
        <v>0.72193702032107976</v>
      </c>
      <c r="O56" s="79">
        <v>1.064648760298806</v>
      </c>
      <c r="P56" s="79">
        <v>2.8031168789510708</v>
      </c>
      <c r="Q56" s="79">
        <v>0.99638336064738742</v>
      </c>
    </row>
    <row r="57" spans="2:17" x14ac:dyDescent="0.3">
      <c r="B57" s="292"/>
      <c r="C57" s="9" t="s">
        <v>202</v>
      </c>
      <c r="D57" s="79">
        <v>7.2800147257859074</v>
      </c>
      <c r="E57" s="79">
        <v>19.034598438780495</v>
      </c>
      <c r="F57" s="79">
        <v>23.238830131316448</v>
      </c>
      <c r="G57" s="79">
        <v>13.649146593259992</v>
      </c>
      <c r="H57" s="79">
        <v>17.553898310305051</v>
      </c>
      <c r="I57" s="79">
        <v>31.439482180919608</v>
      </c>
      <c r="J57" s="79">
        <v>13.90864789085858</v>
      </c>
      <c r="K57" s="79">
        <v>5.275431661874757</v>
      </c>
      <c r="L57" s="79">
        <v>2.5808001995989702</v>
      </c>
      <c r="M57" s="79">
        <v>19.151819491135623</v>
      </c>
      <c r="N57" s="79">
        <v>0.66425081628745397</v>
      </c>
      <c r="O57" s="79">
        <v>1.6706734775794689</v>
      </c>
      <c r="P57" s="79">
        <v>2.8603803920283513</v>
      </c>
      <c r="Q57" s="79">
        <v>1.4720417822986731</v>
      </c>
    </row>
    <row r="58" spans="2:17" x14ac:dyDescent="0.3">
      <c r="B58" s="295"/>
      <c r="C58" s="12" t="s">
        <v>203</v>
      </c>
      <c r="D58" s="81">
        <v>7.0279249569066424</v>
      </c>
      <c r="E58" s="81">
        <v>21.403816227814605</v>
      </c>
      <c r="F58" s="81">
        <v>24.920378112684094</v>
      </c>
      <c r="G58" s="81">
        <v>15.452426441515149</v>
      </c>
      <c r="H58" s="81">
        <v>20.973223135078648</v>
      </c>
      <c r="I58" s="81">
        <v>34.368124313086476</v>
      </c>
      <c r="J58" s="81">
        <v>10.903901976203439</v>
      </c>
      <c r="K58" s="81">
        <v>3.7873373213733692</v>
      </c>
      <c r="L58" s="81">
        <v>3.5086234718933844</v>
      </c>
      <c r="M58" s="81">
        <v>21.892577896823433</v>
      </c>
      <c r="N58" s="81">
        <v>3.1361885190522942</v>
      </c>
      <c r="O58" s="81">
        <v>1.010350963143636</v>
      </c>
      <c r="P58" s="81">
        <v>3.3329683781870503</v>
      </c>
      <c r="Q58" s="81">
        <v>0.82805382277562378</v>
      </c>
    </row>
    <row r="59" spans="2:17" x14ac:dyDescent="0.3">
      <c r="B59" s="291" t="s">
        <v>204</v>
      </c>
      <c r="C59" s="13" t="s">
        <v>192</v>
      </c>
      <c r="D59" s="80">
        <v>7.6644725476828937</v>
      </c>
      <c r="E59" s="80">
        <v>20.767720556182798</v>
      </c>
      <c r="F59" s="80">
        <v>24.302493963665167</v>
      </c>
      <c r="G59" s="80">
        <v>16.534360174994106</v>
      </c>
      <c r="H59" s="80">
        <v>22.832035420128381</v>
      </c>
      <c r="I59" s="80">
        <v>33.978983696300958</v>
      </c>
      <c r="J59" s="80">
        <v>11.635577556627471</v>
      </c>
      <c r="K59" s="80">
        <v>5.8337039520898699</v>
      </c>
      <c r="L59" s="80">
        <v>3.9990129402209842</v>
      </c>
      <c r="M59" s="80">
        <v>21.145578721837339</v>
      </c>
      <c r="N59" s="80">
        <v>1.6416367969745944</v>
      </c>
      <c r="O59" s="80">
        <v>1.2758192050099471</v>
      </c>
      <c r="P59" s="80">
        <v>2.9520987009551747</v>
      </c>
      <c r="Q59" s="80">
        <v>0.88874478695226844</v>
      </c>
    </row>
    <row r="60" spans="2:17" x14ac:dyDescent="0.3">
      <c r="B60" s="295"/>
      <c r="C60" s="12" t="s">
        <v>193</v>
      </c>
      <c r="D60" s="81">
        <v>6.6204254060373682</v>
      </c>
      <c r="E60" s="81">
        <v>20.989212109846999</v>
      </c>
      <c r="F60" s="81">
        <v>23.346268199268337</v>
      </c>
      <c r="G60" s="81">
        <v>14.875333343478529</v>
      </c>
      <c r="H60" s="81">
        <v>19.436211407633287</v>
      </c>
      <c r="I60" s="81">
        <v>34.164564130551426</v>
      </c>
      <c r="J60" s="81">
        <v>11.870728756133721</v>
      </c>
      <c r="K60" s="81">
        <v>4.2540652881054655</v>
      </c>
      <c r="L60" s="81">
        <v>3.1653649447790504</v>
      </c>
      <c r="M60" s="81">
        <v>20.962987874989665</v>
      </c>
      <c r="N60" s="81">
        <v>2.0847221764956392</v>
      </c>
      <c r="O60" s="81">
        <v>1.1777155542179274</v>
      </c>
      <c r="P60" s="81">
        <v>3.0634376111469837</v>
      </c>
      <c r="Q60" s="81">
        <v>1.0071078495442607</v>
      </c>
    </row>
    <row r="61" spans="2:17" x14ac:dyDescent="0.3">
      <c r="B61" s="291" t="s">
        <v>209</v>
      </c>
      <c r="C61" s="13" t="s">
        <v>205</v>
      </c>
      <c r="D61" s="80">
        <v>7.3955402376767818</v>
      </c>
      <c r="E61" s="80">
        <v>23.142673152210079</v>
      </c>
      <c r="F61" s="80">
        <v>28.11496230665086</v>
      </c>
      <c r="G61" s="80">
        <v>15.075238240351712</v>
      </c>
      <c r="H61" s="80">
        <v>22.268543711502613</v>
      </c>
      <c r="I61" s="80">
        <v>33.297975733550544</v>
      </c>
      <c r="J61" s="80">
        <v>7.9786785851024753</v>
      </c>
      <c r="K61" s="80">
        <v>3.8994024296414138</v>
      </c>
      <c r="L61" s="80">
        <v>2.7447164119539145</v>
      </c>
      <c r="M61" s="80">
        <v>21.123444491744536</v>
      </c>
      <c r="N61" s="80">
        <v>1.1453334064738339</v>
      </c>
      <c r="O61" s="80">
        <v>1.4505797471573993</v>
      </c>
      <c r="P61" s="80">
        <v>4.0563022318285666</v>
      </c>
      <c r="Q61" s="80">
        <v>0.87902053221082344</v>
      </c>
    </row>
    <row r="62" spans="2:17" x14ac:dyDescent="0.3">
      <c r="B62" s="292"/>
      <c r="C62" s="9" t="s">
        <v>206</v>
      </c>
      <c r="D62" s="79">
        <v>5.7290993904785443</v>
      </c>
      <c r="E62" s="79">
        <v>16.901868189248901</v>
      </c>
      <c r="F62" s="79">
        <v>22.738248640488163</v>
      </c>
      <c r="G62" s="79">
        <v>13.871623843673305</v>
      </c>
      <c r="H62" s="79">
        <v>17.300117447982949</v>
      </c>
      <c r="I62" s="79">
        <v>35.479837811490121</v>
      </c>
      <c r="J62" s="79">
        <v>12.632234219723879</v>
      </c>
      <c r="K62" s="79">
        <v>4.7548336558363724</v>
      </c>
      <c r="L62" s="79">
        <v>2.4903021593197643</v>
      </c>
      <c r="M62" s="79">
        <v>23.065146020972009</v>
      </c>
      <c r="N62" s="79">
        <v>1.5135474838135696</v>
      </c>
      <c r="O62" s="79">
        <v>1.2606424707385759</v>
      </c>
      <c r="P62" s="79">
        <v>2.5780553643069921</v>
      </c>
      <c r="Q62" s="79">
        <v>2.3026700036085677</v>
      </c>
    </row>
    <row r="63" spans="2:17" x14ac:dyDescent="0.3">
      <c r="B63" s="292"/>
      <c r="C63" s="9" t="s">
        <v>207</v>
      </c>
      <c r="D63" s="79">
        <v>6.3652076554388222</v>
      </c>
      <c r="E63" s="79">
        <v>21.948912576999767</v>
      </c>
      <c r="F63" s="79">
        <v>23.485611584298859</v>
      </c>
      <c r="G63" s="79">
        <v>16.564183525511989</v>
      </c>
      <c r="H63" s="79">
        <v>20.563977694132898</v>
      </c>
      <c r="I63" s="79">
        <v>32.646754268333979</v>
      </c>
      <c r="J63" s="79">
        <v>10.839316978086641</v>
      </c>
      <c r="K63" s="79">
        <v>5.1196872189669858</v>
      </c>
      <c r="L63" s="79">
        <v>3.3425080883084832</v>
      </c>
      <c r="M63" s="79">
        <v>21.605984934769914</v>
      </c>
      <c r="N63" s="79">
        <v>1.2657910490903264</v>
      </c>
      <c r="O63" s="79">
        <v>1.2870396671333464</v>
      </c>
      <c r="P63" s="79">
        <v>2.2728706057320367</v>
      </c>
      <c r="Q63" s="79">
        <v>0.3891057601120993</v>
      </c>
    </row>
    <row r="64" spans="2:17" x14ac:dyDescent="0.3">
      <c r="B64" s="293"/>
      <c r="C64" s="25" t="s">
        <v>208</v>
      </c>
      <c r="D64" s="82">
        <v>8.6602733524250386</v>
      </c>
      <c r="E64" s="82">
        <v>21.138936950848397</v>
      </c>
      <c r="F64" s="82">
        <v>23.365226874573796</v>
      </c>
      <c r="G64" s="82">
        <v>16.238041927287853</v>
      </c>
      <c r="H64" s="82">
        <v>23.682738318248632</v>
      </c>
      <c r="I64" s="82">
        <v>34.946354521363808</v>
      </c>
      <c r="J64" s="82">
        <v>13.429394385309875</v>
      </c>
      <c r="K64" s="82">
        <v>5.6872443862892901</v>
      </c>
      <c r="L64" s="82">
        <v>4.7625235831907027</v>
      </c>
      <c r="M64" s="82">
        <v>19.466388233799421</v>
      </c>
      <c r="N64" s="82">
        <v>2.8159764353913026</v>
      </c>
      <c r="O64" s="82">
        <v>1.0857684448988971</v>
      </c>
      <c r="P64" s="82">
        <v>3.5703503372443177</v>
      </c>
      <c r="Q64" s="82">
        <v>0.78525783214188993</v>
      </c>
    </row>
    <row r="67" spans="2:51" ht="18.75" customHeight="1" x14ac:dyDescent="0.3">
      <c r="B67" s="1" t="s">
        <v>136</v>
      </c>
      <c r="F67" s="304"/>
      <c r="G67" s="304"/>
      <c r="H67" s="304"/>
      <c r="I67" s="304"/>
      <c r="J67" s="304"/>
      <c r="K67" s="304"/>
      <c r="L67" s="304"/>
      <c r="M67" s="304"/>
      <c r="N67" s="304"/>
      <c r="O67" s="304"/>
      <c r="P67" s="304"/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304"/>
      <c r="AB67" s="304"/>
      <c r="AC67" s="304"/>
      <c r="AD67" s="304"/>
      <c r="AE67" s="304"/>
      <c r="AF67" s="304"/>
      <c r="AG67" s="304"/>
      <c r="AH67" s="304"/>
      <c r="AI67" s="304"/>
      <c r="AJ67" s="304"/>
      <c r="AK67" s="304"/>
      <c r="AL67" s="304"/>
      <c r="AM67" s="304"/>
      <c r="AN67" s="304"/>
      <c r="AO67" s="304"/>
      <c r="AP67" s="304"/>
      <c r="AQ67" s="304"/>
      <c r="AR67" s="304"/>
      <c r="AS67" s="304"/>
      <c r="AT67" s="304"/>
      <c r="AU67" s="304"/>
      <c r="AV67" s="304"/>
      <c r="AW67" s="304"/>
      <c r="AX67" s="304"/>
      <c r="AY67" s="304"/>
    </row>
    <row r="68" spans="2:51" ht="13.5" customHeight="1" x14ac:dyDescent="0.3">
      <c r="M68" s="30"/>
      <c r="N68" s="30"/>
      <c r="P68" s="30"/>
      <c r="Q68" s="30" t="s">
        <v>53</v>
      </c>
    </row>
    <row r="69" spans="2:51" ht="28.5" customHeight="1" x14ac:dyDescent="0.3">
      <c r="B69" s="305"/>
      <c r="C69" s="306"/>
      <c r="D69" s="226" t="s">
        <v>35</v>
      </c>
      <c r="E69" s="226" t="s">
        <v>280</v>
      </c>
      <c r="F69" s="226" t="s">
        <v>70</v>
      </c>
      <c r="G69" s="226" t="s">
        <v>16</v>
      </c>
      <c r="H69" s="226" t="s">
        <v>232</v>
      </c>
      <c r="I69" s="226" t="s">
        <v>287</v>
      </c>
      <c r="J69" s="226" t="s">
        <v>32</v>
      </c>
      <c r="K69" s="226" t="s">
        <v>284</v>
      </c>
      <c r="L69" s="226" t="s">
        <v>285</v>
      </c>
      <c r="M69" s="226" t="s">
        <v>288</v>
      </c>
      <c r="N69" s="227" t="s">
        <v>37</v>
      </c>
      <c r="O69" s="227" t="s">
        <v>19</v>
      </c>
      <c r="P69" s="227" t="s">
        <v>289</v>
      </c>
      <c r="Q69" s="227" t="s">
        <v>12</v>
      </c>
    </row>
    <row r="70" spans="2:51" x14ac:dyDescent="0.3">
      <c r="B70" s="292" t="s">
        <v>20</v>
      </c>
      <c r="C70" s="292"/>
      <c r="D70" s="72">
        <v>1.1191549692969767</v>
      </c>
      <c r="E70" s="72">
        <v>1.1149710001634214</v>
      </c>
      <c r="F70" s="73">
        <v>1.1122932851210685</v>
      </c>
      <c r="G70" s="72">
        <v>1.1571293715014688</v>
      </c>
      <c r="H70" s="73">
        <v>1.2329137625330728</v>
      </c>
      <c r="I70" s="72">
        <v>1.5211678685632473</v>
      </c>
      <c r="J70" s="72">
        <v>1.2781457572464245</v>
      </c>
      <c r="K70" s="72">
        <v>1.217827005337724</v>
      </c>
      <c r="L70" s="73">
        <v>1.1815593467695187</v>
      </c>
      <c r="M70" s="72">
        <v>1.3410123444301201</v>
      </c>
      <c r="N70" s="72">
        <v>1.1337975377807938</v>
      </c>
      <c r="O70" s="72">
        <v>1.2093057624689882</v>
      </c>
      <c r="P70" s="72">
        <v>1.2980723265870509</v>
      </c>
      <c r="Q70" s="72">
        <v>1.6116629575772627</v>
      </c>
    </row>
    <row r="71" spans="2:51" x14ac:dyDescent="0.3">
      <c r="B71" s="296" t="s">
        <v>5</v>
      </c>
      <c r="C71" s="13" t="s">
        <v>0</v>
      </c>
      <c r="D71" s="74">
        <v>1.1367509885990585</v>
      </c>
      <c r="E71" s="74">
        <v>1.1168012540723282</v>
      </c>
      <c r="F71" s="75">
        <v>1.0900743547192626</v>
      </c>
      <c r="G71" s="74">
        <v>1.1492289977238883</v>
      </c>
      <c r="H71" s="75">
        <v>1.2263179100235562</v>
      </c>
      <c r="I71" s="74">
        <v>1.5314123039840013</v>
      </c>
      <c r="J71" s="74">
        <v>1.2650322011789557</v>
      </c>
      <c r="K71" s="74">
        <v>1.2085343145688927</v>
      </c>
      <c r="L71" s="75">
        <v>1.1549344807747541</v>
      </c>
      <c r="M71" s="74">
        <v>1.268697989447787</v>
      </c>
      <c r="N71" s="74">
        <v>1.0728823829349343</v>
      </c>
      <c r="O71" s="74">
        <v>1.3276290191907232</v>
      </c>
      <c r="P71" s="74">
        <v>1.1898645679203181</v>
      </c>
      <c r="Q71" s="74">
        <v>1.739627528328445</v>
      </c>
    </row>
    <row r="72" spans="2:51" x14ac:dyDescent="0.3">
      <c r="B72" s="295"/>
      <c r="C72" s="12" t="s">
        <v>1</v>
      </c>
      <c r="D72" s="76">
        <v>1.093475918502119</v>
      </c>
      <c r="E72" s="76">
        <v>1.1124345202331125</v>
      </c>
      <c r="F72" s="76">
        <v>1.1435660811386132</v>
      </c>
      <c r="G72" s="76">
        <v>1.1710190359487138</v>
      </c>
      <c r="H72" s="76">
        <v>1.2416017967778259</v>
      </c>
      <c r="I72" s="76">
        <v>1.5065583268119491</v>
      </c>
      <c r="J72" s="76">
        <v>1.3035578732704696</v>
      </c>
      <c r="K72" s="76">
        <v>1.2290251773767298</v>
      </c>
      <c r="L72" s="76">
        <v>1.2125427889280993</v>
      </c>
      <c r="M72" s="76">
        <v>1.4146364404173752</v>
      </c>
      <c r="N72" s="76">
        <v>1.1651008399805096</v>
      </c>
      <c r="O72" s="76">
        <v>1.1577518356446732</v>
      </c>
      <c r="P72" s="76">
        <v>1.3762538374227293</v>
      </c>
      <c r="Q72" s="76">
        <v>1.4687574292989827</v>
      </c>
    </row>
    <row r="73" spans="2:51" x14ac:dyDescent="0.3">
      <c r="B73" s="296" t="s">
        <v>4</v>
      </c>
      <c r="C73" s="9" t="s">
        <v>175</v>
      </c>
      <c r="D73" s="72">
        <v>1.6059191258352372</v>
      </c>
      <c r="E73" s="72">
        <v>1.2302992936187873</v>
      </c>
      <c r="F73" s="73">
        <v>1.1848384775455907</v>
      </c>
      <c r="G73" s="72">
        <v>1.1609846173225393</v>
      </c>
      <c r="H73" s="73">
        <v>1.440442266084774</v>
      </c>
      <c r="I73" s="72">
        <v>1.5122749648633742</v>
      </c>
      <c r="J73" s="72">
        <v>1.2970183453507025</v>
      </c>
      <c r="K73" s="72">
        <v>1.3044537553368525</v>
      </c>
      <c r="L73" s="73">
        <v>1</v>
      </c>
      <c r="M73" s="72">
        <v>1.2387394698022169</v>
      </c>
      <c r="N73" s="72">
        <v>1</v>
      </c>
      <c r="O73" s="72">
        <v>0</v>
      </c>
      <c r="P73" s="72">
        <v>1.9448786649034699</v>
      </c>
      <c r="Q73" s="72">
        <v>2.4917869633157226</v>
      </c>
    </row>
    <row r="74" spans="2:51" x14ac:dyDescent="0.3">
      <c r="B74" s="292"/>
      <c r="C74" s="9" t="s">
        <v>176</v>
      </c>
      <c r="D74" s="72">
        <v>1.0610407630234304</v>
      </c>
      <c r="E74" s="72">
        <v>1.1211683887413182</v>
      </c>
      <c r="F74" s="73">
        <v>1.1161875983798151</v>
      </c>
      <c r="G74" s="72">
        <v>1.2155618384205016</v>
      </c>
      <c r="H74" s="73">
        <v>1.2451690823746044</v>
      </c>
      <c r="I74" s="72">
        <v>1.539526748097896</v>
      </c>
      <c r="J74" s="72">
        <v>1.3810184737334614</v>
      </c>
      <c r="K74" s="72">
        <v>1.3463604851415882</v>
      </c>
      <c r="L74" s="73">
        <v>1.3204860373296128</v>
      </c>
      <c r="M74" s="72">
        <v>1.3339955200319449</v>
      </c>
      <c r="N74" s="72">
        <v>1.2244931691092065</v>
      </c>
      <c r="O74" s="72">
        <v>1.2779092027827919</v>
      </c>
      <c r="P74" s="72">
        <v>1.5830520712017091</v>
      </c>
      <c r="Q74" s="72">
        <v>1.3829312478886802</v>
      </c>
    </row>
    <row r="75" spans="2:51" x14ac:dyDescent="0.3">
      <c r="B75" s="292"/>
      <c r="C75" s="9" t="s">
        <v>177</v>
      </c>
      <c r="D75" s="72">
        <v>1.1090441260941981</v>
      </c>
      <c r="E75" s="72">
        <v>1.0583207744089955</v>
      </c>
      <c r="F75" s="73">
        <v>1.0985202325856822</v>
      </c>
      <c r="G75" s="72">
        <v>1.1709596074138418</v>
      </c>
      <c r="H75" s="73">
        <v>1.1838990872565665</v>
      </c>
      <c r="I75" s="72">
        <v>1.625828038613778</v>
      </c>
      <c r="J75" s="72">
        <v>1.2169751725088638</v>
      </c>
      <c r="K75" s="72">
        <v>1.1357595201803825</v>
      </c>
      <c r="L75" s="73">
        <v>1.0845499929183153</v>
      </c>
      <c r="M75" s="72">
        <v>1.303913759939471</v>
      </c>
      <c r="N75" s="72">
        <v>1</v>
      </c>
      <c r="O75" s="72">
        <v>1.1744819164504112</v>
      </c>
      <c r="P75" s="72">
        <v>1.2645437483430324</v>
      </c>
      <c r="Q75" s="72">
        <v>1.8077458765310523</v>
      </c>
    </row>
    <row r="76" spans="2:51" x14ac:dyDescent="0.3">
      <c r="B76" s="292"/>
      <c r="C76" s="9" t="s">
        <v>178</v>
      </c>
      <c r="D76" s="72">
        <v>1.1147475520964849</v>
      </c>
      <c r="E76" s="72">
        <v>1.1549565680947125</v>
      </c>
      <c r="F76" s="73">
        <v>1.139548062916639</v>
      </c>
      <c r="G76" s="72">
        <v>1.1427652574958254</v>
      </c>
      <c r="H76" s="73">
        <v>1.2674801116997023</v>
      </c>
      <c r="I76" s="72">
        <v>1.4732616693370917</v>
      </c>
      <c r="J76" s="72">
        <v>1.2731058116578047</v>
      </c>
      <c r="K76" s="72">
        <v>1.1080804355477978</v>
      </c>
      <c r="L76" s="73">
        <v>1.0759041207136226</v>
      </c>
      <c r="M76" s="72">
        <v>1.3238157663963581</v>
      </c>
      <c r="N76" s="72">
        <v>1.0944609345827705</v>
      </c>
      <c r="O76" s="72">
        <v>1.1764296641555081</v>
      </c>
      <c r="P76" s="72">
        <v>1.2324055771453142</v>
      </c>
      <c r="Q76" s="72">
        <v>1.6787716499594469</v>
      </c>
    </row>
    <row r="77" spans="2:51" x14ac:dyDescent="0.3">
      <c r="B77" s="292"/>
      <c r="C77" s="9" t="s">
        <v>179</v>
      </c>
      <c r="D77" s="72">
        <v>1.1095110877323358</v>
      </c>
      <c r="E77" s="72">
        <v>1.0845367010960465</v>
      </c>
      <c r="F77" s="73">
        <v>1.0642025873747123</v>
      </c>
      <c r="G77" s="72">
        <v>1.1023016821136795</v>
      </c>
      <c r="H77" s="73">
        <v>1.195046419552809</v>
      </c>
      <c r="I77" s="72">
        <v>1.5264820854927188</v>
      </c>
      <c r="J77" s="72">
        <v>1.2649522882059467</v>
      </c>
      <c r="K77" s="72">
        <v>1.1703888154124555</v>
      </c>
      <c r="L77" s="73">
        <v>1.2397843385992</v>
      </c>
      <c r="M77" s="72">
        <v>1.3647324268971386</v>
      </c>
      <c r="N77" s="72">
        <v>1.1952581266497853</v>
      </c>
      <c r="O77" s="72">
        <v>1.1832486500914949</v>
      </c>
      <c r="P77" s="72">
        <v>1.1412976990624812</v>
      </c>
      <c r="Q77" s="72">
        <v>1.2277043224354267</v>
      </c>
    </row>
    <row r="78" spans="2:51" x14ac:dyDescent="0.3">
      <c r="B78" s="298"/>
      <c r="C78" s="12" t="s">
        <v>180</v>
      </c>
      <c r="D78" s="76">
        <v>1.0895328930827324</v>
      </c>
      <c r="E78" s="76">
        <v>1.1274723967981997</v>
      </c>
      <c r="F78" s="77">
        <v>1.1353273699177033</v>
      </c>
      <c r="G78" s="76">
        <v>1.1260928134209225</v>
      </c>
      <c r="H78" s="77">
        <v>1.197485259624361</v>
      </c>
      <c r="I78" s="76">
        <v>1.4602882610040591</v>
      </c>
      <c r="J78" s="76">
        <v>1.2757972915617684</v>
      </c>
      <c r="K78" s="76">
        <v>1.2941936787904647</v>
      </c>
      <c r="L78" s="77">
        <v>1.1882279214706828</v>
      </c>
      <c r="M78" s="76">
        <v>1.3971477806858119</v>
      </c>
      <c r="N78" s="76">
        <v>1.1301083982193887</v>
      </c>
      <c r="O78" s="76">
        <v>1.3010765233908876</v>
      </c>
      <c r="P78" s="76">
        <v>1.2791383590749708</v>
      </c>
      <c r="Q78" s="76">
        <v>1.1486885900567032</v>
      </c>
    </row>
    <row r="79" spans="2:51" x14ac:dyDescent="0.3">
      <c r="B79" s="292" t="s">
        <v>223</v>
      </c>
      <c r="C79" s="9" t="s">
        <v>210</v>
      </c>
      <c r="D79" s="72">
        <v>1.6369459600634502</v>
      </c>
      <c r="E79" s="72">
        <v>1.1595418645558861</v>
      </c>
      <c r="F79" s="73">
        <v>1.1921725332874187</v>
      </c>
      <c r="G79" s="72">
        <v>1.1834552962845299</v>
      </c>
      <c r="H79" s="73">
        <v>1.5071020390744285</v>
      </c>
      <c r="I79" s="72">
        <v>1.4659181572348243</v>
      </c>
      <c r="J79" s="72">
        <v>1.1597322809136608</v>
      </c>
      <c r="K79" s="72">
        <v>1.2658725291808546</v>
      </c>
      <c r="L79" s="73">
        <v>1</v>
      </c>
      <c r="M79" s="72">
        <v>1.2730652057323419</v>
      </c>
      <c r="N79" s="72">
        <v>0</v>
      </c>
      <c r="O79" s="72">
        <v>0</v>
      </c>
      <c r="P79" s="72">
        <v>2.7507036801378102</v>
      </c>
      <c r="Q79" s="72">
        <v>2.6786967949749516</v>
      </c>
    </row>
    <row r="80" spans="2:51" x14ac:dyDescent="0.3">
      <c r="B80" s="292"/>
      <c r="C80" s="9" t="s">
        <v>211</v>
      </c>
      <c r="D80" s="72">
        <v>1.0833560308668668</v>
      </c>
      <c r="E80" s="72">
        <v>1.1448504139033056</v>
      </c>
      <c r="F80" s="73">
        <v>1.0792501036273341</v>
      </c>
      <c r="G80" s="72">
        <v>1.2175012537279417</v>
      </c>
      <c r="H80" s="73">
        <v>1.2617720762936655</v>
      </c>
      <c r="I80" s="72">
        <v>1.5526973701223932</v>
      </c>
      <c r="J80" s="72">
        <v>1.389817493894282</v>
      </c>
      <c r="K80" s="72">
        <v>1.4470905505551783</v>
      </c>
      <c r="L80" s="73">
        <v>1.1180896422684712</v>
      </c>
      <c r="M80" s="72">
        <v>1.2777611079708837</v>
      </c>
      <c r="N80" s="72">
        <v>1</v>
      </c>
      <c r="O80" s="72">
        <v>1.5542886329492216</v>
      </c>
      <c r="P80" s="72">
        <v>1</v>
      </c>
      <c r="Q80" s="72">
        <v>1</v>
      </c>
    </row>
    <row r="81" spans="2:17" x14ac:dyDescent="0.3">
      <c r="B81" s="292"/>
      <c r="C81" s="9" t="s">
        <v>212</v>
      </c>
      <c r="D81" s="72">
        <v>1.1484677407984936</v>
      </c>
      <c r="E81" s="72">
        <v>1.0416599403738234</v>
      </c>
      <c r="F81" s="73">
        <v>1.0725947907826647</v>
      </c>
      <c r="G81" s="72">
        <v>1.1233566359729945</v>
      </c>
      <c r="H81" s="73">
        <v>1.1652056207618886</v>
      </c>
      <c r="I81" s="72">
        <v>1.6318735876305568</v>
      </c>
      <c r="J81" s="72">
        <v>1.118156724918981</v>
      </c>
      <c r="K81" s="72">
        <v>1.0725139684573555</v>
      </c>
      <c r="L81" s="73">
        <v>1</v>
      </c>
      <c r="M81" s="72">
        <v>1.2553446388478011</v>
      </c>
      <c r="N81" s="72">
        <v>1</v>
      </c>
      <c r="O81" s="72">
        <v>1</v>
      </c>
      <c r="P81" s="72">
        <v>1</v>
      </c>
      <c r="Q81" s="72">
        <v>2.0835463773023957</v>
      </c>
    </row>
    <row r="82" spans="2:17" x14ac:dyDescent="0.3">
      <c r="B82" s="292"/>
      <c r="C82" s="9" t="s">
        <v>213</v>
      </c>
      <c r="D82" s="72">
        <v>1.0986414518832242</v>
      </c>
      <c r="E82" s="72">
        <v>1.1458355140974874</v>
      </c>
      <c r="F82" s="73">
        <v>1.1397195568132292</v>
      </c>
      <c r="G82" s="72">
        <v>1.1168786164937585</v>
      </c>
      <c r="H82" s="73">
        <v>1.2737012366586216</v>
      </c>
      <c r="I82" s="72">
        <v>1.5153770726696794</v>
      </c>
      <c r="J82" s="72">
        <v>1.291466172750535</v>
      </c>
      <c r="K82" s="72">
        <v>1.065290737563521</v>
      </c>
      <c r="L82" s="73">
        <v>1.1472594847528903</v>
      </c>
      <c r="M82" s="72">
        <v>1.2337505987177213</v>
      </c>
      <c r="N82" s="72">
        <v>1</v>
      </c>
      <c r="O82" s="72">
        <v>1.2641593915385123</v>
      </c>
      <c r="P82" s="72">
        <v>1.0575184146648431</v>
      </c>
      <c r="Q82" s="72">
        <v>1.5007320079298032</v>
      </c>
    </row>
    <row r="83" spans="2:17" x14ac:dyDescent="0.3">
      <c r="B83" s="292"/>
      <c r="C83" s="9" t="s">
        <v>214</v>
      </c>
      <c r="D83" s="72">
        <v>1.1105435275536031</v>
      </c>
      <c r="E83" s="72">
        <v>1.0874693718656059</v>
      </c>
      <c r="F83" s="73">
        <v>1.0478502074046507</v>
      </c>
      <c r="G83" s="72">
        <v>1.0858009784107603</v>
      </c>
      <c r="H83" s="73">
        <v>1.1397150704673864</v>
      </c>
      <c r="I83" s="72">
        <v>1.5144981819038181</v>
      </c>
      <c r="J83" s="72">
        <v>1.2537370128971828</v>
      </c>
      <c r="K83" s="72">
        <v>1</v>
      </c>
      <c r="L83" s="73">
        <v>1.2743882931114312</v>
      </c>
      <c r="M83" s="72">
        <v>1.2352627895195496</v>
      </c>
      <c r="N83" s="72">
        <v>1</v>
      </c>
      <c r="O83" s="72">
        <v>1</v>
      </c>
      <c r="P83" s="72">
        <v>1.2755186934815856</v>
      </c>
      <c r="Q83" s="72">
        <v>1</v>
      </c>
    </row>
    <row r="84" spans="2:17" x14ac:dyDescent="0.3">
      <c r="B84" s="292"/>
      <c r="C84" s="12" t="s">
        <v>215</v>
      </c>
      <c r="D84" s="76">
        <v>1.0786076253366583</v>
      </c>
      <c r="E84" s="76">
        <v>1.1574889869197085</v>
      </c>
      <c r="F84" s="77">
        <v>1.0951494730965616</v>
      </c>
      <c r="G84" s="76">
        <v>1.165990877145205</v>
      </c>
      <c r="H84" s="77">
        <v>1.1992351566406105</v>
      </c>
      <c r="I84" s="76">
        <v>1.4690450228287815</v>
      </c>
      <c r="J84" s="76">
        <v>1.3107965673098727</v>
      </c>
      <c r="K84" s="76">
        <v>1.3206263755870602</v>
      </c>
      <c r="L84" s="77">
        <v>1.2165786262643978</v>
      </c>
      <c r="M84" s="76">
        <v>1.361452218129753</v>
      </c>
      <c r="N84" s="76">
        <v>1.3257944356390896</v>
      </c>
      <c r="O84" s="76">
        <v>2</v>
      </c>
      <c r="P84" s="76">
        <v>1.4169495146172475</v>
      </c>
      <c r="Q84" s="76">
        <v>1</v>
      </c>
    </row>
    <row r="85" spans="2:17" x14ac:dyDescent="0.3">
      <c r="B85" s="292"/>
      <c r="C85" s="9" t="s">
        <v>216</v>
      </c>
      <c r="D85" s="72">
        <v>1.5298675661663268</v>
      </c>
      <c r="E85" s="72">
        <v>1.303442609395858</v>
      </c>
      <c r="F85" s="73">
        <v>1.1641070511092233</v>
      </c>
      <c r="G85" s="72">
        <v>1.1133559813283922</v>
      </c>
      <c r="H85" s="73">
        <v>1.3592044801771306</v>
      </c>
      <c r="I85" s="72">
        <v>1.5723927506189288</v>
      </c>
      <c r="J85" s="72">
        <v>1.7484075577978202</v>
      </c>
      <c r="K85" s="72">
        <v>1.4541739257151929</v>
      </c>
      <c r="L85" s="73">
        <v>1</v>
      </c>
      <c r="M85" s="72">
        <v>1.2047313318264836</v>
      </c>
      <c r="N85" s="72">
        <v>1</v>
      </c>
      <c r="O85" s="72">
        <v>0</v>
      </c>
      <c r="P85" s="72">
        <v>1</v>
      </c>
      <c r="Q85" s="72">
        <v>1</v>
      </c>
    </row>
    <row r="86" spans="2:17" x14ac:dyDescent="0.3">
      <c r="B86" s="292"/>
      <c r="C86" s="9" t="s">
        <v>217</v>
      </c>
      <c r="D86" s="72">
        <v>1.0300643704693662</v>
      </c>
      <c r="E86" s="72">
        <v>1.0817015766011249</v>
      </c>
      <c r="F86" s="73">
        <v>1.1771021815064919</v>
      </c>
      <c r="G86" s="72">
        <v>1.2101472368652129</v>
      </c>
      <c r="H86" s="73">
        <v>1.2143798800082874</v>
      </c>
      <c r="I86" s="72">
        <v>1.5140587092736517</v>
      </c>
      <c r="J86" s="72">
        <v>1.3627357786649466</v>
      </c>
      <c r="K86" s="72">
        <v>1.160052583028486</v>
      </c>
      <c r="L86" s="73">
        <v>1.5977277070498614</v>
      </c>
      <c r="M86" s="72">
        <v>1.3972545179926226</v>
      </c>
      <c r="N86" s="72">
        <v>1.3477642061726254</v>
      </c>
      <c r="O86" s="72">
        <v>1.1220080217514432</v>
      </c>
      <c r="P86" s="72">
        <v>1.8864070703109879</v>
      </c>
      <c r="Q86" s="72">
        <v>1.8595003761283853</v>
      </c>
    </row>
    <row r="87" spans="2:17" x14ac:dyDescent="0.3">
      <c r="B87" s="292"/>
      <c r="C87" s="9" t="s">
        <v>218</v>
      </c>
      <c r="D87" s="72">
        <v>1</v>
      </c>
      <c r="E87" s="72">
        <v>1.0921656510810507</v>
      </c>
      <c r="F87" s="73">
        <v>1.1443700591564314</v>
      </c>
      <c r="G87" s="72">
        <v>1.2507455046440599</v>
      </c>
      <c r="H87" s="73">
        <v>1.2134540130276166</v>
      </c>
      <c r="I87" s="72">
        <v>1.6181059039413193</v>
      </c>
      <c r="J87" s="72">
        <v>1.4454524692553545</v>
      </c>
      <c r="K87" s="72">
        <v>1.2587175914616791</v>
      </c>
      <c r="L87" s="73">
        <v>1.2223565181755749</v>
      </c>
      <c r="M87" s="72">
        <v>1.34303921821553</v>
      </c>
      <c r="N87" s="72">
        <v>1</v>
      </c>
      <c r="O87" s="72">
        <v>1.2664637227356654</v>
      </c>
      <c r="P87" s="72">
        <v>1.3691246237580164</v>
      </c>
      <c r="Q87" s="72">
        <v>1.5320610786701883</v>
      </c>
    </row>
    <row r="88" spans="2:17" x14ac:dyDescent="0.3">
      <c r="B88" s="292"/>
      <c r="C88" s="9" t="s">
        <v>219</v>
      </c>
      <c r="D88" s="72">
        <v>1.1417156354298208</v>
      </c>
      <c r="E88" s="72">
        <v>1.168514312112245</v>
      </c>
      <c r="F88" s="73">
        <v>1.1393645210035972</v>
      </c>
      <c r="G88" s="72">
        <v>1.1741873080307843</v>
      </c>
      <c r="H88" s="73">
        <v>1.2599382979519347</v>
      </c>
      <c r="I88" s="72">
        <v>1.4124768990628567</v>
      </c>
      <c r="J88" s="72">
        <v>1.2422975087707904</v>
      </c>
      <c r="K88" s="72">
        <v>1.1804968851320898</v>
      </c>
      <c r="L88" s="73">
        <v>1</v>
      </c>
      <c r="M88" s="72">
        <v>1.4071234967750534</v>
      </c>
      <c r="N88" s="72">
        <v>1.142794790952494</v>
      </c>
      <c r="O88" s="72">
        <v>1.1391277141564149</v>
      </c>
      <c r="P88" s="72">
        <v>1.4034376684395171</v>
      </c>
      <c r="Q88" s="72">
        <v>2</v>
      </c>
    </row>
    <row r="89" spans="2:17" x14ac:dyDescent="0.3">
      <c r="B89" s="292"/>
      <c r="C89" s="9" t="s">
        <v>220</v>
      </c>
      <c r="D89" s="72">
        <v>1.1078747370153956</v>
      </c>
      <c r="E89" s="72">
        <v>1.0809483665282875</v>
      </c>
      <c r="F89" s="73">
        <v>1.084553498367276</v>
      </c>
      <c r="G89" s="72">
        <v>1.1324456920520947</v>
      </c>
      <c r="H89" s="73">
        <v>1.2544477349091059</v>
      </c>
      <c r="I89" s="72">
        <v>1.5430329545721557</v>
      </c>
      <c r="J89" s="72">
        <v>1.2901134888525341</v>
      </c>
      <c r="K89" s="72">
        <v>1.2367332704734517</v>
      </c>
      <c r="L89" s="73">
        <v>1.2070566987369598</v>
      </c>
      <c r="M89" s="72">
        <v>1.509637312619666</v>
      </c>
      <c r="N89" s="72">
        <v>1.295157769807973</v>
      </c>
      <c r="O89" s="72">
        <v>1.2158933214221392</v>
      </c>
      <c r="P89" s="72">
        <v>1</v>
      </c>
      <c r="Q89" s="72">
        <v>1.3509319222168095</v>
      </c>
    </row>
    <row r="90" spans="2:17" x14ac:dyDescent="0.3">
      <c r="B90" s="295"/>
      <c r="C90" s="9" t="s">
        <v>221</v>
      </c>
      <c r="D90" s="76">
        <v>1.09637924545735</v>
      </c>
      <c r="E90" s="76">
        <v>1.0978473868665231</v>
      </c>
      <c r="F90" s="77">
        <v>1.1901972078465526</v>
      </c>
      <c r="G90" s="76">
        <v>1.0696529048255101</v>
      </c>
      <c r="H90" s="77">
        <v>1.1954701588531411</v>
      </c>
      <c r="I90" s="76">
        <v>1.4486563884200863</v>
      </c>
      <c r="J90" s="76">
        <v>1.2233449712501601</v>
      </c>
      <c r="K90" s="76">
        <v>1.2697292457607885</v>
      </c>
      <c r="L90" s="77">
        <v>1.1480372881279659</v>
      </c>
      <c r="M90" s="76">
        <v>1.4404452703501518</v>
      </c>
      <c r="N90" s="76">
        <v>1.051652661140358</v>
      </c>
      <c r="O90" s="76">
        <v>1</v>
      </c>
      <c r="P90" s="76">
        <v>1.2053552978881918</v>
      </c>
      <c r="Q90" s="76">
        <v>1.2483378941434664</v>
      </c>
    </row>
    <row r="91" spans="2:17" ht="16.5" customHeight="1" x14ac:dyDescent="0.3">
      <c r="B91" s="291" t="s">
        <v>222</v>
      </c>
      <c r="C91" s="13" t="s">
        <v>226</v>
      </c>
      <c r="D91" s="74">
        <v>1.1002179929585423</v>
      </c>
      <c r="E91" s="74">
        <v>1.1143579691055181</v>
      </c>
      <c r="F91" s="74">
        <v>1.15736831967354</v>
      </c>
      <c r="G91" s="74">
        <v>1.2107946220938499</v>
      </c>
      <c r="H91" s="74">
        <v>1.3625103798582874</v>
      </c>
      <c r="I91" s="74">
        <v>1.604180114428311</v>
      </c>
      <c r="J91" s="74">
        <v>1.2305617139482841</v>
      </c>
      <c r="K91" s="74">
        <v>1.2590791059629907</v>
      </c>
      <c r="L91" s="74">
        <v>1.2723343298161327</v>
      </c>
      <c r="M91" s="74">
        <v>1.3614216971208275</v>
      </c>
      <c r="N91" s="74">
        <v>1.2395161505280134</v>
      </c>
      <c r="O91" s="74">
        <v>1.3028509577733538</v>
      </c>
      <c r="P91" s="74">
        <v>1.4060445368902441</v>
      </c>
      <c r="Q91" s="74">
        <v>2.1544546843324675</v>
      </c>
    </row>
    <row r="92" spans="2:17" x14ac:dyDescent="0.3">
      <c r="B92" s="294"/>
      <c r="C92" s="9" t="s">
        <v>227</v>
      </c>
      <c r="D92" s="72">
        <v>1.1812034470983901</v>
      </c>
      <c r="E92" s="72">
        <v>1.1333007648683691</v>
      </c>
      <c r="F92" s="72">
        <v>1.0878710385341839</v>
      </c>
      <c r="G92" s="72">
        <v>1.161989576729175</v>
      </c>
      <c r="H92" s="72">
        <v>1.2060751456805059</v>
      </c>
      <c r="I92" s="72">
        <v>1.5148167153013699</v>
      </c>
      <c r="J92" s="72">
        <v>1.3307105085926536</v>
      </c>
      <c r="K92" s="72">
        <v>1.2388092767523573</v>
      </c>
      <c r="L92" s="72">
        <v>1.0800695526889266</v>
      </c>
      <c r="M92" s="72">
        <v>1.3575818579176808</v>
      </c>
      <c r="N92" s="72">
        <v>1.1276348129844602</v>
      </c>
      <c r="O92" s="72">
        <v>1.287592918899972</v>
      </c>
      <c r="P92" s="72">
        <v>1.1976719534493083</v>
      </c>
      <c r="Q92" s="72">
        <v>1</v>
      </c>
    </row>
    <row r="93" spans="2:17" x14ac:dyDescent="0.3">
      <c r="B93" s="292"/>
      <c r="C93" s="9" t="s">
        <v>228</v>
      </c>
      <c r="D93" s="72">
        <v>1.1207856246763404</v>
      </c>
      <c r="E93" s="72">
        <v>1.1073735133390488</v>
      </c>
      <c r="F93" s="72">
        <v>1.1420163984101313</v>
      </c>
      <c r="G93" s="72">
        <v>1.1391882232494202</v>
      </c>
      <c r="H93" s="72">
        <v>1.152319382628479</v>
      </c>
      <c r="I93" s="72">
        <v>1.5643418422529498</v>
      </c>
      <c r="J93" s="72">
        <v>1.3540959857411865</v>
      </c>
      <c r="K93" s="72">
        <v>1.1540743718157933</v>
      </c>
      <c r="L93" s="72">
        <v>1.152529827517657</v>
      </c>
      <c r="M93" s="72">
        <v>1.3164454712772129</v>
      </c>
      <c r="N93" s="72">
        <v>1.0425588304201143</v>
      </c>
      <c r="O93" s="72">
        <v>1</v>
      </c>
      <c r="P93" s="72">
        <v>1.1730183765195974</v>
      </c>
      <c r="Q93" s="72">
        <v>1.5104028558069957</v>
      </c>
    </row>
    <row r="94" spans="2:17" x14ac:dyDescent="0.3">
      <c r="B94" s="295"/>
      <c r="C94" s="12" t="s">
        <v>229</v>
      </c>
      <c r="D94" s="76">
        <v>1.0834537663142949</v>
      </c>
      <c r="E94" s="76">
        <v>1.1038654307875582</v>
      </c>
      <c r="F94" s="76">
        <v>1.0816138142248841</v>
      </c>
      <c r="G94" s="76">
        <v>1.1103998791579315</v>
      </c>
      <c r="H94" s="76">
        <v>1.2195487893117596</v>
      </c>
      <c r="I94" s="76">
        <v>1.4418630028863155</v>
      </c>
      <c r="J94" s="76">
        <v>1.2029963832790249</v>
      </c>
      <c r="K94" s="76">
        <v>1.2217941022281866</v>
      </c>
      <c r="L94" s="76">
        <v>1.2409521226617479</v>
      </c>
      <c r="M94" s="76">
        <v>1.3322097980287264</v>
      </c>
      <c r="N94" s="76">
        <v>1.1214262381938165</v>
      </c>
      <c r="O94" s="76">
        <v>1.1466468952496602</v>
      </c>
      <c r="P94" s="76">
        <v>1.4286082519395378</v>
      </c>
      <c r="Q94" s="76">
        <v>1.4831547289345886</v>
      </c>
    </row>
    <row r="95" spans="2:17" x14ac:dyDescent="0.3">
      <c r="B95" s="296" t="s">
        <v>199</v>
      </c>
      <c r="C95" s="13" t="s">
        <v>192</v>
      </c>
      <c r="D95" s="74">
        <v>1.1378074171113763</v>
      </c>
      <c r="E95" s="74">
        <v>1.1024878915761187</v>
      </c>
      <c r="F95" s="74">
        <v>1.0946073040538125</v>
      </c>
      <c r="G95" s="74">
        <v>1.1410608823982358</v>
      </c>
      <c r="H95" s="74">
        <v>1.197514847654036</v>
      </c>
      <c r="I95" s="74">
        <v>1.4887932594658424</v>
      </c>
      <c r="J95" s="74">
        <v>1.2835474401415621</v>
      </c>
      <c r="K95" s="74">
        <v>1.2240465481761671</v>
      </c>
      <c r="L95" s="74">
        <v>1.1459625094829591</v>
      </c>
      <c r="M95" s="74">
        <v>1.3319315281229729</v>
      </c>
      <c r="N95" s="74">
        <v>1.0989115141609782</v>
      </c>
      <c r="O95" s="74">
        <v>1.1979355122858109</v>
      </c>
      <c r="P95" s="74">
        <v>1.2297672391626291</v>
      </c>
      <c r="Q95" s="74">
        <v>1.3729967453247851</v>
      </c>
    </row>
    <row r="96" spans="2:17" ht="16.5" customHeight="1" x14ac:dyDescent="0.3">
      <c r="B96" s="292"/>
      <c r="C96" s="9" t="s">
        <v>200</v>
      </c>
      <c r="D96" s="72">
        <v>1.1996101224771549</v>
      </c>
      <c r="E96" s="72">
        <v>1.06850566930205</v>
      </c>
      <c r="F96" s="72">
        <v>1.1180103184266414</v>
      </c>
      <c r="G96" s="72">
        <v>1.097479274201421</v>
      </c>
      <c r="H96" s="72">
        <v>1.2546542906098856</v>
      </c>
      <c r="I96" s="72">
        <v>1.7665226618742087</v>
      </c>
      <c r="J96" s="72">
        <v>1.5478262661990454</v>
      </c>
      <c r="K96" s="72">
        <v>1.1273023224682179</v>
      </c>
      <c r="L96" s="72">
        <v>1.3034678005148694</v>
      </c>
      <c r="M96" s="72">
        <v>1.4223351455429507</v>
      </c>
      <c r="N96" s="72">
        <v>1.1666862891460994</v>
      </c>
      <c r="O96" s="72">
        <v>1.366038797913947</v>
      </c>
      <c r="P96" s="72">
        <v>1.1035350878463797</v>
      </c>
      <c r="Q96" s="72">
        <v>1.4197615594963526</v>
      </c>
    </row>
    <row r="97" spans="2:51" ht="16.5" customHeight="1" x14ac:dyDescent="0.3">
      <c r="B97" s="292"/>
      <c r="C97" s="9" t="s">
        <v>201</v>
      </c>
      <c r="D97" s="72">
        <v>1.0694317167642906</v>
      </c>
      <c r="E97" s="72">
        <v>1.107746908099245</v>
      </c>
      <c r="F97" s="72">
        <v>1.108241350993576</v>
      </c>
      <c r="G97" s="72">
        <v>1.1684016621281432</v>
      </c>
      <c r="H97" s="72">
        <v>1.3939299150233018</v>
      </c>
      <c r="I97" s="72">
        <v>1.442824673430952</v>
      </c>
      <c r="J97" s="72">
        <v>1.3334573876687943</v>
      </c>
      <c r="K97" s="72">
        <v>1.3622606115402403</v>
      </c>
      <c r="L97" s="72">
        <v>1.1825200882242071</v>
      </c>
      <c r="M97" s="72">
        <v>1.4004534949557335</v>
      </c>
      <c r="N97" s="72">
        <v>1</v>
      </c>
      <c r="O97" s="72">
        <v>1.1631481544366176</v>
      </c>
      <c r="P97" s="72">
        <v>1.8717521993203114</v>
      </c>
      <c r="Q97" s="72">
        <v>1.7972107137432098</v>
      </c>
    </row>
    <row r="98" spans="2:51" ht="16.5" customHeight="1" x14ac:dyDescent="0.3">
      <c r="B98" s="292"/>
      <c r="C98" s="9" t="s">
        <v>202</v>
      </c>
      <c r="D98" s="72">
        <v>1.188137117682073</v>
      </c>
      <c r="E98" s="72">
        <v>1.1134647528954855</v>
      </c>
      <c r="F98" s="72">
        <v>1.1093519847615547</v>
      </c>
      <c r="G98" s="72">
        <v>1.1356622287732474</v>
      </c>
      <c r="H98" s="72">
        <v>1.2530763266136384</v>
      </c>
      <c r="I98" s="72">
        <v>1.7317458137356256</v>
      </c>
      <c r="J98" s="72">
        <v>1.3180183895368691</v>
      </c>
      <c r="K98" s="72">
        <v>1.2371005470392629</v>
      </c>
      <c r="L98" s="72">
        <v>1.0673550247873627</v>
      </c>
      <c r="M98" s="72">
        <v>1.3631980028632005</v>
      </c>
      <c r="N98" s="72">
        <v>1</v>
      </c>
      <c r="O98" s="72">
        <v>1.1057242703444972</v>
      </c>
      <c r="P98" s="72">
        <v>1.3607940556788822</v>
      </c>
      <c r="Q98" s="72">
        <v>1.2582112204646319</v>
      </c>
    </row>
    <row r="99" spans="2:51" x14ac:dyDescent="0.3">
      <c r="B99" s="295"/>
      <c r="C99" s="12" t="s">
        <v>203</v>
      </c>
      <c r="D99" s="76">
        <v>1.0608795747938378</v>
      </c>
      <c r="E99" s="76">
        <v>1.1537381408924792</v>
      </c>
      <c r="F99" s="76">
        <v>1.152433473871701</v>
      </c>
      <c r="G99" s="76">
        <v>1.2054825898388348</v>
      </c>
      <c r="H99" s="76">
        <v>1.2554666236282708</v>
      </c>
      <c r="I99" s="76">
        <v>1.5248648273962957</v>
      </c>
      <c r="J99" s="76">
        <v>1.163429988932579</v>
      </c>
      <c r="K99" s="76">
        <v>1.1445786133413587</v>
      </c>
      <c r="L99" s="76">
        <v>1.2812249734587393</v>
      </c>
      <c r="M99" s="76">
        <v>1.319742815783981</v>
      </c>
      <c r="N99" s="76">
        <v>1.1938886537676154</v>
      </c>
      <c r="O99" s="76">
        <v>1.2847184477628166</v>
      </c>
      <c r="P99" s="76">
        <v>1.2346651062763969</v>
      </c>
      <c r="Q99" s="76">
        <v>2.3610449297955807</v>
      </c>
    </row>
    <row r="100" spans="2:51" x14ac:dyDescent="0.3">
      <c r="B100" s="291" t="s">
        <v>204</v>
      </c>
      <c r="C100" s="13" t="s">
        <v>192</v>
      </c>
      <c r="D100" s="74">
        <v>1.1378074171113763</v>
      </c>
      <c r="E100" s="74">
        <v>1.1024878915761187</v>
      </c>
      <c r="F100" s="74">
        <v>1.0946073040538125</v>
      </c>
      <c r="G100" s="74">
        <v>1.1410608823982358</v>
      </c>
      <c r="H100" s="74">
        <v>1.197514847654036</v>
      </c>
      <c r="I100" s="74">
        <v>1.4887932594658424</v>
      </c>
      <c r="J100" s="74">
        <v>1.2835474401415621</v>
      </c>
      <c r="K100" s="74">
        <v>1.2240465481761671</v>
      </c>
      <c r="L100" s="74">
        <v>1.1459625094829591</v>
      </c>
      <c r="M100" s="74">
        <v>1.3319315281229729</v>
      </c>
      <c r="N100" s="74">
        <v>1.0989115141609782</v>
      </c>
      <c r="O100" s="74">
        <v>1.1979355122858109</v>
      </c>
      <c r="P100" s="74">
        <v>1.2297672391626291</v>
      </c>
      <c r="Q100" s="74">
        <v>1.3729967453247851</v>
      </c>
    </row>
    <row r="101" spans="2:51" x14ac:dyDescent="0.3">
      <c r="B101" s="295"/>
      <c r="C101" s="12" t="s">
        <v>193</v>
      </c>
      <c r="D101" s="76">
        <v>1.0938828409513539</v>
      </c>
      <c r="E101" s="76">
        <v>1.1294262316831796</v>
      </c>
      <c r="F101" s="76">
        <v>1.1338395571099991</v>
      </c>
      <c r="G101" s="76">
        <v>1.1780322135207206</v>
      </c>
      <c r="H101" s="76">
        <v>1.2815805381250742</v>
      </c>
      <c r="I101" s="76">
        <v>1.5588511438057786</v>
      </c>
      <c r="J101" s="76">
        <v>1.2719492172444482</v>
      </c>
      <c r="K101" s="76">
        <v>1.2078452181382346</v>
      </c>
      <c r="L101" s="76">
        <v>1.2341913673199283</v>
      </c>
      <c r="M101" s="76">
        <v>1.3517324951543401</v>
      </c>
      <c r="N101" s="76">
        <v>1.1659482035678468</v>
      </c>
      <c r="O101" s="76">
        <v>1.2237212174338969</v>
      </c>
      <c r="P101" s="76">
        <v>1.3751066892135215</v>
      </c>
      <c r="Q101" s="76">
        <v>1.8662632524029523</v>
      </c>
    </row>
    <row r="102" spans="2:51" x14ac:dyDescent="0.3">
      <c r="B102" s="291" t="s">
        <v>209</v>
      </c>
      <c r="C102" s="13" t="s">
        <v>205</v>
      </c>
      <c r="D102" s="74">
        <v>1.1510022757244736</v>
      </c>
      <c r="E102" s="74">
        <v>1.0607485513175401</v>
      </c>
      <c r="F102" s="74">
        <v>1.0881294925838354</v>
      </c>
      <c r="G102" s="74">
        <v>1.0861295763878234</v>
      </c>
      <c r="H102" s="74">
        <v>1.1180922741029873</v>
      </c>
      <c r="I102" s="74">
        <v>1.5821248666166328</v>
      </c>
      <c r="J102" s="74">
        <v>1.1797469310454658</v>
      </c>
      <c r="K102" s="74">
        <v>1.2504407708066365</v>
      </c>
      <c r="L102" s="74">
        <v>1.4479010840718258</v>
      </c>
      <c r="M102" s="74">
        <v>1.236373052869032</v>
      </c>
      <c r="N102" s="74">
        <v>1.4136623769739454</v>
      </c>
      <c r="O102" s="74">
        <v>1.1453400669286946</v>
      </c>
      <c r="P102" s="74">
        <v>1.2711330903406728</v>
      </c>
      <c r="Q102" s="74">
        <v>1.4546565037009889</v>
      </c>
    </row>
    <row r="103" spans="2:51" x14ac:dyDescent="0.3">
      <c r="B103" s="292"/>
      <c r="C103" s="9" t="s">
        <v>206</v>
      </c>
      <c r="D103" s="72">
        <v>1.1300939218621595</v>
      </c>
      <c r="E103" s="72">
        <v>1.1669655608800364</v>
      </c>
      <c r="F103" s="72">
        <v>1.1660139110037788</v>
      </c>
      <c r="G103" s="72">
        <v>1.2685952442571</v>
      </c>
      <c r="H103" s="72">
        <v>1.3307512896692233</v>
      </c>
      <c r="I103" s="72">
        <v>1.6409128164088347</v>
      </c>
      <c r="J103" s="72">
        <v>1.3797875400158401</v>
      </c>
      <c r="K103" s="72">
        <v>1.2279288424618608</v>
      </c>
      <c r="L103" s="72">
        <v>1.1626410658477522</v>
      </c>
      <c r="M103" s="72">
        <v>1.4198692745327135</v>
      </c>
      <c r="N103" s="72">
        <v>1.110842174099949</v>
      </c>
      <c r="O103" s="72">
        <v>1.4342183477454171</v>
      </c>
      <c r="P103" s="72">
        <v>1.3434241425934883</v>
      </c>
      <c r="Q103" s="72">
        <v>1.8863139517675411</v>
      </c>
    </row>
    <row r="104" spans="2:51" x14ac:dyDescent="0.3">
      <c r="B104" s="292"/>
      <c r="C104" s="9" t="s">
        <v>207</v>
      </c>
      <c r="D104" s="72">
        <v>1.1099601536211174</v>
      </c>
      <c r="E104" s="72">
        <v>1.1294815699278464</v>
      </c>
      <c r="F104" s="72">
        <v>1.1263900994753571</v>
      </c>
      <c r="G104" s="72">
        <v>1.1256983281010216</v>
      </c>
      <c r="H104" s="72">
        <v>1.1986584320814726</v>
      </c>
      <c r="I104" s="72">
        <v>1.4896334576157362</v>
      </c>
      <c r="J104" s="72">
        <v>1.2896732233621737</v>
      </c>
      <c r="K104" s="72">
        <v>1.1972007442881831</v>
      </c>
      <c r="L104" s="72">
        <v>1.1469524724505906</v>
      </c>
      <c r="M104" s="72">
        <v>1.3571398847535499</v>
      </c>
      <c r="N104" s="72">
        <v>1.0262400296673795</v>
      </c>
      <c r="O104" s="72">
        <v>1.1834310786189248</v>
      </c>
      <c r="P104" s="72">
        <v>1.1527778375169884</v>
      </c>
      <c r="Q104" s="72">
        <v>1.7606662356770035</v>
      </c>
    </row>
    <row r="105" spans="2:51" x14ac:dyDescent="0.3">
      <c r="B105" s="293"/>
      <c r="C105" s="25" t="s">
        <v>208</v>
      </c>
      <c r="D105" s="78">
        <v>1.1126020100650602</v>
      </c>
      <c r="E105" s="78">
        <v>1.0988952762265181</v>
      </c>
      <c r="F105" s="78">
        <v>1.0811592968762862</v>
      </c>
      <c r="G105" s="78">
        <v>1.1604671496409507</v>
      </c>
      <c r="H105" s="78">
        <v>1.2607865604480706</v>
      </c>
      <c r="I105" s="78">
        <v>1.4659859719599229</v>
      </c>
      <c r="J105" s="78">
        <v>1.2389745417500702</v>
      </c>
      <c r="K105" s="78">
        <v>1.2236394573666562</v>
      </c>
      <c r="L105" s="78">
        <v>1.1578532963779773</v>
      </c>
      <c r="M105" s="78">
        <v>1.3134648428160727</v>
      </c>
      <c r="N105" s="78">
        <v>1.1480048328446941</v>
      </c>
      <c r="O105" s="78">
        <v>1.13097490070509</v>
      </c>
      <c r="P105" s="78">
        <v>1.3802428366795256</v>
      </c>
      <c r="Q105" s="78">
        <v>1.15392664333329</v>
      </c>
    </row>
    <row r="106" spans="2:51" x14ac:dyDescent="0.3">
      <c r="B106" s="60"/>
      <c r="C106" s="9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</row>
    <row r="107" spans="2:51" x14ac:dyDescent="0.3">
      <c r="B107" s="60"/>
      <c r="C107" s="9"/>
      <c r="D107" s="58"/>
      <c r="E107" s="58"/>
      <c r="F107" s="65"/>
      <c r="G107" s="58"/>
      <c r="H107" s="65"/>
      <c r="I107" s="58"/>
      <c r="J107" s="58"/>
      <c r="K107" s="58"/>
      <c r="L107" s="65"/>
      <c r="M107" s="58"/>
      <c r="N107" s="58"/>
    </row>
    <row r="108" spans="2:51" ht="18.75" customHeight="1" x14ac:dyDescent="0.3">
      <c r="B108" s="1" t="s">
        <v>135</v>
      </c>
      <c r="F108" s="304"/>
      <c r="G108" s="304"/>
      <c r="H108" s="304"/>
      <c r="I108" s="304"/>
      <c r="J108" s="304"/>
      <c r="K108" s="304"/>
      <c r="L108" s="304"/>
      <c r="M108" s="304"/>
      <c r="N108" s="304"/>
      <c r="O108" s="304"/>
      <c r="P108" s="304"/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  <c r="AA108" s="304"/>
      <c r="AB108" s="304"/>
      <c r="AC108" s="304"/>
      <c r="AD108" s="304"/>
      <c r="AE108" s="304"/>
      <c r="AF108" s="304"/>
      <c r="AG108" s="304"/>
      <c r="AH108" s="304"/>
      <c r="AI108" s="304"/>
      <c r="AJ108" s="304"/>
      <c r="AK108" s="304"/>
      <c r="AL108" s="304"/>
      <c r="AM108" s="304"/>
      <c r="AN108" s="304"/>
      <c r="AO108" s="304"/>
      <c r="AP108" s="304"/>
      <c r="AQ108" s="304"/>
      <c r="AR108" s="304"/>
      <c r="AS108" s="304"/>
      <c r="AT108" s="304"/>
      <c r="AU108" s="304"/>
      <c r="AV108" s="304"/>
      <c r="AW108" s="304"/>
      <c r="AX108" s="304"/>
      <c r="AY108" s="304"/>
    </row>
    <row r="109" spans="2:51" ht="13.5" customHeight="1" x14ac:dyDescent="0.3">
      <c r="M109" s="30"/>
      <c r="N109" s="30"/>
      <c r="O109" s="30"/>
      <c r="P109" s="30"/>
      <c r="Q109" s="30" t="s">
        <v>225</v>
      </c>
    </row>
    <row r="110" spans="2:51" ht="28.5" customHeight="1" x14ac:dyDescent="0.3">
      <c r="B110" s="305"/>
      <c r="C110" s="306"/>
      <c r="D110" s="226" t="s">
        <v>35</v>
      </c>
      <c r="E110" s="226" t="s">
        <v>280</v>
      </c>
      <c r="F110" s="226" t="s">
        <v>70</v>
      </c>
      <c r="G110" s="226" t="s">
        <v>16</v>
      </c>
      <c r="H110" s="226" t="s">
        <v>232</v>
      </c>
      <c r="I110" s="226" t="s">
        <v>287</v>
      </c>
      <c r="J110" s="226" t="s">
        <v>32</v>
      </c>
      <c r="K110" s="226" t="s">
        <v>284</v>
      </c>
      <c r="L110" s="226" t="s">
        <v>285</v>
      </c>
      <c r="M110" s="226" t="s">
        <v>288</v>
      </c>
      <c r="N110" s="227" t="s">
        <v>37</v>
      </c>
      <c r="O110" s="227" t="s">
        <v>19</v>
      </c>
      <c r="P110" s="227" t="s">
        <v>289</v>
      </c>
      <c r="Q110" s="227" t="s">
        <v>12</v>
      </c>
    </row>
    <row r="111" spans="2:51" x14ac:dyDescent="0.3">
      <c r="B111" s="292" t="s">
        <v>20</v>
      </c>
      <c r="C111" s="292"/>
      <c r="D111" s="86">
        <v>17.183368539106844</v>
      </c>
      <c r="E111" s="86">
        <v>17.608391662153046</v>
      </c>
      <c r="F111" s="88">
        <v>11.418943953463854</v>
      </c>
      <c r="G111" s="86">
        <v>12.163649739508381</v>
      </c>
      <c r="H111" s="88">
        <v>9.2603941198111901</v>
      </c>
      <c r="I111" s="86">
        <v>6.9970408615199489</v>
      </c>
      <c r="J111" s="86">
        <v>6.6230751798560341</v>
      </c>
      <c r="K111" s="86">
        <v>7.9930826904886692</v>
      </c>
      <c r="L111" s="88">
        <v>7.7336559451157232</v>
      </c>
      <c r="M111" s="86">
        <v>6.0916301909589921</v>
      </c>
      <c r="N111" s="86">
        <v>5.9233044731701252</v>
      </c>
      <c r="O111" s="86">
        <v>7.2640635602332031</v>
      </c>
      <c r="P111" s="86">
        <v>7.5527884263775666</v>
      </c>
      <c r="Q111" s="86">
        <v>10.493205094502358</v>
      </c>
    </row>
    <row r="112" spans="2:51" x14ac:dyDescent="0.3">
      <c r="B112" s="296" t="s">
        <v>5</v>
      </c>
      <c r="C112" s="13" t="s">
        <v>0</v>
      </c>
      <c r="D112" s="84">
        <v>18.554097015084661</v>
      </c>
      <c r="E112" s="84">
        <v>17.014198699078531</v>
      </c>
      <c r="F112" s="89">
        <v>11.592384638168193</v>
      </c>
      <c r="G112" s="84">
        <v>12.535712390465898</v>
      </c>
      <c r="H112" s="89">
        <v>8.8704048119418584</v>
      </c>
      <c r="I112" s="84">
        <v>6.9913382402987532</v>
      </c>
      <c r="J112" s="84">
        <v>6.4259749680441036</v>
      </c>
      <c r="K112" s="84">
        <v>7.6406923396295339</v>
      </c>
      <c r="L112" s="89">
        <v>7.8845938203505028</v>
      </c>
      <c r="M112" s="84">
        <v>6.308078527726722</v>
      </c>
      <c r="N112" s="84">
        <v>6.155056675796323</v>
      </c>
      <c r="O112" s="84">
        <v>7.2961875372034628</v>
      </c>
      <c r="P112" s="84">
        <v>7.8261725109722615</v>
      </c>
      <c r="Q112" s="84">
        <v>7.0389513264576582</v>
      </c>
    </row>
    <row r="113" spans="2:17" x14ac:dyDescent="0.3">
      <c r="B113" s="295"/>
      <c r="C113" s="12" t="s">
        <v>1</v>
      </c>
      <c r="D113" s="90">
        <v>15.182972565659103</v>
      </c>
      <c r="E113" s="90">
        <v>18.43186130110999</v>
      </c>
      <c r="F113" s="90">
        <v>11.174828910308571</v>
      </c>
      <c r="G113" s="90">
        <v>11.509525577710097</v>
      </c>
      <c r="H113" s="90">
        <v>9.774086695102298</v>
      </c>
      <c r="I113" s="90">
        <v>7.0051733431454757</v>
      </c>
      <c r="J113" s="90">
        <v>7.005025996641292</v>
      </c>
      <c r="K113" s="90">
        <v>8.4177312526728265</v>
      </c>
      <c r="L113" s="90">
        <v>7.5580090544310847</v>
      </c>
      <c r="M113" s="90">
        <v>5.8712615915798034</v>
      </c>
      <c r="N113" s="90">
        <v>5.804210805057247</v>
      </c>
      <c r="O113" s="90">
        <v>7.2500670120995947</v>
      </c>
      <c r="P113" s="90">
        <v>7.3552648750592926</v>
      </c>
      <c r="Q113" s="90">
        <v>14.350772518297333</v>
      </c>
    </row>
    <row r="114" spans="2:17" x14ac:dyDescent="0.3">
      <c r="B114" s="296" t="s">
        <v>4</v>
      </c>
      <c r="C114" s="9" t="s">
        <v>175</v>
      </c>
      <c r="D114" s="86">
        <v>14.624387046235109</v>
      </c>
      <c r="E114" s="86">
        <v>16.060332299101788</v>
      </c>
      <c r="F114" s="88">
        <v>13.199461395713541</v>
      </c>
      <c r="G114" s="86">
        <v>13.919772373599846</v>
      </c>
      <c r="H114" s="88">
        <v>8.2613041092240369</v>
      </c>
      <c r="I114" s="86">
        <v>4.8759442789176903</v>
      </c>
      <c r="J114" s="86">
        <v>4.5265773949732289</v>
      </c>
      <c r="K114" s="86">
        <v>6.1139409124696842</v>
      </c>
      <c r="L114" s="88">
        <v>4.2519207650856652</v>
      </c>
      <c r="M114" s="86">
        <v>4.6274904249445745</v>
      </c>
      <c r="N114" s="86">
        <v>4.8</v>
      </c>
      <c r="O114" s="86">
        <v>0</v>
      </c>
      <c r="P114" s="86">
        <v>9.2759016903431863</v>
      </c>
      <c r="Q114" s="86">
        <v>7.1700676436118753</v>
      </c>
    </row>
    <row r="115" spans="2:17" x14ac:dyDescent="0.3">
      <c r="B115" s="292"/>
      <c r="C115" s="9" t="s">
        <v>176</v>
      </c>
      <c r="D115" s="86">
        <v>14.167214554526746</v>
      </c>
      <c r="E115" s="86">
        <v>15.504389025479304</v>
      </c>
      <c r="F115" s="88">
        <v>9.4139007425575691</v>
      </c>
      <c r="G115" s="86">
        <v>9.9623687717436287</v>
      </c>
      <c r="H115" s="88">
        <v>8.0446424616855019</v>
      </c>
      <c r="I115" s="86">
        <v>7.0780046363196769</v>
      </c>
      <c r="J115" s="86">
        <v>6.7954810078133718</v>
      </c>
      <c r="K115" s="86">
        <v>7.7124400919364726</v>
      </c>
      <c r="L115" s="88">
        <v>6.5946733012740717</v>
      </c>
      <c r="M115" s="86">
        <v>5.0868562232074597</v>
      </c>
      <c r="N115" s="86">
        <v>6.5989200180517908</v>
      </c>
      <c r="O115" s="86">
        <v>4.027363029753035</v>
      </c>
      <c r="P115" s="86">
        <v>8.8951696606295219</v>
      </c>
      <c r="Q115" s="86">
        <v>11.731231906930802</v>
      </c>
    </row>
    <row r="116" spans="2:17" x14ac:dyDescent="0.3">
      <c r="B116" s="292"/>
      <c r="C116" s="9" t="s">
        <v>177</v>
      </c>
      <c r="D116" s="86">
        <v>18.933705964386963</v>
      </c>
      <c r="E116" s="86">
        <v>18.891884299298599</v>
      </c>
      <c r="F116" s="88">
        <v>11.577255945776905</v>
      </c>
      <c r="G116" s="86">
        <v>13.29726960648938</v>
      </c>
      <c r="H116" s="88">
        <v>8.2299993231554165</v>
      </c>
      <c r="I116" s="86">
        <v>6.1956458509982673</v>
      </c>
      <c r="J116" s="86">
        <v>6.1602525705279181</v>
      </c>
      <c r="K116" s="86">
        <v>6.137447268089077</v>
      </c>
      <c r="L116" s="88">
        <v>6.0680654035435104</v>
      </c>
      <c r="M116" s="86">
        <v>5.2675324877465428</v>
      </c>
      <c r="N116" s="86">
        <v>6.4853125272237833</v>
      </c>
      <c r="O116" s="86">
        <v>7.9264511103032707</v>
      </c>
      <c r="P116" s="86">
        <v>5.5200368526429227</v>
      </c>
      <c r="Q116" s="86">
        <v>6.0457441170434301</v>
      </c>
    </row>
    <row r="117" spans="2:17" x14ac:dyDescent="0.3">
      <c r="B117" s="292"/>
      <c r="C117" s="9" t="s">
        <v>178</v>
      </c>
      <c r="D117" s="86">
        <v>22.342724693236772</v>
      </c>
      <c r="E117" s="86">
        <v>19.803808494724368</v>
      </c>
      <c r="F117" s="88">
        <v>12.312640247981497</v>
      </c>
      <c r="G117" s="86">
        <v>13.941243003170799</v>
      </c>
      <c r="H117" s="88">
        <v>10.812113676454898</v>
      </c>
      <c r="I117" s="86">
        <v>7.5684634499718406</v>
      </c>
      <c r="J117" s="86">
        <v>7.7116340263714189</v>
      </c>
      <c r="K117" s="86">
        <v>7.9088311330062453</v>
      </c>
      <c r="L117" s="88">
        <v>7.9663739262030449</v>
      </c>
      <c r="M117" s="86">
        <v>6.3210000553511039</v>
      </c>
      <c r="N117" s="86">
        <v>7.1231772127454764</v>
      </c>
      <c r="O117" s="86">
        <v>7.4025502124956626</v>
      </c>
      <c r="P117" s="86">
        <v>6.9718736884351147</v>
      </c>
      <c r="Q117" s="86">
        <v>6.9969601631819414</v>
      </c>
    </row>
    <row r="118" spans="2:17" x14ac:dyDescent="0.3">
      <c r="B118" s="292"/>
      <c r="C118" s="9" t="s">
        <v>179</v>
      </c>
      <c r="D118" s="86">
        <v>17.944951451294195</v>
      </c>
      <c r="E118" s="86">
        <v>18.647855009008321</v>
      </c>
      <c r="F118" s="88">
        <v>11.524174889579667</v>
      </c>
      <c r="G118" s="86">
        <v>12.322443588916315</v>
      </c>
      <c r="H118" s="88">
        <v>9.4619126775826103</v>
      </c>
      <c r="I118" s="86">
        <v>7.1531743021254428</v>
      </c>
      <c r="J118" s="86">
        <v>6.4512841027779242</v>
      </c>
      <c r="K118" s="86">
        <v>9.1459703568444777</v>
      </c>
      <c r="L118" s="88">
        <v>9.0006328127621291</v>
      </c>
      <c r="M118" s="86">
        <v>6.8994495756397818</v>
      </c>
      <c r="N118" s="86">
        <v>5.5432785451417335</v>
      </c>
      <c r="O118" s="86">
        <v>11.068088013247971</v>
      </c>
      <c r="P118" s="86">
        <v>8.3265850404786441</v>
      </c>
      <c r="Q118" s="86">
        <v>17.406897971263987</v>
      </c>
    </row>
    <row r="119" spans="2:17" x14ac:dyDescent="0.3">
      <c r="B119" s="298"/>
      <c r="C119" s="12" t="s">
        <v>180</v>
      </c>
      <c r="D119" s="90">
        <v>13.455077129439688</v>
      </c>
      <c r="E119" s="90">
        <v>14.383370673274239</v>
      </c>
      <c r="F119" s="91">
        <v>12.186233745329735</v>
      </c>
      <c r="G119" s="90">
        <v>11.008707962755306</v>
      </c>
      <c r="H119" s="91">
        <v>9.0864334570713385</v>
      </c>
      <c r="I119" s="90">
        <v>7.2043932882380775</v>
      </c>
      <c r="J119" s="90">
        <v>6.382253638019006</v>
      </c>
      <c r="K119" s="90">
        <v>9.362119539283837</v>
      </c>
      <c r="L119" s="91">
        <v>9.0246249698835665</v>
      </c>
      <c r="M119" s="90">
        <v>6.5566142211329845</v>
      </c>
      <c r="N119" s="90">
        <v>4.44365310924419</v>
      </c>
      <c r="O119" s="90">
        <v>6.8939123353797793</v>
      </c>
      <c r="P119" s="90">
        <v>9.5358706851122985</v>
      </c>
      <c r="Q119" s="90">
        <v>6.6638437952417071</v>
      </c>
    </row>
    <row r="120" spans="2:17" x14ac:dyDescent="0.3">
      <c r="B120" s="292" t="s">
        <v>223</v>
      </c>
      <c r="C120" s="9" t="s">
        <v>210</v>
      </c>
      <c r="D120" s="86">
        <v>15.204717633343941</v>
      </c>
      <c r="E120" s="86">
        <v>15.366020072883421</v>
      </c>
      <c r="F120" s="88">
        <v>15.012798531117308</v>
      </c>
      <c r="G120" s="86">
        <v>17.488210592072221</v>
      </c>
      <c r="H120" s="88">
        <v>8.1596577367062864</v>
      </c>
      <c r="I120" s="86">
        <v>4.2339136618489883</v>
      </c>
      <c r="J120" s="86">
        <v>4.3629710686236303</v>
      </c>
      <c r="K120" s="86">
        <v>5.3014885486297603</v>
      </c>
      <c r="L120" s="88">
        <v>3</v>
      </c>
      <c r="M120" s="86">
        <v>5.7242168207081905</v>
      </c>
      <c r="N120" s="86">
        <v>0</v>
      </c>
      <c r="O120" s="86">
        <v>0</v>
      </c>
      <c r="P120" s="86">
        <v>13.838493654343942</v>
      </c>
      <c r="Q120" s="86">
        <v>7.7301339341201656</v>
      </c>
    </row>
    <row r="121" spans="2:17" x14ac:dyDescent="0.3">
      <c r="B121" s="292"/>
      <c r="C121" s="9" t="s">
        <v>211</v>
      </c>
      <c r="D121" s="86">
        <v>13.130716435832534</v>
      </c>
      <c r="E121" s="86">
        <v>14.09885797049963</v>
      </c>
      <c r="F121" s="88">
        <v>9.4255801425432715</v>
      </c>
      <c r="G121" s="86">
        <v>10.224690451522008</v>
      </c>
      <c r="H121" s="88">
        <v>7.7163142497931707</v>
      </c>
      <c r="I121" s="86">
        <v>7.1228122853875817</v>
      </c>
      <c r="J121" s="86">
        <v>6.796946045023625</v>
      </c>
      <c r="K121" s="86">
        <v>7.4345475748656096</v>
      </c>
      <c r="L121" s="88">
        <v>6.6793104296080203</v>
      </c>
      <c r="M121" s="86">
        <v>5.6331434908212188</v>
      </c>
      <c r="N121" s="86">
        <v>2.9360731386360719</v>
      </c>
      <c r="O121" s="86">
        <v>2.817033995357054</v>
      </c>
      <c r="P121" s="86">
        <v>3.3136961835437497</v>
      </c>
      <c r="Q121" s="86">
        <v>13.686774598991622</v>
      </c>
    </row>
    <row r="122" spans="2:17" x14ac:dyDescent="0.3">
      <c r="B122" s="292"/>
      <c r="C122" s="9" t="s">
        <v>212</v>
      </c>
      <c r="D122" s="86">
        <v>20.615098864831989</v>
      </c>
      <c r="E122" s="86">
        <v>16.841407342590003</v>
      </c>
      <c r="F122" s="88">
        <v>11.877590956689017</v>
      </c>
      <c r="G122" s="86">
        <v>13.926837542281293</v>
      </c>
      <c r="H122" s="88">
        <v>7.5737334296352365</v>
      </c>
      <c r="I122" s="86">
        <v>6.2568123723520053</v>
      </c>
      <c r="J122" s="86">
        <v>5.7994679218389482</v>
      </c>
      <c r="K122" s="86">
        <v>6.4085312832738106</v>
      </c>
      <c r="L122" s="88">
        <v>6.1412192789032449</v>
      </c>
      <c r="M122" s="86">
        <v>5.5225203745963984</v>
      </c>
      <c r="N122" s="86">
        <v>7.7105188475092081</v>
      </c>
      <c r="O122" s="86">
        <v>9.6519603094038988</v>
      </c>
      <c r="P122" s="86">
        <v>6.4364563143581464</v>
      </c>
      <c r="Q122" s="86">
        <v>7.5089731627702552</v>
      </c>
    </row>
    <row r="123" spans="2:17" x14ac:dyDescent="0.3">
      <c r="B123" s="292"/>
      <c r="C123" s="9" t="s">
        <v>213</v>
      </c>
      <c r="D123" s="86">
        <v>20.360522575486691</v>
      </c>
      <c r="E123" s="86">
        <v>19.374190859148694</v>
      </c>
      <c r="F123" s="88">
        <v>13.385087346679928</v>
      </c>
      <c r="G123" s="86">
        <v>14.680660528062964</v>
      </c>
      <c r="H123" s="88">
        <v>10.312531826526627</v>
      </c>
      <c r="I123" s="86">
        <v>7.1758491755110363</v>
      </c>
      <c r="J123" s="86">
        <v>7.1805249752160325</v>
      </c>
      <c r="K123" s="86">
        <v>8.6791325053569324</v>
      </c>
      <c r="L123" s="88">
        <v>8.8730912649635201</v>
      </c>
      <c r="M123" s="86">
        <v>6.2383888187478727</v>
      </c>
      <c r="N123" s="86">
        <v>6.5268739122561836</v>
      </c>
      <c r="O123" s="86">
        <v>7.9465748989166629</v>
      </c>
      <c r="P123" s="86">
        <v>6.8848376128360211</v>
      </c>
      <c r="Q123" s="86">
        <v>8.1904275447194301</v>
      </c>
    </row>
    <row r="124" spans="2:17" x14ac:dyDescent="0.3">
      <c r="B124" s="292"/>
      <c r="C124" s="9" t="s">
        <v>214</v>
      </c>
      <c r="D124" s="86">
        <v>18.189379007328348</v>
      </c>
      <c r="E124" s="86">
        <v>17.584280586505628</v>
      </c>
      <c r="F124" s="88">
        <v>12.175609907135071</v>
      </c>
      <c r="G124" s="86">
        <v>12.061887945683544</v>
      </c>
      <c r="H124" s="88">
        <v>10.151492594261843</v>
      </c>
      <c r="I124" s="86">
        <v>7.1744755529715443</v>
      </c>
      <c r="J124" s="86">
        <v>6.1170273298086482</v>
      </c>
      <c r="K124" s="86">
        <v>6.8763717059075855</v>
      </c>
      <c r="L124" s="88">
        <v>9.3159894125132663</v>
      </c>
      <c r="M124" s="86">
        <v>7.1549136917930074</v>
      </c>
      <c r="N124" s="86">
        <v>5.8565640396534633</v>
      </c>
      <c r="O124" s="86">
        <v>5</v>
      </c>
      <c r="P124" s="86">
        <v>10.577667005271284</v>
      </c>
      <c r="Q124" s="86">
        <v>3.9455268276327002</v>
      </c>
    </row>
    <row r="125" spans="2:17" x14ac:dyDescent="0.3">
      <c r="B125" s="292"/>
      <c r="C125" s="12" t="s">
        <v>215</v>
      </c>
      <c r="D125" s="90">
        <v>21.652237656170673</v>
      </c>
      <c r="E125" s="90">
        <v>15.981618446997294</v>
      </c>
      <c r="F125" s="91">
        <v>10.358579195775413</v>
      </c>
      <c r="G125" s="90">
        <v>11.681395815400867</v>
      </c>
      <c r="H125" s="91">
        <v>7.8101598190220143</v>
      </c>
      <c r="I125" s="90">
        <v>7.7853721363257113</v>
      </c>
      <c r="J125" s="90">
        <v>6.7551889609280042</v>
      </c>
      <c r="K125" s="90">
        <v>9.6495773610415174</v>
      </c>
      <c r="L125" s="91">
        <v>8.2378485154497891</v>
      </c>
      <c r="M125" s="90">
        <v>6.5580113975304899</v>
      </c>
      <c r="N125" s="90">
        <v>7.9281505294315808</v>
      </c>
      <c r="O125" s="90">
        <v>9.8131321963766318</v>
      </c>
      <c r="P125" s="90">
        <v>10.22743929286362</v>
      </c>
      <c r="Q125" s="90">
        <v>3.562446225462498</v>
      </c>
    </row>
    <row r="126" spans="2:17" x14ac:dyDescent="0.3">
      <c r="B126" s="292"/>
      <c r="C126" s="9" t="s">
        <v>216</v>
      </c>
      <c r="D126" s="86">
        <v>13.201907203510169</v>
      </c>
      <c r="E126" s="86">
        <v>16.778056205732494</v>
      </c>
      <c r="F126" s="88">
        <v>8.0736392380558328</v>
      </c>
      <c r="G126" s="86">
        <v>6.3561448898593653</v>
      </c>
      <c r="H126" s="88">
        <v>8.3851798123436296</v>
      </c>
      <c r="I126" s="86">
        <v>5.7085611276601336</v>
      </c>
      <c r="J126" s="86">
        <v>5.064506216118648</v>
      </c>
      <c r="K126" s="86">
        <v>9.2667828114430879</v>
      </c>
      <c r="L126" s="88">
        <v>4.5465100975930737</v>
      </c>
      <c r="M126" s="86">
        <v>3.5409114608494576</v>
      </c>
      <c r="N126" s="86">
        <v>4.8</v>
      </c>
      <c r="O126" s="86">
        <v>0</v>
      </c>
      <c r="P126" s="86">
        <v>3.9259861107298732</v>
      </c>
      <c r="Q126" s="86">
        <v>2.7</v>
      </c>
    </row>
    <row r="127" spans="2:17" x14ac:dyDescent="0.3">
      <c r="B127" s="292"/>
      <c r="C127" s="9" t="s">
        <v>217</v>
      </c>
      <c r="D127" s="86">
        <v>15.606004034065272</v>
      </c>
      <c r="E127" s="86">
        <v>17.846749094969166</v>
      </c>
      <c r="F127" s="88">
        <v>9.3946399403275489</v>
      </c>
      <c r="G127" s="86">
        <v>9.229999913013323</v>
      </c>
      <c r="H127" s="88">
        <v>8.6535063694725611</v>
      </c>
      <c r="I127" s="86">
        <v>6.9913600614498188</v>
      </c>
      <c r="J127" s="86">
        <v>6.7924369383500052</v>
      </c>
      <c r="K127" s="86">
        <v>8.2264233962838151</v>
      </c>
      <c r="L127" s="88">
        <v>6.4787377443559588</v>
      </c>
      <c r="M127" s="86">
        <v>4.4723288567543591</v>
      </c>
      <c r="N127" s="86">
        <v>8.6102192269396802</v>
      </c>
      <c r="O127" s="86">
        <v>4.7100901262856505</v>
      </c>
      <c r="P127" s="86">
        <v>11.799143362635395</v>
      </c>
      <c r="Q127" s="86">
        <v>9.2975018806419261</v>
      </c>
    </row>
    <row r="128" spans="2:17" x14ac:dyDescent="0.3">
      <c r="B128" s="292"/>
      <c r="C128" s="9" t="s">
        <v>218</v>
      </c>
      <c r="D128" s="86">
        <v>14.283041107162704</v>
      </c>
      <c r="E128" s="86">
        <v>23.057230378143633</v>
      </c>
      <c r="F128" s="88">
        <v>11.04610556970724</v>
      </c>
      <c r="G128" s="86">
        <v>12.242069876217199</v>
      </c>
      <c r="H128" s="88">
        <v>9.2675751935582564</v>
      </c>
      <c r="I128" s="86">
        <v>6.1175162859201517</v>
      </c>
      <c r="J128" s="86">
        <v>6.9944197048082852</v>
      </c>
      <c r="K128" s="86">
        <v>5.610422572213607</v>
      </c>
      <c r="L128" s="88">
        <v>5.9488332070113694</v>
      </c>
      <c r="M128" s="86">
        <v>5.0621238308961374</v>
      </c>
      <c r="N128" s="86">
        <v>5.5211862173962434</v>
      </c>
      <c r="O128" s="86">
        <v>7.0168127012122889</v>
      </c>
      <c r="P128" s="86">
        <v>5.157752919819715</v>
      </c>
      <c r="Q128" s="86">
        <v>4.5831289203082317</v>
      </c>
    </row>
    <row r="129" spans="2:17" x14ac:dyDescent="0.3">
      <c r="B129" s="292"/>
      <c r="C129" s="9" t="s">
        <v>219</v>
      </c>
      <c r="D129" s="86">
        <v>25.661727505040055</v>
      </c>
      <c r="E129" s="86">
        <v>20.44240200928159</v>
      </c>
      <c r="F129" s="88">
        <v>11.164850174714127</v>
      </c>
      <c r="G129" s="86">
        <v>13.043713855540505</v>
      </c>
      <c r="H129" s="88">
        <v>11.417752252886922</v>
      </c>
      <c r="I129" s="86">
        <v>8.1351199839487727</v>
      </c>
      <c r="J129" s="86">
        <v>8.6028239344233608</v>
      </c>
      <c r="K129" s="86">
        <v>6.6051881272518491</v>
      </c>
      <c r="L129" s="88">
        <v>7.0018552349868397</v>
      </c>
      <c r="M129" s="86">
        <v>6.3974131105041421</v>
      </c>
      <c r="N129" s="86">
        <v>7.4282942244069163</v>
      </c>
      <c r="O129" s="86">
        <v>7.1712354431865801</v>
      </c>
      <c r="P129" s="86">
        <v>7.0569912111658937</v>
      </c>
      <c r="Q129" s="86">
        <v>4.8436444553539379</v>
      </c>
    </row>
    <row r="130" spans="2:17" x14ac:dyDescent="0.3">
      <c r="B130" s="292"/>
      <c r="C130" s="9" t="s">
        <v>220</v>
      </c>
      <c r="D130" s="86">
        <v>17.5575494949599</v>
      </c>
      <c r="E130" s="86">
        <v>19.949215156647981</v>
      </c>
      <c r="F130" s="88">
        <v>10.713449106300368</v>
      </c>
      <c r="G130" s="86">
        <v>12.798434918772733</v>
      </c>
      <c r="H130" s="88">
        <v>8.7216098515880525</v>
      </c>
      <c r="I130" s="86">
        <v>7.123755322627912</v>
      </c>
      <c r="J130" s="86">
        <v>7.2011811405785657</v>
      </c>
      <c r="K130" s="86">
        <v>10.029686141469689</v>
      </c>
      <c r="L130" s="88">
        <v>8.7023756519746946</v>
      </c>
      <c r="M130" s="86">
        <v>6.6135292679352773</v>
      </c>
      <c r="N130" s="86">
        <v>5.3829927242883295</v>
      </c>
      <c r="O130" s="86">
        <v>12.149082272681783</v>
      </c>
      <c r="P130" s="86">
        <v>5.9568164107435084</v>
      </c>
      <c r="Q130" s="86">
        <v>24.691838538285786</v>
      </c>
    </row>
    <row r="131" spans="2:17" x14ac:dyDescent="0.3">
      <c r="B131" s="295"/>
      <c r="C131" s="9" t="s">
        <v>221</v>
      </c>
      <c r="D131" s="90">
        <v>8.3183014694128445</v>
      </c>
      <c r="E131" s="90">
        <v>12.805972775040084</v>
      </c>
      <c r="F131" s="91">
        <v>14.682210808798208</v>
      </c>
      <c r="G131" s="90">
        <v>10.057121911388764</v>
      </c>
      <c r="H131" s="91">
        <v>10.556131369827641</v>
      </c>
      <c r="I131" s="90">
        <v>6.4326614460108713</v>
      </c>
      <c r="J131" s="90">
        <v>5.8233471293951853</v>
      </c>
      <c r="K131" s="90">
        <v>9.0960667530939325</v>
      </c>
      <c r="L131" s="91">
        <v>10.139977982548038</v>
      </c>
      <c r="M131" s="90">
        <v>6.5549194942174225</v>
      </c>
      <c r="N131" s="90">
        <v>3.046625416029431</v>
      </c>
      <c r="O131" s="90">
        <v>5.636394744145524</v>
      </c>
      <c r="P131" s="90">
        <v>9.16561002878308</v>
      </c>
      <c r="Q131" s="90">
        <v>8.742363131574221</v>
      </c>
    </row>
    <row r="132" spans="2:17" ht="16.5" customHeight="1" x14ac:dyDescent="0.3">
      <c r="B132" s="291" t="s">
        <v>222</v>
      </c>
      <c r="C132" s="13" t="s">
        <v>226</v>
      </c>
      <c r="D132" s="80">
        <v>10.929499855655934</v>
      </c>
      <c r="E132" s="80">
        <v>14.626647299640984</v>
      </c>
      <c r="F132" s="80">
        <v>9.6959806379399218</v>
      </c>
      <c r="G132" s="80">
        <v>11.429680206230382</v>
      </c>
      <c r="H132" s="80">
        <v>8.0256340817459808</v>
      </c>
      <c r="I132" s="80">
        <v>6.1796185732909104</v>
      </c>
      <c r="J132" s="80">
        <v>5.338409302477003</v>
      </c>
      <c r="K132" s="80">
        <v>5.6853585292877682</v>
      </c>
      <c r="L132" s="80">
        <v>4.7195837429776191</v>
      </c>
      <c r="M132" s="80">
        <v>5.1332290691407305</v>
      </c>
      <c r="N132" s="80">
        <v>4.028760060760705</v>
      </c>
      <c r="O132" s="80">
        <v>6.9863144227868217</v>
      </c>
      <c r="P132" s="80">
        <v>5.7640026100895332</v>
      </c>
      <c r="Q132" s="80">
        <v>7.1486998331877629</v>
      </c>
    </row>
    <row r="133" spans="2:17" ht="16.5" customHeight="1" x14ac:dyDescent="0.3">
      <c r="B133" s="294"/>
      <c r="C133" s="9" t="s">
        <v>227</v>
      </c>
      <c r="D133" s="79">
        <v>18.468221756950129</v>
      </c>
      <c r="E133" s="79">
        <v>15.305598607680288</v>
      </c>
      <c r="F133" s="79">
        <v>10.400931127090789</v>
      </c>
      <c r="G133" s="79">
        <v>10.445249547348029</v>
      </c>
      <c r="H133" s="79">
        <v>8.8548485108528521</v>
      </c>
      <c r="I133" s="79">
        <v>6.082416628544018</v>
      </c>
      <c r="J133" s="79">
        <v>5.9152351186300711</v>
      </c>
      <c r="K133" s="79">
        <v>7.0650172794895383</v>
      </c>
      <c r="L133" s="79">
        <v>5.8178724958406312</v>
      </c>
      <c r="M133" s="79">
        <v>5.425237096782439</v>
      </c>
      <c r="N133" s="79">
        <v>6.1829001992497368</v>
      </c>
      <c r="O133" s="79">
        <v>6.6996999830314792</v>
      </c>
      <c r="P133" s="79">
        <v>6.8142058462977113</v>
      </c>
      <c r="Q133" s="79">
        <v>7.4077543991861825</v>
      </c>
    </row>
    <row r="134" spans="2:17" ht="16.5" customHeight="1" x14ac:dyDescent="0.3">
      <c r="B134" s="292"/>
      <c r="C134" s="9" t="s">
        <v>228</v>
      </c>
      <c r="D134" s="79">
        <v>17.49149824870257</v>
      </c>
      <c r="E134" s="79">
        <v>17.838955268212452</v>
      </c>
      <c r="F134" s="79">
        <v>11.48062745096038</v>
      </c>
      <c r="G134" s="79">
        <v>11.779091243480426</v>
      </c>
      <c r="H134" s="79">
        <v>8.9007808485537954</v>
      </c>
      <c r="I134" s="79">
        <v>7.2421861593687575</v>
      </c>
      <c r="J134" s="79">
        <v>7.0449749024011723</v>
      </c>
      <c r="K134" s="79">
        <v>7.4989464075236398</v>
      </c>
      <c r="L134" s="79">
        <v>9.2112824855343263</v>
      </c>
      <c r="M134" s="79">
        <v>6.5303985450069</v>
      </c>
      <c r="N134" s="79">
        <v>6.1454650730339946</v>
      </c>
      <c r="O134" s="79">
        <v>6.586526571864348</v>
      </c>
      <c r="P134" s="79">
        <v>7.1629887451698044</v>
      </c>
      <c r="Q134" s="79">
        <v>7.0552791070757017</v>
      </c>
    </row>
    <row r="135" spans="2:17" ht="16.5" customHeight="1" x14ac:dyDescent="0.3">
      <c r="B135" s="295"/>
      <c r="C135" s="12" t="s">
        <v>229</v>
      </c>
      <c r="D135" s="81">
        <v>20.233926306832885</v>
      </c>
      <c r="E135" s="81">
        <v>21.733178426470687</v>
      </c>
      <c r="F135" s="81">
        <v>13.640667452097405</v>
      </c>
      <c r="G135" s="81">
        <v>15.735570272878499</v>
      </c>
      <c r="H135" s="81">
        <v>10.855564446863896</v>
      </c>
      <c r="I135" s="81">
        <v>8.2563228770856476</v>
      </c>
      <c r="J135" s="81">
        <v>7.7301681839082219</v>
      </c>
      <c r="K135" s="81">
        <v>11.013972587701018</v>
      </c>
      <c r="L135" s="81">
        <v>9.7609314341182216</v>
      </c>
      <c r="M135" s="81">
        <v>6.8975852063892162</v>
      </c>
      <c r="N135" s="81">
        <v>6.6149098423630246</v>
      </c>
      <c r="O135" s="81">
        <v>9.5866174425873361</v>
      </c>
      <c r="P135" s="81">
        <v>9.6184849529835397</v>
      </c>
      <c r="Q135" s="81">
        <v>19.177174018822818</v>
      </c>
    </row>
    <row r="136" spans="2:17" x14ac:dyDescent="0.3">
      <c r="B136" s="296" t="s">
        <v>199</v>
      </c>
      <c r="C136" s="13" t="s">
        <v>192</v>
      </c>
      <c r="D136" s="80">
        <v>19.342482355142</v>
      </c>
      <c r="E136" s="80">
        <v>18.69024438478808</v>
      </c>
      <c r="F136" s="80">
        <v>11.719119485384049</v>
      </c>
      <c r="G136" s="80">
        <v>12.034134388892454</v>
      </c>
      <c r="H136" s="80">
        <v>8.5469091943812128</v>
      </c>
      <c r="I136" s="80">
        <v>6.9986464391203933</v>
      </c>
      <c r="J136" s="80">
        <v>6.827878770610476</v>
      </c>
      <c r="K136" s="80">
        <v>7.909984124989446</v>
      </c>
      <c r="L136" s="80">
        <v>8.3533061904554273</v>
      </c>
      <c r="M136" s="80">
        <v>6.1689449657191071</v>
      </c>
      <c r="N136" s="80">
        <v>6.6779151908155585</v>
      </c>
      <c r="O136" s="80">
        <v>7.6093937232850708</v>
      </c>
      <c r="P136" s="80">
        <v>6.7749646331690263</v>
      </c>
      <c r="Q136" s="80">
        <v>6.2919591413325344</v>
      </c>
    </row>
    <row r="137" spans="2:17" x14ac:dyDescent="0.3">
      <c r="B137" s="292"/>
      <c r="C137" s="9" t="s">
        <v>200</v>
      </c>
      <c r="D137" s="79">
        <v>22.727743381882178</v>
      </c>
      <c r="E137" s="79">
        <v>18.749214010776242</v>
      </c>
      <c r="F137" s="79">
        <v>9.7374813439130037</v>
      </c>
      <c r="G137" s="79">
        <v>11.300148440467277</v>
      </c>
      <c r="H137" s="79">
        <v>8.8556392225014697</v>
      </c>
      <c r="I137" s="79">
        <v>7.8619117518741275</v>
      </c>
      <c r="J137" s="79">
        <v>6.4610207336475547</v>
      </c>
      <c r="K137" s="79">
        <v>10.270290413333534</v>
      </c>
      <c r="L137" s="79">
        <v>9.6623402781892302</v>
      </c>
      <c r="M137" s="79">
        <v>5.3637074536367795</v>
      </c>
      <c r="N137" s="79">
        <v>9.6638591580103643</v>
      </c>
      <c r="O137" s="79">
        <v>7.1297333636144504</v>
      </c>
      <c r="P137" s="79">
        <v>10.291586864273384</v>
      </c>
      <c r="Q137" s="79">
        <v>74.68644663393269</v>
      </c>
    </row>
    <row r="138" spans="2:17" x14ac:dyDescent="0.3">
      <c r="B138" s="292"/>
      <c r="C138" s="9" t="s">
        <v>201</v>
      </c>
      <c r="D138" s="79">
        <v>19.451406488682164</v>
      </c>
      <c r="E138" s="79">
        <v>18.586070894305021</v>
      </c>
      <c r="F138" s="79">
        <v>11.426932660893899</v>
      </c>
      <c r="G138" s="79">
        <v>12.43484087233125</v>
      </c>
      <c r="H138" s="79">
        <v>10.974369199339641</v>
      </c>
      <c r="I138" s="79">
        <v>6.4943314836849977</v>
      </c>
      <c r="J138" s="79">
        <v>6.5273606532125195</v>
      </c>
      <c r="K138" s="79">
        <v>8.9966048475114082</v>
      </c>
      <c r="L138" s="79">
        <v>6.3052967291999673</v>
      </c>
      <c r="M138" s="79">
        <v>5.7865863755328606</v>
      </c>
      <c r="N138" s="79">
        <v>4.66484406250399</v>
      </c>
      <c r="O138" s="79">
        <v>6.7509620983321872</v>
      </c>
      <c r="P138" s="79">
        <v>11.882069413216648</v>
      </c>
      <c r="Q138" s="79">
        <v>7.8835449082327864</v>
      </c>
    </row>
    <row r="139" spans="2:17" x14ac:dyDescent="0.3">
      <c r="B139" s="292"/>
      <c r="C139" s="9" t="s">
        <v>202</v>
      </c>
      <c r="D139" s="79">
        <v>14.569358731585426</v>
      </c>
      <c r="E139" s="79">
        <v>15.475923122389499</v>
      </c>
      <c r="F139" s="79">
        <v>12.267361257700713</v>
      </c>
      <c r="G139" s="79">
        <v>10.376266244937625</v>
      </c>
      <c r="H139" s="79">
        <v>9.0583429336143482</v>
      </c>
      <c r="I139" s="79">
        <v>7.3335034958940355</v>
      </c>
      <c r="J139" s="79">
        <v>7.4056204940969579</v>
      </c>
      <c r="K139" s="79">
        <v>7.6863295399980549</v>
      </c>
      <c r="L139" s="79">
        <v>5.8401103943791917</v>
      </c>
      <c r="M139" s="79">
        <v>6.7534499600870017</v>
      </c>
      <c r="N139" s="79">
        <v>6.6297780735507157</v>
      </c>
      <c r="O139" s="79">
        <v>8.5449275569171927</v>
      </c>
      <c r="P139" s="79">
        <v>9.0265629408573353</v>
      </c>
      <c r="Q139" s="79">
        <v>5.2531915167987719</v>
      </c>
    </row>
    <row r="140" spans="2:17" ht="16.5" customHeight="1" x14ac:dyDescent="0.3">
      <c r="B140" s="295"/>
      <c r="C140" s="12" t="s">
        <v>203</v>
      </c>
      <c r="D140" s="81">
        <v>11.532066516177439</v>
      </c>
      <c r="E140" s="81">
        <v>15.309920885895975</v>
      </c>
      <c r="F140" s="81">
        <v>10.727009073760932</v>
      </c>
      <c r="G140" s="81">
        <v>13.015878352206803</v>
      </c>
      <c r="H140" s="81">
        <v>10.535231413333969</v>
      </c>
      <c r="I140" s="81">
        <v>6.9798839337543894</v>
      </c>
      <c r="J140" s="81">
        <v>5.8711777845594257</v>
      </c>
      <c r="K140" s="81">
        <v>7.4473406892057099</v>
      </c>
      <c r="L140" s="81">
        <v>6.7690959057763536</v>
      </c>
      <c r="M140" s="81">
        <v>5.9386712880122579</v>
      </c>
      <c r="N140" s="81">
        <v>4.720700579368887</v>
      </c>
      <c r="O140" s="81">
        <v>5.8244002470000469</v>
      </c>
      <c r="P140" s="81">
        <v>6.8224429284348496</v>
      </c>
      <c r="Q140" s="81">
        <v>10.897695114871942</v>
      </c>
    </row>
    <row r="141" spans="2:17" x14ac:dyDescent="0.3">
      <c r="B141" s="291" t="s">
        <v>204</v>
      </c>
      <c r="C141" s="13" t="s">
        <v>192</v>
      </c>
      <c r="D141" s="80">
        <v>19.342482355142</v>
      </c>
      <c r="E141" s="80">
        <v>18.69024438478808</v>
      </c>
      <c r="F141" s="80">
        <v>11.719119485384049</v>
      </c>
      <c r="G141" s="80">
        <v>12.034134388892454</v>
      </c>
      <c r="H141" s="80">
        <v>8.5469091943812128</v>
      </c>
      <c r="I141" s="80">
        <v>6.9986464391203933</v>
      </c>
      <c r="J141" s="80">
        <v>6.827878770610476</v>
      </c>
      <c r="K141" s="80">
        <v>7.909984124989446</v>
      </c>
      <c r="L141" s="80">
        <v>8.3533061904554273</v>
      </c>
      <c r="M141" s="80">
        <v>6.1689449657191071</v>
      </c>
      <c r="N141" s="80">
        <v>6.6779151908155585</v>
      </c>
      <c r="O141" s="80">
        <v>7.6093937232850708</v>
      </c>
      <c r="P141" s="80">
        <v>6.7749646331690263</v>
      </c>
      <c r="Q141" s="80">
        <v>6.2919591413325344</v>
      </c>
    </row>
    <row r="142" spans="2:17" x14ac:dyDescent="0.3">
      <c r="B142" s="295"/>
      <c r="C142" s="12" t="s">
        <v>193</v>
      </c>
      <c r="D142" s="81">
        <v>14.257993702806603</v>
      </c>
      <c r="E142" s="81">
        <v>16.355624255172359</v>
      </c>
      <c r="F142" s="81">
        <v>11.053249586237174</v>
      </c>
      <c r="G142" s="81">
        <v>12.332130976020423</v>
      </c>
      <c r="H142" s="81">
        <v>10.241300197662019</v>
      </c>
      <c r="I142" s="81">
        <v>6.995172007367664</v>
      </c>
      <c r="J142" s="81">
        <v>6.388134760861778</v>
      </c>
      <c r="K142" s="81">
        <v>8.1264481514144169</v>
      </c>
      <c r="L142" s="81">
        <v>6.8174665605296383</v>
      </c>
      <c r="M142" s="81">
        <v>6.0003579957506554</v>
      </c>
      <c r="N142" s="81">
        <v>5.2278615861634972</v>
      </c>
      <c r="O142" s="81">
        <v>6.8262463325292755</v>
      </c>
      <c r="P142" s="81">
        <v>8.4300167911289385</v>
      </c>
      <c r="Q142" s="81">
        <v>14.974939011579556</v>
      </c>
    </row>
    <row r="143" spans="2:17" x14ac:dyDescent="0.3">
      <c r="B143" s="291" t="s">
        <v>209</v>
      </c>
      <c r="C143" s="13" t="s">
        <v>205</v>
      </c>
      <c r="D143" s="80">
        <v>19.219265175618943</v>
      </c>
      <c r="E143" s="80">
        <v>14.201486496986654</v>
      </c>
      <c r="F143" s="80">
        <v>10.328918616503831</v>
      </c>
      <c r="G143" s="80">
        <v>10.839643752417597</v>
      </c>
      <c r="H143" s="80">
        <v>8.0551930989382985</v>
      </c>
      <c r="I143" s="80">
        <v>5.7686684913863537</v>
      </c>
      <c r="J143" s="80">
        <v>5.5924683106328601</v>
      </c>
      <c r="K143" s="80">
        <v>6.5313137115537288</v>
      </c>
      <c r="L143" s="80">
        <v>5.3938404887312892</v>
      </c>
      <c r="M143" s="80">
        <v>4.9724159939676538</v>
      </c>
      <c r="N143" s="80">
        <v>7.1553307335569318</v>
      </c>
      <c r="O143" s="80">
        <v>6.528051239672588</v>
      </c>
      <c r="P143" s="80">
        <v>6.1404095553574525</v>
      </c>
      <c r="Q143" s="80">
        <v>7.9520278571721299</v>
      </c>
    </row>
    <row r="144" spans="2:17" x14ac:dyDescent="0.3">
      <c r="B144" s="292"/>
      <c r="C144" s="9" t="s">
        <v>206</v>
      </c>
      <c r="D144" s="79">
        <v>14.473906944686519</v>
      </c>
      <c r="E144" s="79">
        <v>17.309787518608584</v>
      </c>
      <c r="F144" s="79">
        <v>11.447369209271917</v>
      </c>
      <c r="G144" s="79">
        <v>13.240136768622349</v>
      </c>
      <c r="H144" s="79">
        <v>10.127470535179453</v>
      </c>
      <c r="I144" s="79">
        <v>7.1230608568751448</v>
      </c>
      <c r="J144" s="79">
        <v>6.0456187233779035</v>
      </c>
      <c r="K144" s="79">
        <v>6.4494289082244087</v>
      </c>
      <c r="L144" s="79">
        <v>6.2417271616139107</v>
      </c>
      <c r="M144" s="79">
        <v>5.7460868563898142</v>
      </c>
      <c r="N144" s="79">
        <v>5.2904974862652185</v>
      </c>
      <c r="O144" s="79">
        <v>9.9165798563761651</v>
      </c>
      <c r="P144" s="79">
        <v>6.9199931448936534</v>
      </c>
      <c r="Q144" s="79">
        <v>6.6030321313789688</v>
      </c>
    </row>
    <row r="145" spans="2:21" x14ac:dyDescent="0.3">
      <c r="B145" s="292"/>
      <c r="C145" s="9" t="s">
        <v>207</v>
      </c>
      <c r="D145" s="79">
        <v>18.520994630360384</v>
      </c>
      <c r="E145" s="79">
        <v>19.287116417268617</v>
      </c>
      <c r="F145" s="79">
        <v>11.406100265153549</v>
      </c>
      <c r="G145" s="79">
        <v>11.013660073689907</v>
      </c>
      <c r="H145" s="79">
        <v>8.6807068372445979</v>
      </c>
      <c r="I145" s="79">
        <v>7.3804414241206659</v>
      </c>
      <c r="J145" s="79">
        <v>7.4107861602423633</v>
      </c>
      <c r="K145" s="79">
        <v>8.4286072839048423</v>
      </c>
      <c r="L145" s="79">
        <v>8.5675828608406945</v>
      </c>
      <c r="M145" s="79">
        <v>6.9545087337299423</v>
      </c>
      <c r="N145" s="79">
        <v>5.2294424475301575</v>
      </c>
      <c r="O145" s="79">
        <v>6.4020216483176551</v>
      </c>
      <c r="P145" s="79">
        <v>6.4785459028849193</v>
      </c>
      <c r="Q145" s="79">
        <v>33.759855986064252</v>
      </c>
    </row>
    <row r="146" spans="2:21" x14ac:dyDescent="0.3">
      <c r="B146" s="293"/>
      <c r="C146" s="25" t="s">
        <v>208</v>
      </c>
      <c r="D146" s="82">
        <v>16.586157394987403</v>
      </c>
      <c r="E146" s="82">
        <v>17.327273410118433</v>
      </c>
      <c r="F146" s="82">
        <v>11.863257341054275</v>
      </c>
      <c r="G146" s="82">
        <v>13.227677656729426</v>
      </c>
      <c r="H146" s="82">
        <v>9.7979370192472004</v>
      </c>
      <c r="I146" s="82">
        <v>6.9839812946010209</v>
      </c>
      <c r="J146" s="82">
        <v>6.505003265313146</v>
      </c>
      <c r="K146" s="82">
        <v>8.6338692388829426</v>
      </c>
      <c r="L146" s="82">
        <v>8.038915256058484</v>
      </c>
      <c r="M146" s="82">
        <v>5.7988892661653368</v>
      </c>
      <c r="N146" s="82">
        <v>6.2309174558134064</v>
      </c>
      <c r="O146" s="82">
        <v>6.9665383472202729</v>
      </c>
      <c r="P146" s="82">
        <v>8.9959117099626997</v>
      </c>
      <c r="Q146" s="82">
        <v>6.1258017197466792</v>
      </c>
    </row>
    <row r="147" spans="2:21" x14ac:dyDescent="0.3">
      <c r="B147" s="60"/>
      <c r="C147" s="9"/>
      <c r="D147" s="58"/>
      <c r="E147" s="58"/>
      <c r="F147" s="50"/>
      <c r="G147" s="58"/>
      <c r="H147" s="50"/>
      <c r="I147" s="58"/>
      <c r="J147" s="58"/>
      <c r="K147" s="58"/>
      <c r="L147" s="50"/>
      <c r="M147" s="58"/>
      <c r="N147" s="58"/>
    </row>
    <row r="148" spans="2:21" x14ac:dyDescent="0.3">
      <c r="B148" s="60"/>
      <c r="C148" s="9"/>
      <c r="D148" s="58"/>
      <c r="E148" s="58"/>
      <c r="F148" s="50"/>
      <c r="G148" s="58"/>
      <c r="H148" s="50"/>
      <c r="I148" s="58"/>
      <c r="J148" s="58"/>
      <c r="K148" s="58"/>
      <c r="L148" s="50"/>
      <c r="M148" s="58"/>
      <c r="N148" s="58"/>
    </row>
    <row r="149" spans="2:21" ht="17.25" customHeight="1" x14ac:dyDescent="0.3">
      <c r="B149" s="1" t="s">
        <v>487</v>
      </c>
      <c r="D149" s="59"/>
      <c r="E149" s="59"/>
      <c r="F149" s="304"/>
      <c r="G149" s="304"/>
      <c r="H149" s="304"/>
      <c r="I149" s="304"/>
      <c r="J149" s="304"/>
      <c r="K149" s="304"/>
      <c r="L149" s="304"/>
      <c r="M149" s="304"/>
      <c r="N149" s="304"/>
      <c r="O149" s="304"/>
      <c r="P149" s="304"/>
      <c r="Q149" s="304"/>
      <c r="R149" s="304"/>
      <c r="S149" s="304"/>
      <c r="T149" s="304"/>
      <c r="U149" s="304"/>
    </row>
    <row r="150" spans="2:21" ht="10.5" customHeight="1" x14ac:dyDescent="0.3"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30"/>
      <c r="P150" s="30"/>
      <c r="Q150" s="30" t="s">
        <v>52</v>
      </c>
    </row>
    <row r="151" spans="2:21" s="22" customFormat="1" ht="20.25" customHeight="1" x14ac:dyDescent="0.3">
      <c r="B151" s="307"/>
      <c r="C151" s="307"/>
      <c r="D151" s="300" t="s">
        <v>120</v>
      </c>
      <c r="E151" s="300"/>
      <c r="F151" s="300"/>
      <c r="G151" s="300"/>
      <c r="H151" s="300"/>
      <c r="I151" s="300"/>
      <c r="J151" s="301"/>
      <c r="K151" s="299" t="s">
        <v>125</v>
      </c>
      <c r="L151" s="300"/>
      <c r="M151" s="300"/>
      <c r="N151" s="300"/>
      <c r="O151" s="300"/>
      <c r="P151" s="301"/>
      <c r="Q151" s="212" t="s">
        <v>38</v>
      </c>
    </row>
    <row r="152" spans="2:21" s="22" customFormat="1" ht="27" x14ac:dyDescent="0.3">
      <c r="B152" s="300"/>
      <c r="C152" s="300"/>
      <c r="D152" s="202" t="s">
        <v>39</v>
      </c>
      <c r="E152" s="202" t="s">
        <v>40</v>
      </c>
      <c r="F152" s="202" t="s">
        <v>116</v>
      </c>
      <c r="G152" s="202" t="s">
        <v>117</v>
      </c>
      <c r="H152" s="202" t="s">
        <v>115</v>
      </c>
      <c r="I152" s="202" t="s">
        <v>119</v>
      </c>
      <c r="J152" s="202" t="s">
        <v>300</v>
      </c>
      <c r="K152" s="214" t="s">
        <v>298</v>
      </c>
      <c r="L152" s="202" t="s">
        <v>299</v>
      </c>
      <c r="M152" s="202" t="s">
        <v>121</v>
      </c>
      <c r="N152" s="202" t="s">
        <v>118</v>
      </c>
      <c r="O152" s="202" t="s">
        <v>122</v>
      </c>
      <c r="P152" s="202" t="s">
        <v>124</v>
      </c>
      <c r="Q152" s="214" t="s">
        <v>38</v>
      </c>
    </row>
    <row r="153" spans="2:21" ht="21.75" customHeight="1" x14ac:dyDescent="0.3">
      <c r="B153" s="292" t="s">
        <v>20</v>
      </c>
      <c r="C153" s="292"/>
      <c r="D153" s="86">
        <v>19.332579212125154</v>
      </c>
      <c r="E153" s="86">
        <v>11.662492896550814</v>
      </c>
      <c r="F153" s="88">
        <v>14.151995697642661</v>
      </c>
      <c r="G153" s="88">
        <v>8.8752049569453746</v>
      </c>
      <c r="H153" s="88">
        <v>15.950846892793939</v>
      </c>
      <c r="I153" s="86">
        <v>0.89759815052703573</v>
      </c>
      <c r="J153" s="86">
        <v>1.1437230234369369</v>
      </c>
      <c r="K153" s="92">
        <v>6.71102756707411</v>
      </c>
      <c r="L153" s="86">
        <v>4.1912899963927543</v>
      </c>
      <c r="M153" s="88">
        <v>2.8714987976726407</v>
      </c>
      <c r="N153" s="86">
        <v>12.258674049198804</v>
      </c>
      <c r="O153" s="86">
        <v>0.99246433271311729</v>
      </c>
      <c r="P153" s="86">
        <v>0.662333486035383</v>
      </c>
      <c r="Q153" s="92">
        <v>0.29827094089093498</v>
      </c>
    </row>
    <row r="154" spans="2:21" x14ac:dyDescent="0.3">
      <c r="B154" s="296" t="s">
        <v>5</v>
      </c>
      <c r="C154" s="13" t="s">
        <v>0</v>
      </c>
      <c r="D154" s="84">
        <v>19.103331955778746</v>
      </c>
      <c r="E154" s="84">
        <v>10.984408881669388</v>
      </c>
      <c r="F154" s="89">
        <v>13.312225077326087</v>
      </c>
      <c r="G154" s="89">
        <v>9.9132493583773389</v>
      </c>
      <c r="H154" s="89">
        <v>16.893302400316614</v>
      </c>
      <c r="I154" s="84">
        <v>0.90181167039365984</v>
      </c>
      <c r="J154" s="84">
        <v>1.2921457602567852</v>
      </c>
      <c r="K154" s="93">
        <v>6.1343996921795503</v>
      </c>
      <c r="L154" s="84">
        <v>3.0521374764033609</v>
      </c>
      <c r="M154" s="89">
        <v>2.4435055339035254</v>
      </c>
      <c r="N154" s="84">
        <v>14.152498146130057</v>
      </c>
      <c r="O154" s="84">
        <v>0.79297551292303436</v>
      </c>
      <c r="P154" s="84">
        <v>0.65067754566593494</v>
      </c>
      <c r="Q154" s="93">
        <v>0.37333098867568731</v>
      </c>
    </row>
    <row r="155" spans="2:21" x14ac:dyDescent="0.3">
      <c r="B155" s="295"/>
      <c r="C155" s="12" t="s">
        <v>1</v>
      </c>
      <c r="D155" s="90">
        <v>19.691276800116476</v>
      </c>
      <c r="E155" s="90">
        <v>12.723474408259086</v>
      </c>
      <c r="F155" s="91">
        <v>15.465964295453494</v>
      </c>
      <c r="G155" s="91">
        <v>7.2510022120330575</v>
      </c>
      <c r="H155" s="91">
        <v>14.476209757653727</v>
      </c>
      <c r="I155" s="90">
        <v>0.89100535880861853</v>
      </c>
      <c r="J155" s="90">
        <v>0.91148958889633169</v>
      </c>
      <c r="K155" s="94">
        <v>7.6132631322433264</v>
      </c>
      <c r="L155" s="90">
        <v>5.9736941472057961</v>
      </c>
      <c r="M155" s="91">
        <v>3.541169413745366</v>
      </c>
      <c r="N155" s="90">
        <v>9.2954536971853869</v>
      </c>
      <c r="O155" s="90">
        <v>1.3045996211799762</v>
      </c>
      <c r="P155" s="90">
        <v>0.68057125150714715</v>
      </c>
      <c r="Q155" s="94">
        <v>0.18082631571202504</v>
      </c>
    </row>
    <row r="156" spans="2:21" x14ac:dyDescent="0.3">
      <c r="B156" s="296" t="s">
        <v>4</v>
      </c>
      <c r="C156" s="9" t="s">
        <v>175</v>
      </c>
      <c r="D156" s="86">
        <v>32.939370708249697</v>
      </c>
      <c r="E156" s="86">
        <v>7.9914430910022105</v>
      </c>
      <c r="F156" s="88">
        <v>13.934973711560867</v>
      </c>
      <c r="G156" s="88">
        <v>5.1145171185320875</v>
      </c>
      <c r="H156" s="88">
        <v>7.707324393308963</v>
      </c>
      <c r="I156" s="86">
        <v>3.0501950558007729</v>
      </c>
      <c r="J156" s="86">
        <v>0</v>
      </c>
      <c r="K156" s="92">
        <v>12.85437837750252</v>
      </c>
      <c r="L156" s="86">
        <v>1.8115385707843947</v>
      </c>
      <c r="M156" s="88">
        <v>5.6355246691775527</v>
      </c>
      <c r="N156" s="86">
        <v>5.1044646441383135</v>
      </c>
      <c r="O156" s="86">
        <v>0</v>
      </c>
      <c r="P156" s="86">
        <v>2.8041550870088074</v>
      </c>
      <c r="Q156" s="92">
        <v>1.0521145729338397</v>
      </c>
    </row>
    <row r="157" spans="2:21" x14ac:dyDescent="0.3">
      <c r="B157" s="292"/>
      <c r="C157" s="9" t="s">
        <v>176</v>
      </c>
      <c r="D157" s="86">
        <v>22.643953161321235</v>
      </c>
      <c r="E157" s="86">
        <v>11.12555764623853</v>
      </c>
      <c r="F157" s="88">
        <v>21.81930818274904</v>
      </c>
      <c r="G157" s="88">
        <v>5.8951312099992608</v>
      </c>
      <c r="H157" s="88">
        <v>8.0560331448558404</v>
      </c>
      <c r="I157" s="86">
        <v>1.0056387822299275</v>
      </c>
      <c r="J157" s="86">
        <v>1.3340336398794543</v>
      </c>
      <c r="K157" s="92">
        <v>11.949061877781416</v>
      </c>
      <c r="L157" s="86">
        <v>6.4032667708660851</v>
      </c>
      <c r="M157" s="88">
        <v>1.2127857999483598</v>
      </c>
      <c r="N157" s="86">
        <v>6.5087358379466327</v>
      </c>
      <c r="O157" s="86">
        <v>0.72184273259648546</v>
      </c>
      <c r="P157" s="86">
        <v>0.87581129275683589</v>
      </c>
      <c r="Q157" s="92">
        <v>0.44883992083070512</v>
      </c>
    </row>
    <row r="158" spans="2:21" x14ac:dyDescent="0.3">
      <c r="B158" s="292"/>
      <c r="C158" s="9" t="s">
        <v>177</v>
      </c>
      <c r="D158" s="86">
        <v>15.805600959012004</v>
      </c>
      <c r="E158" s="86">
        <v>14.963981658113584</v>
      </c>
      <c r="F158" s="88">
        <v>15.838261702860109</v>
      </c>
      <c r="G158" s="88">
        <v>6.0006071929023896</v>
      </c>
      <c r="H158" s="88">
        <v>15.599785210560901</v>
      </c>
      <c r="I158" s="86">
        <v>1.1770004587750669</v>
      </c>
      <c r="J158" s="86">
        <v>1.3547931719360551</v>
      </c>
      <c r="K158" s="92">
        <v>8.6690191809141091</v>
      </c>
      <c r="L158" s="86">
        <v>4.660659784446147</v>
      </c>
      <c r="M158" s="88">
        <v>2.0943334911094351</v>
      </c>
      <c r="N158" s="86">
        <v>12.864602174251246</v>
      </c>
      <c r="O158" s="86">
        <v>0.22686590646979499</v>
      </c>
      <c r="P158" s="86">
        <v>0.74448910864948226</v>
      </c>
      <c r="Q158" s="92">
        <v>0</v>
      </c>
    </row>
    <row r="159" spans="2:21" x14ac:dyDescent="0.3">
      <c r="B159" s="292"/>
      <c r="C159" s="9" t="s">
        <v>178</v>
      </c>
      <c r="D159" s="86">
        <v>19.057511506717358</v>
      </c>
      <c r="E159" s="86">
        <v>11.288647823454761</v>
      </c>
      <c r="F159" s="88">
        <v>14.584042017848182</v>
      </c>
      <c r="G159" s="88">
        <v>6.7552234041984693</v>
      </c>
      <c r="H159" s="88">
        <v>18.724174822891648</v>
      </c>
      <c r="I159" s="86">
        <v>0.72622787611868644</v>
      </c>
      <c r="J159" s="86">
        <v>0.7094756839856543</v>
      </c>
      <c r="K159" s="92">
        <v>6.5070865766001962</v>
      </c>
      <c r="L159" s="86">
        <v>4.0985332766440337</v>
      </c>
      <c r="M159" s="88">
        <v>2.6793605813993908</v>
      </c>
      <c r="N159" s="86">
        <v>13.38090834191205</v>
      </c>
      <c r="O159" s="86">
        <v>1.0523948079683281</v>
      </c>
      <c r="P159" s="86">
        <v>0.43641328026179876</v>
      </c>
      <c r="Q159" s="92">
        <v>0</v>
      </c>
    </row>
    <row r="160" spans="2:21" x14ac:dyDescent="0.3">
      <c r="B160" s="292"/>
      <c r="C160" s="9" t="s">
        <v>179</v>
      </c>
      <c r="D160" s="86">
        <v>18.458884963407918</v>
      </c>
      <c r="E160" s="86">
        <v>10.645475090517678</v>
      </c>
      <c r="F160" s="88">
        <v>9.6325798689365669</v>
      </c>
      <c r="G160" s="88">
        <v>11.654289029927304</v>
      </c>
      <c r="H160" s="88">
        <v>19.211821536970906</v>
      </c>
      <c r="I160" s="86">
        <v>0.73142547576953298</v>
      </c>
      <c r="J160" s="86">
        <v>1.29286529517436</v>
      </c>
      <c r="K160" s="92">
        <v>3.4551854358620084</v>
      </c>
      <c r="L160" s="86">
        <v>3.9382904548402689</v>
      </c>
      <c r="M160" s="88">
        <v>4.1119693823418055</v>
      </c>
      <c r="N160" s="86">
        <v>14.610182259589674</v>
      </c>
      <c r="O160" s="86">
        <v>1.5587253693321292</v>
      </c>
      <c r="P160" s="86">
        <v>0.29759908110980671</v>
      </c>
      <c r="Q160" s="92">
        <v>0.40070675622007484</v>
      </c>
    </row>
    <row r="161" spans="2:17" x14ac:dyDescent="0.3">
      <c r="B161" s="298"/>
      <c r="C161" s="12" t="s">
        <v>180</v>
      </c>
      <c r="D161" s="90">
        <v>18.223974613514855</v>
      </c>
      <c r="E161" s="90">
        <v>11.236384814568829</v>
      </c>
      <c r="F161" s="91">
        <v>9.9263707000356369</v>
      </c>
      <c r="G161" s="91">
        <v>15.761674848784896</v>
      </c>
      <c r="H161" s="91">
        <v>17.835634657293241</v>
      </c>
      <c r="I161" s="90">
        <v>0.3880588424740351</v>
      </c>
      <c r="J161" s="90">
        <v>1.453144489597167</v>
      </c>
      <c r="K161" s="94">
        <v>2.2250960133193498</v>
      </c>
      <c r="L161" s="90">
        <v>2.4500305833558746</v>
      </c>
      <c r="M161" s="91">
        <v>3.3520875170159989</v>
      </c>
      <c r="N161" s="90">
        <v>14.321904842427918</v>
      </c>
      <c r="O161" s="90">
        <v>1.5585212342621795</v>
      </c>
      <c r="P161" s="90">
        <v>0.64747797245768191</v>
      </c>
      <c r="Q161" s="94">
        <v>0.619638870892118</v>
      </c>
    </row>
    <row r="162" spans="2:17" x14ac:dyDescent="0.3">
      <c r="B162" s="292" t="s">
        <v>223</v>
      </c>
      <c r="C162" s="9" t="s">
        <v>210</v>
      </c>
      <c r="D162" s="86">
        <v>41.26804306347168</v>
      </c>
      <c r="E162" s="86">
        <v>7.8997927838951103</v>
      </c>
      <c r="F162" s="88">
        <v>6.5255962934586336</v>
      </c>
      <c r="G162" s="88">
        <v>5.5824927728586804</v>
      </c>
      <c r="H162" s="88">
        <v>8.0759642186590828</v>
      </c>
      <c r="I162" s="86">
        <v>3.4178584544800876</v>
      </c>
      <c r="J162" s="86">
        <v>0</v>
      </c>
      <c r="K162" s="92">
        <v>8.0412936156428199</v>
      </c>
      <c r="L162" s="86">
        <v>1.3857110888665201</v>
      </c>
      <c r="M162" s="88">
        <v>5.6873396621594585</v>
      </c>
      <c r="N162" s="86">
        <v>5.7892885798974065</v>
      </c>
      <c r="O162" s="86">
        <v>0</v>
      </c>
      <c r="P162" s="86">
        <v>4.6005138969271906</v>
      </c>
      <c r="Q162" s="92">
        <v>1.7261055696833303</v>
      </c>
    </row>
    <row r="163" spans="2:17" x14ac:dyDescent="0.3">
      <c r="B163" s="292"/>
      <c r="C163" s="9" t="s">
        <v>211</v>
      </c>
      <c r="D163" s="86">
        <v>24.60396360020837</v>
      </c>
      <c r="E163" s="86">
        <v>9.4027808510706485</v>
      </c>
      <c r="F163" s="88">
        <v>20.488119613676098</v>
      </c>
      <c r="G163" s="88">
        <v>6.6979037473656451</v>
      </c>
      <c r="H163" s="88">
        <v>7.0221022098613837</v>
      </c>
      <c r="I163" s="86">
        <v>0.55716107025042971</v>
      </c>
      <c r="J163" s="86">
        <v>1.7329371870432744</v>
      </c>
      <c r="K163" s="92">
        <v>13.32024743666558</v>
      </c>
      <c r="L163" s="86">
        <v>5.5503980041880396</v>
      </c>
      <c r="M163" s="88">
        <v>1.0300488924677065</v>
      </c>
      <c r="N163" s="86">
        <v>7.4742322416041063</v>
      </c>
      <c r="O163" s="86">
        <v>0.57342540941760434</v>
      </c>
      <c r="P163" s="86">
        <v>0.81411697727390864</v>
      </c>
      <c r="Q163" s="92">
        <v>0.73256275890727551</v>
      </c>
    </row>
    <row r="164" spans="2:17" x14ac:dyDescent="0.3">
      <c r="B164" s="292"/>
      <c r="C164" s="9" t="s">
        <v>212</v>
      </c>
      <c r="D164" s="86">
        <v>16.543669942557443</v>
      </c>
      <c r="E164" s="86">
        <v>13.584421666109407</v>
      </c>
      <c r="F164" s="88">
        <v>16.300293873757767</v>
      </c>
      <c r="G164" s="88">
        <v>5.1172824618909738</v>
      </c>
      <c r="H164" s="88">
        <v>16.873398760136091</v>
      </c>
      <c r="I164" s="86">
        <v>1.5678415068906109</v>
      </c>
      <c r="J164" s="86">
        <v>1.954297740840526</v>
      </c>
      <c r="K164" s="92">
        <v>7.4111142774341872</v>
      </c>
      <c r="L164" s="86">
        <v>2.7241670705939653</v>
      </c>
      <c r="M164" s="88">
        <v>2.2413494286690181</v>
      </c>
      <c r="N164" s="86">
        <v>15.032993364364405</v>
      </c>
      <c r="O164" s="86">
        <v>0</v>
      </c>
      <c r="P164" s="86">
        <v>0.64916990675567987</v>
      </c>
      <c r="Q164" s="92">
        <v>0</v>
      </c>
    </row>
    <row r="165" spans="2:17" x14ac:dyDescent="0.3">
      <c r="B165" s="292"/>
      <c r="C165" s="9" t="s">
        <v>213</v>
      </c>
      <c r="D165" s="86">
        <v>19.038075630751894</v>
      </c>
      <c r="E165" s="86">
        <v>11.342793327592409</v>
      </c>
      <c r="F165" s="88">
        <v>12.574268559206628</v>
      </c>
      <c r="G165" s="88">
        <v>8.3859082137485004</v>
      </c>
      <c r="H165" s="88">
        <v>17.553279509300943</v>
      </c>
      <c r="I165" s="86">
        <v>0.71665333944373988</v>
      </c>
      <c r="J165" s="86">
        <v>0.6882505123090723</v>
      </c>
      <c r="K165" s="92">
        <v>6.3000956298271031</v>
      </c>
      <c r="L165" s="86">
        <v>2.7152268277611591</v>
      </c>
      <c r="M165" s="88">
        <v>2.5780252281187166</v>
      </c>
      <c r="N165" s="86">
        <v>16.49716591723185</v>
      </c>
      <c r="O165" s="86">
        <v>0.94271244981307545</v>
      </c>
      <c r="P165" s="86">
        <v>0.66754485489505111</v>
      </c>
      <c r="Q165" s="92">
        <v>0</v>
      </c>
    </row>
    <row r="166" spans="2:17" x14ac:dyDescent="0.3">
      <c r="B166" s="292"/>
      <c r="C166" s="9" t="s">
        <v>214</v>
      </c>
      <c r="D166" s="86">
        <v>16.180623768152376</v>
      </c>
      <c r="E166" s="86">
        <v>10.90979282314734</v>
      </c>
      <c r="F166" s="88">
        <v>9.7231669868682307</v>
      </c>
      <c r="G166" s="88">
        <v>12.464342619063604</v>
      </c>
      <c r="H166" s="88">
        <v>23.579928442193957</v>
      </c>
      <c r="I166" s="86">
        <v>0.51333040914133277</v>
      </c>
      <c r="J166" s="86">
        <v>1.1633802379474398</v>
      </c>
      <c r="K166" s="92">
        <v>2.5749080862170133</v>
      </c>
      <c r="L166" s="86">
        <v>3.449598525513129</v>
      </c>
      <c r="M166" s="88">
        <v>1.930686833795789</v>
      </c>
      <c r="N166" s="86">
        <v>15.895148156414143</v>
      </c>
      <c r="O166" s="86">
        <v>0.98402054432740327</v>
      </c>
      <c r="P166" s="86">
        <v>0</v>
      </c>
      <c r="Q166" s="92">
        <v>0.6310725672182067</v>
      </c>
    </row>
    <row r="167" spans="2:17" x14ac:dyDescent="0.3">
      <c r="B167" s="292"/>
      <c r="C167" s="12" t="s">
        <v>215</v>
      </c>
      <c r="D167" s="90">
        <v>14.985617157599119</v>
      </c>
      <c r="E167" s="90">
        <v>9.8623772400666478</v>
      </c>
      <c r="F167" s="91">
        <v>10.317610606592053</v>
      </c>
      <c r="G167" s="91">
        <v>18.866405982326366</v>
      </c>
      <c r="H167" s="91">
        <v>18.741089942799714</v>
      </c>
      <c r="I167" s="90">
        <v>0.64672104410043108</v>
      </c>
      <c r="J167" s="90">
        <v>1.4670431370959442</v>
      </c>
      <c r="K167" s="94">
        <v>1.5002228302089826</v>
      </c>
      <c r="L167" s="90">
        <v>1.16121831180982</v>
      </c>
      <c r="M167" s="91">
        <v>3.893872990199184</v>
      </c>
      <c r="N167" s="90">
        <v>16.21157821685755</v>
      </c>
      <c r="O167" s="90">
        <v>1.6948603344610336</v>
      </c>
      <c r="P167" s="90">
        <v>0.37803868880610481</v>
      </c>
      <c r="Q167" s="94">
        <v>0.27334351707699184</v>
      </c>
    </row>
    <row r="168" spans="2:17" x14ac:dyDescent="0.3">
      <c r="B168" s="292"/>
      <c r="C168" s="9" t="s">
        <v>216</v>
      </c>
      <c r="D168" s="86">
        <v>19.938132412217698</v>
      </c>
      <c r="E168" s="86">
        <v>8.1345112093988661</v>
      </c>
      <c r="F168" s="88">
        <v>25.501172660134802</v>
      </c>
      <c r="G168" s="88">
        <v>4.3839969660822442</v>
      </c>
      <c r="H168" s="88">
        <v>7.1318696256857006</v>
      </c>
      <c r="I168" s="86">
        <v>2.4762645114011308</v>
      </c>
      <c r="J168" s="86">
        <v>0</v>
      </c>
      <c r="K168" s="92">
        <v>20.367708144725714</v>
      </c>
      <c r="L168" s="86">
        <v>2.4762645114011308</v>
      </c>
      <c r="M168" s="88">
        <v>5.554640340639569</v>
      </c>
      <c r="N168" s="86">
        <v>4.035439618313152</v>
      </c>
      <c r="O168" s="86">
        <v>0</v>
      </c>
      <c r="P168" s="86">
        <v>0</v>
      </c>
      <c r="Q168" s="92">
        <v>0</v>
      </c>
    </row>
    <row r="169" spans="2:17" x14ac:dyDescent="0.3">
      <c r="B169" s="292"/>
      <c r="C169" s="9" t="s">
        <v>217</v>
      </c>
      <c r="D169" s="86">
        <v>19.543283027815772</v>
      </c>
      <c r="E169" s="86">
        <v>13.850932189910148</v>
      </c>
      <c r="F169" s="88">
        <v>23.925203414884827</v>
      </c>
      <c r="G169" s="88">
        <v>4.6251722438502503</v>
      </c>
      <c r="H169" s="88">
        <v>9.6916768672766054</v>
      </c>
      <c r="I169" s="86">
        <v>1.7151153337259033</v>
      </c>
      <c r="J169" s="86">
        <v>0.70298173816481235</v>
      </c>
      <c r="K169" s="92">
        <v>9.7798927623658294</v>
      </c>
      <c r="L169" s="86">
        <v>7.7524762751480667</v>
      </c>
      <c r="M169" s="88">
        <v>1.5018693987255982</v>
      </c>
      <c r="N169" s="86">
        <v>4.9813532263889693</v>
      </c>
      <c r="O169" s="86">
        <v>0.95663391132964648</v>
      </c>
      <c r="P169" s="86">
        <v>0.97340961041355589</v>
      </c>
      <c r="Q169" s="92">
        <v>0</v>
      </c>
    </row>
    <row r="170" spans="2:17" x14ac:dyDescent="0.3">
      <c r="B170" s="292"/>
      <c r="C170" s="9" t="s">
        <v>218</v>
      </c>
      <c r="D170" s="86">
        <v>14.635500683425393</v>
      </c>
      <c r="E170" s="86">
        <v>17.151071974628348</v>
      </c>
      <c r="F170" s="88">
        <v>15.105777365284656</v>
      </c>
      <c r="G170" s="88">
        <v>7.4009891818918527</v>
      </c>
      <c r="H170" s="88">
        <v>13.580657461566478</v>
      </c>
      <c r="I170" s="86">
        <v>0.55737921969563842</v>
      </c>
      <c r="J170" s="86">
        <v>0.40436648157330363</v>
      </c>
      <c r="K170" s="92">
        <v>10.663243172217753</v>
      </c>
      <c r="L170" s="86">
        <v>7.7306853629023244</v>
      </c>
      <c r="M170" s="88">
        <v>1.8612612541110134</v>
      </c>
      <c r="N170" s="86">
        <v>9.426935525609851</v>
      </c>
      <c r="O170" s="86">
        <v>0.5865285743227695</v>
      </c>
      <c r="P170" s="86">
        <v>0.89560374277060595</v>
      </c>
      <c r="Q170" s="92">
        <v>0</v>
      </c>
    </row>
    <row r="171" spans="2:17" x14ac:dyDescent="0.3">
      <c r="B171" s="292"/>
      <c r="C171" s="9" t="s">
        <v>219</v>
      </c>
      <c r="D171" s="86">
        <v>19.085457925809418</v>
      </c>
      <c r="E171" s="86">
        <v>11.210793192498752</v>
      </c>
      <c r="F171" s="88">
        <v>17.473851124244806</v>
      </c>
      <c r="G171" s="88">
        <v>4.4104975386842309</v>
      </c>
      <c r="H171" s="88">
        <v>20.407779472610944</v>
      </c>
      <c r="I171" s="86">
        <v>0.73999489207454128</v>
      </c>
      <c r="J171" s="86">
        <v>0.73999489207454128</v>
      </c>
      <c r="K171" s="92">
        <v>6.804714311882722</v>
      </c>
      <c r="L171" s="86">
        <v>6.0875592316494691</v>
      </c>
      <c r="M171" s="88">
        <v>2.825068459792957</v>
      </c>
      <c r="N171" s="86">
        <v>8.9001100308802208</v>
      </c>
      <c r="O171" s="86">
        <v>1.2101046613078885</v>
      </c>
      <c r="P171" s="86">
        <v>0.1040742664893263</v>
      </c>
      <c r="Q171" s="92">
        <v>0</v>
      </c>
    </row>
    <row r="172" spans="2:17" x14ac:dyDescent="0.3">
      <c r="B172" s="292"/>
      <c r="C172" s="9" t="s">
        <v>220</v>
      </c>
      <c r="D172" s="86">
        <v>22.421776198949431</v>
      </c>
      <c r="E172" s="86">
        <v>10.185711114281004</v>
      </c>
      <c r="F172" s="88">
        <v>9.475009307469783</v>
      </c>
      <c r="G172" s="88">
        <v>10.245252052344407</v>
      </c>
      <c r="H172" s="88">
        <v>11.613775884143372</v>
      </c>
      <c r="I172" s="86">
        <v>1.110788048355859</v>
      </c>
      <c r="J172" s="86">
        <v>1.5180963615186196</v>
      </c>
      <c r="K172" s="92">
        <v>4.9863722027781678</v>
      </c>
      <c r="L172" s="86">
        <v>4.7883391532263078</v>
      </c>
      <c r="M172" s="88">
        <v>7.9061723964097927</v>
      </c>
      <c r="N172" s="86">
        <v>12.37506536381848</v>
      </c>
      <c r="O172" s="86">
        <v>2.558388058920801</v>
      </c>
      <c r="P172" s="86">
        <v>0.81525385778390358</v>
      </c>
      <c r="Q172" s="92">
        <v>0</v>
      </c>
    </row>
    <row r="173" spans="2:17" x14ac:dyDescent="0.3">
      <c r="B173" s="295"/>
      <c r="C173" s="9" t="s">
        <v>221</v>
      </c>
      <c r="D173" s="86">
        <v>23.082331334977209</v>
      </c>
      <c r="E173" s="86">
        <v>13.297744323454552</v>
      </c>
      <c r="F173" s="88">
        <v>9.3394117075222614</v>
      </c>
      <c r="G173" s="88">
        <v>11.103791469227986</v>
      </c>
      <c r="H173" s="88">
        <v>16.477222304052979</v>
      </c>
      <c r="I173" s="86">
        <v>0</v>
      </c>
      <c r="J173" s="86">
        <v>1.4322929966986464</v>
      </c>
      <c r="K173" s="92">
        <v>3.3125894569287655</v>
      </c>
      <c r="L173" s="86">
        <v>4.3835755509537266</v>
      </c>
      <c r="M173" s="88">
        <v>2.5392720292069897</v>
      </c>
      <c r="N173" s="86">
        <v>11.486915973840487</v>
      </c>
      <c r="O173" s="86">
        <v>1.3539780382542244</v>
      </c>
      <c r="P173" s="86">
        <v>1.0517051686751111</v>
      </c>
      <c r="Q173" s="92">
        <v>1.1391696462070768</v>
      </c>
    </row>
    <row r="174" spans="2:17" ht="16.5" customHeight="1" x14ac:dyDescent="0.3">
      <c r="B174" s="291" t="s">
        <v>222</v>
      </c>
      <c r="C174" s="13" t="s">
        <v>226</v>
      </c>
      <c r="D174" s="84">
        <v>17.175565909084099</v>
      </c>
      <c r="E174" s="84">
        <v>12.554293996174975</v>
      </c>
      <c r="F174" s="89">
        <v>15.330087133061419</v>
      </c>
      <c r="G174" s="89">
        <v>11.318892236847605</v>
      </c>
      <c r="H174" s="89">
        <v>12.072285139641158</v>
      </c>
      <c r="I174" s="84">
        <v>1.356335350391497</v>
      </c>
      <c r="J174" s="84">
        <v>1.5928249092754452</v>
      </c>
      <c r="K174" s="93">
        <v>6.6252856262262005</v>
      </c>
      <c r="L174" s="84">
        <v>4.5368725836461214</v>
      </c>
      <c r="M174" s="89">
        <v>2.0371703838495114</v>
      </c>
      <c r="N174" s="84">
        <v>13.07857286986556</v>
      </c>
      <c r="O174" s="84">
        <v>1.1990281665564217</v>
      </c>
      <c r="P174" s="84">
        <v>0.68041224239356979</v>
      </c>
      <c r="Q174" s="93">
        <v>0.44237345298642095</v>
      </c>
    </row>
    <row r="175" spans="2:17" ht="16.5" customHeight="1" x14ac:dyDescent="0.3">
      <c r="B175" s="294"/>
      <c r="C175" s="9" t="s">
        <v>227</v>
      </c>
      <c r="D175" s="86">
        <v>16.994086612908063</v>
      </c>
      <c r="E175" s="86">
        <v>9.4707711400936621</v>
      </c>
      <c r="F175" s="88">
        <v>15.307325047895178</v>
      </c>
      <c r="G175" s="88">
        <v>10.412077626414273</v>
      </c>
      <c r="H175" s="88">
        <v>14.647356157251782</v>
      </c>
      <c r="I175" s="86">
        <v>0.73836139005612123</v>
      </c>
      <c r="J175" s="86">
        <v>1.3496511300018534</v>
      </c>
      <c r="K175" s="92">
        <v>6.9104857053801618</v>
      </c>
      <c r="L175" s="86">
        <v>4.0142498968549152</v>
      </c>
      <c r="M175" s="88">
        <v>3.6533266538949851</v>
      </c>
      <c r="N175" s="86">
        <v>14.29485756967542</v>
      </c>
      <c r="O175" s="86">
        <v>1.0598542605731447</v>
      </c>
      <c r="P175" s="86">
        <v>1.0038283476971772</v>
      </c>
      <c r="Q175" s="92">
        <v>0.14376846130332394</v>
      </c>
    </row>
    <row r="176" spans="2:17" x14ac:dyDescent="0.3">
      <c r="B176" s="292"/>
      <c r="C176" s="9" t="s">
        <v>228</v>
      </c>
      <c r="D176" s="86">
        <v>16.443817184334975</v>
      </c>
      <c r="E176" s="86">
        <v>11.968234070744247</v>
      </c>
      <c r="F176" s="88">
        <v>17.975718917127402</v>
      </c>
      <c r="G176" s="88">
        <v>7.2659302839935505</v>
      </c>
      <c r="H176" s="88">
        <v>16.816270712860888</v>
      </c>
      <c r="I176" s="86">
        <v>0.4568230910767207</v>
      </c>
      <c r="J176" s="86">
        <v>1.1963260069698223</v>
      </c>
      <c r="K176" s="92">
        <v>7.5311647806202613</v>
      </c>
      <c r="L176" s="86">
        <v>4.4695104309224662</v>
      </c>
      <c r="M176" s="88">
        <v>3.134818096069214</v>
      </c>
      <c r="N176" s="86">
        <v>11.520427259458028</v>
      </c>
      <c r="O176" s="86">
        <v>0.68787495771328189</v>
      </c>
      <c r="P176" s="86">
        <v>0.24785437291511728</v>
      </c>
      <c r="Q176" s="92">
        <v>0.28522983519413431</v>
      </c>
    </row>
    <row r="177" spans="2:21" x14ac:dyDescent="0.3">
      <c r="B177" s="295"/>
      <c r="C177" s="12" t="s">
        <v>229</v>
      </c>
      <c r="D177" s="90">
        <v>25.690335309969502</v>
      </c>
      <c r="E177" s="90">
        <v>13.072737580276684</v>
      </c>
      <c r="F177" s="91">
        <v>9.1021699559439853</v>
      </c>
      <c r="G177" s="91">
        <v>6.5679024282403926</v>
      </c>
      <c r="H177" s="91">
        <v>19.687165816862013</v>
      </c>
      <c r="I177" s="90">
        <v>1.0466522174244213</v>
      </c>
      <c r="J177" s="90">
        <v>0.53637486528838307</v>
      </c>
      <c r="K177" s="94">
        <v>5.9416890588849496</v>
      </c>
      <c r="L177" s="90">
        <v>3.9004817797054154</v>
      </c>
      <c r="M177" s="91">
        <v>2.4854752700065097</v>
      </c>
      <c r="N177" s="90">
        <v>10.016135091780642</v>
      </c>
      <c r="O177" s="90">
        <v>0.99212870337486336</v>
      </c>
      <c r="P177" s="90">
        <v>0.59973530397298513</v>
      </c>
      <c r="Q177" s="94">
        <v>0.3610166182692422</v>
      </c>
    </row>
    <row r="178" spans="2:21" x14ac:dyDescent="0.3">
      <c r="B178" s="296" t="s">
        <v>199</v>
      </c>
      <c r="C178" s="13" t="s">
        <v>192</v>
      </c>
      <c r="D178" s="84">
        <v>20.198524058125066</v>
      </c>
      <c r="E178" s="84">
        <v>13.515435012537763</v>
      </c>
      <c r="F178" s="89">
        <v>14.682021764749569</v>
      </c>
      <c r="G178" s="89">
        <v>8.1973728024556269</v>
      </c>
      <c r="H178" s="89">
        <v>16.491858071290483</v>
      </c>
      <c r="I178" s="84">
        <v>0.99803471971410396</v>
      </c>
      <c r="J178" s="84">
        <v>1.0062895905524654</v>
      </c>
      <c r="K178" s="93">
        <v>5.8676734780279389</v>
      </c>
      <c r="L178" s="84">
        <v>4.3620716766072087</v>
      </c>
      <c r="M178" s="89">
        <v>2.2928600260833609</v>
      </c>
      <c r="N178" s="84">
        <v>10.821641194748258</v>
      </c>
      <c r="O178" s="84">
        <v>0.73920109610164175</v>
      </c>
      <c r="P178" s="84">
        <v>0.49157786048559682</v>
      </c>
      <c r="Q178" s="93">
        <v>0.3354386485205792</v>
      </c>
    </row>
    <row r="179" spans="2:21" x14ac:dyDescent="0.3">
      <c r="B179" s="292"/>
      <c r="C179" s="9" t="s">
        <v>200</v>
      </c>
      <c r="D179" s="86">
        <v>9.8076490163083143</v>
      </c>
      <c r="E179" s="86">
        <v>7.7517641804341046</v>
      </c>
      <c r="F179" s="88">
        <v>16.056469687479371</v>
      </c>
      <c r="G179" s="88">
        <v>14.513239871913717</v>
      </c>
      <c r="H179" s="88">
        <v>11.309911389276113</v>
      </c>
      <c r="I179" s="86">
        <v>1.1480725943511487</v>
      </c>
      <c r="J179" s="86">
        <v>1.9217326162602029</v>
      </c>
      <c r="K179" s="92">
        <v>10.452244316385395</v>
      </c>
      <c r="L179" s="86">
        <v>2.4073440835446411</v>
      </c>
      <c r="M179" s="88">
        <v>5.5993697933143007</v>
      </c>
      <c r="N179" s="86">
        <v>13.542672322689208</v>
      </c>
      <c r="O179" s="86">
        <v>3.2601020274590629</v>
      </c>
      <c r="P179" s="86">
        <v>2.2294281005844621</v>
      </c>
      <c r="Q179" s="92">
        <v>0</v>
      </c>
    </row>
    <row r="180" spans="2:21" x14ac:dyDescent="0.3">
      <c r="B180" s="292"/>
      <c r="C180" s="9" t="s">
        <v>201</v>
      </c>
      <c r="D180" s="86">
        <v>18.240821352104167</v>
      </c>
      <c r="E180" s="86">
        <v>13.028517769603775</v>
      </c>
      <c r="F180" s="88">
        <v>11.661495036010965</v>
      </c>
      <c r="G180" s="88">
        <v>8.9576242002685493</v>
      </c>
      <c r="H180" s="88">
        <v>16.508662651298593</v>
      </c>
      <c r="I180" s="86">
        <v>0.93133436491306831</v>
      </c>
      <c r="J180" s="86">
        <v>1.083682187623682</v>
      </c>
      <c r="K180" s="92">
        <v>6.1771708380093244</v>
      </c>
      <c r="L180" s="86">
        <v>4.0060727961245197</v>
      </c>
      <c r="M180" s="88">
        <v>2.4417598720805027</v>
      </c>
      <c r="N180" s="86">
        <v>14.257510979193407</v>
      </c>
      <c r="O180" s="86">
        <v>1.5477761228053168</v>
      </c>
      <c r="P180" s="86">
        <v>0.87565950108775614</v>
      </c>
      <c r="Q180" s="92">
        <v>0.28191232887638662</v>
      </c>
    </row>
    <row r="181" spans="2:21" x14ac:dyDescent="0.3">
      <c r="B181" s="292"/>
      <c r="C181" s="9" t="s">
        <v>202</v>
      </c>
      <c r="D181" s="86">
        <v>19.515549392860905</v>
      </c>
      <c r="E181" s="86">
        <v>7.3172914260100406</v>
      </c>
      <c r="F181" s="88">
        <v>13.749470569231315</v>
      </c>
      <c r="G181" s="88">
        <v>12.332377121377439</v>
      </c>
      <c r="H181" s="88">
        <v>16.80174020151135</v>
      </c>
      <c r="I181" s="86">
        <v>0.64906945806251959</v>
      </c>
      <c r="J181" s="86">
        <v>0.70767864049335116</v>
      </c>
      <c r="K181" s="92">
        <v>7.0334464859558299</v>
      </c>
      <c r="L181" s="86">
        <v>3.6929652673990154</v>
      </c>
      <c r="M181" s="88">
        <v>4.0886269770027832</v>
      </c>
      <c r="N181" s="86">
        <v>12.227144460570218</v>
      </c>
      <c r="O181" s="86">
        <v>1.2429615814348691</v>
      </c>
      <c r="P181" s="86">
        <v>0</v>
      </c>
      <c r="Q181" s="92">
        <v>0.64167841809035886</v>
      </c>
    </row>
    <row r="182" spans="2:21" x14ac:dyDescent="0.3">
      <c r="B182" s="295"/>
      <c r="C182" s="12" t="s">
        <v>203</v>
      </c>
      <c r="D182" s="90">
        <v>19.097597208432791</v>
      </c>
      <c r="E182" s="90">
        <v>8.5753131673266143</v>
      </c>
      <c r="F182" s="91">
        <v>13.775442189794433</v>
      </c>
      <c r="G182" s="91">
        <v>8.4886074483846521</v>
      </c>
      <c r="H182" s="91">
        <v>14.821985366747183</v>
      </c>
      <c r="I182" s="90">
        <v>0.68073401253232679</v>
      </c>
      <c r="J182" s="90">
        <v>1.5292889966037977</v>
      </c>
      <c r="K182" s="94">
        <v>8.3207548175676571</v>
      </c>
      <c r="L182" s="90">
        <v>4.2932896674366949</v>
      </c>
      <c r="M182" s="91">
        <v>3.6507261979722658</v>
      </c>
      <c r="N182" s="90">
        <v>14.71651852509013</v>
      </c>
      <c r="O182" s="90">
        <v>0.9386252807706611</v>
      </c>
      <c r="P182" s="90">
        <v>0.96368878996212948</v>
      </c>
      <c r="Q182" s="94">
        <v>0.14742833137881459</v>
      </c>
    </row>
    <row r="183" spans="2:21" x14ac:dyDescent="0.3">
      <c r="B183" s="291" t="s">
        <v>204</v>
      </c>
      <c r="C183" s="13" t="s">
        <v>192</v>
      </c>
      <c r="D183" s="84">
        <v>20.198524058125066</v>
      </c>
      <c r="E183" s="84">
        <v>13.515435012537763</v>
      </c>
      <c r="F183" s="89">
        <v>14.682021764749569</v>
      </c>
      <c r="G183" s="89">
        <v>8.1973728024556269</v>
      </c>
      <c r="H183" s="89">
        <v>16.491858071290483</v>
      </c>
      <c r="I183" s="84">
        <v>0.99803471971410396</v>
      </c>
      <c r="J183" s="84">
        <v>1.0062895905524654</v>
      </c>
      <c r="K183" s="93">
        <v>5.8676734780279389</v>
      </c>
      <c r="L183" s="84">
        <v>4.3620716766072087</v>
      </c>
      <c r="M183" s="89">
        <v>2.2928600260833609</v>
      </c>
      <c r="N183" s="84">
        <v>10.821641194748258</v>
      </c>
      <c r="O183" s="84">
        <v>0.73920109610164175</v>
      </c>
      <c r="P183" s="84">
        <v>0.49157786048559682</v>
      </c>
      <c r="Q183" s="93">
        <v>0.3354386485205792</v>
      </c>
    </row>
    <row r="184" spans="2:21" x14ac:dyDescent="0.3">
      <c r="B184" s="295"/>
      <c r="C184" s="12" t="s">
        <v>193</v>
      </c>
      <c r="D184" s="90">
        <v>18.22860199854771</v>
      </c>
      <c r="E184" s="90">
        <v>9.3002109526405885</v>
      </c>
      <c r="F184" s="91">
        <v>13.476275178730837</v>
      </c>
      <c r="G184" s="91">
        <v>9.7393607477484192</v>
      </c>
      <c r="H184" s="91">
        <v>15.261121656700924</v>
      </c>
      <c r="I184" s="90">
        <v>0.76955340921976367</v>
      </c>
      <c r="J184" s="90">
        <v>1.3189343882127202</v>
      </c>
      <c r="K184" s="94">
        <v>7.7862042386430197</v>
      </c>
      <c r="L184" s="90">
        <v>3.9735635622853751</v>
      </c>
      <c r="M184" s="91">
        <v>3.6091947625807181</v>
      </c>
      <c r="N184" s="90">
        <v>14.090720898145467</v>
      </c>
      <c r="O184" s="90">
        <v>1.3153449913919277</v>
      </c>
      <c r="P184" s="90">
        <v>0.88002670352832035</v>
      </c>
      <c r="Q184" s="94">
        <v>0.2508865116243596</v>
      </c>
    </row>
    <row r="185" spans="2:21" ht="16.5" customHeight="1" x14ac:dyDescent="0.3">
      <c r="B185" s="291" t="s">
        <v>209</v>
      </c>
      <c r="C185" s="13" t="s">
        <v>205</v>
      </c>
      <c r="D185" s="84">
        <v>16.806961270709209</v>
      </c>
      <c r="E185" s="84">
        <v>8.0916298349627436</v>
      </c>
      <c r="F185" s="89">
        <v>15.874517963019983</v>
      </c>
      <c r="G185" s="89">
        <v>8.1999201645744257</v>
      </c>
      <c r="H185" s="89">
        <v>10.699534771750569</v>
      </c>
      <c r="I185" s="84">
        <v>0.85688281257030718</v>
      </c>
      <c r="J185" s="84">
        <v>2.184018743444752</v>
      </c>
      <c r="K185" s="93">
        <v>10.161715213986348</v>
      </c>
      <c r="L185" s="84">
        <v>6.4853603223299165</v>
      </c>
      <c r="M185" s="89">
        <v>3.4074239480835065</v>
      </c>
      <c r="N185" s="84">
        <v>15.981040942944368</v>
      </c>
      <c r="O185" s="84">
        <v>0.46367306569798694</v>
      </c>
      <c r="P185" s="84">
        <v>0.34438629560994383</v>
      </c>
      <c r="Q185" s="93">
        <v>0.44293465031592161</v>
      </c>
    </row>
    <row r="186" spans="2:21" x14ac:dyDescent="0.3">
      <c r="B186" s="292"/>
      <c r="C186" s="9" t="s">
        <v>206</v>
      </c>
      <c r="D186" s="86">
        <v>16.147082606770073</v>
      </c>
      <c r="E186" s="86">
        <v>11.222718396449055</v>
      </c>
      <c r="F186" s="88">
        <v>12.767313002125663</v>
      </c>
      <c r="G186" s="88">
        <v>12.990773881984854</v>
      </c>
      <c r="H186" s="88">
        <v>16.930372993120056</v>
      </c>
      <c r="I186" s="86">
        <v>0.75286805920346977</v>
      </c>
      <c r="J186" s="86">
        <v>0.80508687100448584</v>
      </c>
      <c r="K186" s="92">
        <v>5.3512328219618768</v>
      </c>
      <c r="L186" s="86">
        <v>3.3268645509341046</v>
      </c>
      <c r="M186" s="88">
        <v>2.3867042312749853</v>
      </c>
      <c r="N186" s="86">
        <v>15.463758146633399</v>
      </c>
      <c r="O186" s="86">
        <v>1.0273331023984997</v>
      </c>
      <c r="P186" s="86">
        <v>0.38111713254191731</v>
      </c>
      <c r="Q186" s="92">
        <v>0.44677420359749803</v>
      </c>
    </row>
    <row r="187" spans="2:21" x14ac:dyDescent="0.3">
      <c r="B187" s="292"/>
      <c r="C187" s="9" t="s">
        <v>207</v>
      </c>
      <c r="D187" s="86">
        <v>19.475253602776572</v>
      </c>
      <c r="E187" s="86">
        <v>13.1548361698596</v>
      </c>
      <c r="F187" s="88">
        <v>14.230671140642437</v>
      </c>
      <c r="G187" s="88">
        <v>7.1581670965381248</v>
      </c>
      <c r="H187" s="88">
        <v>16.75588912096531</v>
      </c>
      <c r="I187" s="86">
        <v>1.0269194104227415</v>
      </c>
      <c r="J187" s="86">
        <v>0.87165757672295463</v>
      </c>
      <c r="K187" s="92">
        <v>5.8765107626131385</v>
      </c>
      <c r="L187" s="86">
        <v>5.2723571424265394</v>
      </c>
      <c r="M187" s="88">
        <v>3.2122890635644739</v>
      </c>
      <c r="N187" s="86">
        <v>10.701520049289712</v>
      </c>
      <c r="O187" s="86">
        <v>1.0663221187448917</v>
      </c>
      <c r="P187" s="86">
        <v>1.0074300575094497</v>
      </c>
      <c r="Q187" s="92">
        <v>0.19017668792407963</v>
      </c>
    </row>
    <row r="188" spans="2:21" x14ac:dyDescent="0.3">
      <c r="B188" s="293"/>
      <c r="C188" s="25" t="s">
        <v>208</v>
      </c>
      <c r="D188" s="87">
        <v>22.03561541308655</v>
      </c>
      <c r="E188" s="87">
        <v>12.129193795652466</v>
      </c>
      <c r="F188" s="95">
        <v>14.004639064981344</v>
      </c>
      <c r="G188" s="95">
        <v>8.6634922666506711</v>
      </c>
      <c r="H188" s="95">
        <v>17.10551180095295</v>
      </c>
      <c r="I188" s="87">
        <v>0.86940857327817056</v>
      </c>
      <c r="J188" s="87">
        <v>1.097683123274765</v>
      </c>
      <c r="K188" s="96">
        <v>6.6176723947018079</v>
      </c>
      <c r="L188" s="87">
        <v>2.5543181312244059</v>
      </c>
      <c r="M188" s="95">
        <v>2.5534127815890875</v>
      </c>
      <c r="N188" s="87">
        <v>10.33484022725005</v>
      </c>
      <c r="O188" s="87">
        <v>1.1489853942706649</v>
      </c>
      <c r="P188" s="87">
        <v>0.6290625720822306</v>
      </c>
      <c r="Q188" s="96">
        <v>0.25616446100480039</v>
      </c>
    </row>
    <row r="189" spans="2:21" x14ac:dyDescent="0.3">
      <c r="B189" s="136"/>
    </row>
    <row r="190" spans="2:21" x14ac:dyDescent="0.3">
      <c r="B190" s="60"/>
      <c r="C190" s="9"/>
      <c r="D190" s="58"/>
      <c r="E190" s="58"/>
      <c r="F190" s="50"/>
      <c r="G190" s="58"/>
      <c r="H190" s="50"/>
      <c r="I190" s="58"/>
      <c r="J190" s="58"/>
      <c r="K190" s="58"/>
      <c r="L190" s="50"/>
      <c r="M190" s="58"/>
      <c r="N190" s="58"/>
    </row>
    <row r="191" spans="2:21" ht="17.25" customHeight="1" x14ac:dyDescent="0.3">
      <c r="B191" s="1" t="s">
        <v>488</v>
      </c>
      <c r="D191" s="59"/>
      <c r="E191" s="59"/>
      <c r="F191" s="304"/>
      <c r="G191" s="304"/>
      <c r="H191" s="304"/>
      <c r="I191" s="304"/>
      <c r="J191" s="304"/>
      <c r="K191" s="304"/>
      <c r="L191" s="304"/>
      <c r="M191" s="304"/>
      <c r="N191" s="304"/>
      <c r="O191" s="304"/>
      <c r="P191" s="304"/>
      <c r="Q191" s="304"/>
      <c r="R191" s="304"/>
      <c r="S191" s="304"/>
      <c r="T191" s="304"/>
      <c r="U191" s="304"/>
    </row>
    <row r="192" spans="2:21" ht="10.5" customHeight="1" x14ac:dyDescent="0.3"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30"/>
      <c r="P192" s="30"/>
      <c r="Q192" s="30" t="s">
        <v>157</v>
      </c>
    </row>
    <row r="193" spans="2:17" s="22" customFormat="1" ht="20.25" customHeight="1" x14ac:dyDescent="0.3">
      <c r="B193" s="307"/>
      <c r="C193" s="307"/>
      <c r="D193" s="300" t="s">
        <v>120</v>
      </c>
      <c r="E193" s="300"/>
      <c r="F193" s="300"/>
      <c r="G193" s="300"/>
      <c r="H193" s="300"/>
      <c r="I193" s="300"/>
      <c r="J193" s="301"/>
      <c r="K193" s="299" t="s">
        <v>125</v>
      </c>
      <c r="L193" s="300"/>
      <c r="M193" s="300"/>
      <c r="N193" s="300"/>
      <c r="O193" s="300"/>
      <c r="P193" s="301"/>
      <c r="Q193" s="212" t="s">
        <v>38</v>
      </c>
    </row>
    <row r="194" spans="2:17" s="22" customFormat="1" ht="27" x14ac:dyDescent="0.3">
      <c r="B194" s="300"/>
      <c r="C194" s="300"/>
      <c r="D194" s="202" t="s">
        <v>39</v>
      </c>
      <c r="E194" s="202" t="s">
        <v>40</v>
      </c>
      <c r="F194" s="202" t="s">
        <v>116</v>
      </c>
      <c r="G194" s="202" t="s">
        <v>117</v>
      </c>
      <c r="H194" s="202" t="s">
        <v>115</v>
      </c>
      <c r="I194" s="202" t="s">
        <v>119</v>
      </c>
      <c r="J194" s="202" t="s">
        <v>300</v>
      </c>
      <c r="K194" s="214" t="s">
        <v>298</v>
      </c>
      <c r="L194" s="202" t="s">
        <v>299</v>
      </c>
      <c r="M194" s="202" t="s">
        <v>121</v>
      </c>
      <c r="N194" s="202" t="s">
        <v>118</v>
      </c>
      <c r="O194" s="202" t="s">
        <v>122</v>
      </c>
      <c r="P194" s="202" t="s">
        <v>124</v>
      </c>
      <c r="Q194" s="214" t="s">
        <v>38</v>
      </c>
    </row>
    <row r="195" spans="2:17" ht="21.75" customHeight="1" x14ac:dyDescent="0.3">
      <c r="B195" s="292" t="s">
        <v>20</v>
      </c>
      <c r="C195" s="292"/>
      <c r="D195" s="86">
        <v>32.803109730264808</v>
      </c>
      <c r="E195" s="86">
        <v>29.009230745183157</v>
      </c>
      <c r="F195" s="88">
        <v>34.670578135966586</v>
      </c>
      <c r="G195" s="88">
        <v>28.556415924696545</v>
      </c>
      <c r="H195" s="88">
        <v>47.359826485448849</v>
      </c>
      <c r="I195" s="86">
        <v>5.8394522085336291</v>
      </c>
      <c r="J195" s="86">
        <v>8.5366176457947951</v>
      </c>
      <c r="K195" s="92">
        <v>26.444987505164168</v>
      </c>
      <c r="L195" s="86">
        <v>18.805806783919778</v>
      </c>
      <c r="M195" s="88">
        <v>19.043340936190354</v>
      </c>
      <c r="N195" s="86">
        <v>37.446883862601396</v>
      </c>
      <c r="O195" s="86">
        <v>7.664220464585453</v>
      </c>
      <c r="P195" s="86">
        <v>3.0628407846572263</v>
      </c>
      <c r="Q195" s="92">
        <v>0.7566887869921175</v>
      </c>
    </row>
    <row r="196" spans="2:17" x14ac:dyDescent="0.3">
      <c r="B196" s="296" t="s">
        <v>5</v>
      </c>
      <c r="C196" s="13" t="s">
        <v>0</v>
      </c>
      <c r="D196" s="84">
        <v>32.097136468955227</v>
      </c>
      <c r="E196" s="84">
        <v>29.334183953714859</v>
      </c>
      <c r="F196" s="89">
        <v>33.866173494118215</v>
      </c>
      <c r="G196" s="89">
        <v>32.016696095155332</v>
      </c>
      <c r="H196" s="89">
        <v>47.831272311794756</v>
      </c>
      <c r="I196" s="84">
        <v>5.5604932698228557</v>
      </c>
      <c r="J196" s="84">
        <v>8.7412985810739023</v>
      </c>
      <c r="K196" s="93">
        <v>23.665551578933645</v>
      </c>
      <c r="L196" s="84">
        <v>16.025000287208925</v>
      </c>
      <c r="M196" s="89">
        <v>18.747108383849259</v>
      </c>
      <c r="N196" s="84">
        <v>40.544957287703795</v>
      </c>
      <c r="O196" s="84">
        <v>7.5783512396768629</v>
      </c>
      <c r="P196" s="84">
        <v>3.1659958512596913</v>
      </c>
      <c r="Q196" s="93">
        <v>0.82578119673190153</v>
      </c>
    </row>
    <row r="197" spans="2:17" x14ac:dyDescent="0.3">
      <c r="B197" s="295"/>
      <c r="C197" s="12" t="s">
        <v>1</v>
      </c>
      <c r="D197" s="90">
        <v>33.907728865315399</v>
      </c>
      <c r="E197" s="90">
        <v>28.500784389192013</v>
      </c>
      <c r="F197" s="91">
        <v>35.929210450256875</v>
      </c>
      <c r="G197" s="91">
        <v>23.142199978565792</v>
      </c>
      <c r="H197" s="91">
        <v>46.622166705027098</v>
      </c>
      <c r="I197" s="90">
        <v>6.2759324528727554</v>
      </c>
      <c r="J197" s="90">
        <v>8.216358380918539</v>
      </c>
      <c r="K197" s="94">
        <v>30.793903076082124</v>
      </c>
      <c r="L197" s="90">
        <v>23.156866853024109</v>
      </c>
      <c r="M197" s="91">
        <v>19.506848782272112</v>
      </c>
      <c r="N197" s="90">
        <v>32.599403972483202</v>
      </c>
      <c r="O197" s="90">
        <v>7.7985779454481641</v>
      </c>
      <c r="P197" s="90">
        <v>2.9014365690993982</v>
      </c>
      <c r="Q197" s="94">
        <v>0.64858157944188677</v>
      </c>
    </row>
    <row r="198" spans="2:17" x14ac:dyDescent="0.3">
      <c r="B198" s="296" t="s">
        <v>4</v>
      </c>
      <c r="C198" s="9" t="s">
        <v>175</v>
      </c>
      <c r="D198" s="86">
        <v>47.010007010128533</v>
      </c>
      <c r="E198" s="86">
        <v>23.948720474650383</v>
      </c>
      <c r="F198" s="88">
        <v>35.738492537248653</v>
      </c>
      <c r="G198" s="88">
        <v>21.90446197088955</v>
      </c>
      <c r="H198" s="88">
        <v>42.377383302973662</v>
      </c>
      <c r="I198" s="86">
        <v>10.758598080283104</v>
      </c>
      <c r="J198" s="86">
        <v>3.8626872342334146</v>
      </c>
      <c r="K198" s="92">
        <v>38.724190024061727</v>
      </c>
      <c r="L198" s="86">
        <v>26.185449234794245</v>
      </c>
      <c r="M198" s="88">
        <v>13.319430709062496</v>
      </c>
      <c r="N198" s="86">
        <v>19.559211914024203</v>
      </c>
      <c r="O198" s="86">
        <v>3.2810822373935422</v>
      </c>
      <c r="P198" s="86">
        <v>11.281216912118598</v>
      </c>
      <c r="Q198" s="92">
        <v>2.0490683581379616</v>
      </c>
    </row>
    <row r="199" spans="2:17" x14ac:dyDescent="0.3">
      <c r="B199" s="292"/>
      <c r="C199" s="9" t="s">
        <v>176</v>
      </c>
      <c r="D199" s="86">
        <v>37.444646792072469</v>
      </c>
      <c r="E199" s="86">
        <v>33.982542507759497</v>
      </c>
      <c r="F199" s="88">
        <v>43.564506040273578</v>
      </c>
      <c r="G199" s="88">
        <v>27.090669065809486</v>
      </c>
      <c r="H199" s="88">
        <v>37.444740622221452</v>
      </c>
      <c r="I199" s="86">
        <v>7.1540785109613179</v>
      </c>
      <c r="J199" s="86">
        <v>8.7670092813810854</v>
      </c>
      <c r="K199" s="92">
        <v>33.576788122645496</v>
      </c>
      <c r="L199" s="86">
        <v>24.636450403972326</v>
      </c>
      <c r="M199" s="88">
        <v>12.746281082245869</v>
      </c>
      <c r="N199" s="86">
        <v>23.831496099851222</v>
      </c>
      <c r="O199" s="86">
        <v>3.9246607283742416</v>
      </c>
      <c r="P199" s="86">
        <v>5.0834831960278146</v>
      </c>
      <c r="Q199" s="92">
        <v>0.75264754640365827</v>
      </c>
    </row>
    <row r="200" spans="2:17" x14ac:dyDescent="0.3">
      <c r="B200" s="292"/>
      <c r="C200" s="9" t="s">
        <v>177</v>
      </c>
      <c r="D200" s="86">
        <v>30.273153980964558</v>
      </c>
      <c r="E200" s="86">
        <v>39.599237843224891</v>
      </c>
      <c r="F200" s="88">
        <v>40.321666275083487</v>
      </c>
      <c r="G200" s="88">
        <v>23.656979209474489</v>
      </c>
      <c r="H200" s="88">
        <v>44.742014896369504</v>
      </c>
      <c r="I200" s="86">
        <v>6.8206710527073806</v>
      </c>
      <c r="J200" s="86">
        <v>7.8416925996453806</v>
      </c>
      <c r="K200" s="92">
        <v>28.081779530689261</v>
      </c>
      <c r="L200" s="86">
        <v>19.368385668418526</v>
      </c>
      <c r="M200" s="88">
        <v>18.302084313291893</v>
      </c>
      <c r="N200" s="86">
        <v>35.98857458433141</v>
      </c>
      <c r="O200" s="86">
        <v>2.8255076442730935</v>
      </c>
      <c r="P200" s="86">
        <v>1.9842193911701687</v>
      </c>
      <c r="Q200" s="92">
        <v>0.19403301035690618</v>
      </c>
    </row>
    <row r="201" spans="2:17" x14ac:dyDescent="0.3">
      <c r="B201" s="292"/>
      <c r="C201" s="9" t="s">
        <v>178</v>
      </c>
      <c r="D201" s="86">
        <v>33.32470412069933</v>
      </c>
      <c r="E201" s="86">
        <v>26.139515892616398</v>
      </c>
      <c r="F201" s="88">
        <v>34.42519901791573</v>
      </c>
      <c r="G201" s="88">
        <v>24.654104175919088</v>
      </c>
      <c r="H201" s="88">
        <v>50.730024787277273</v>
      </c>
      <c r="I201" s="86">
        <v>4.597453979375989</v>
      </c>
      <c r="J201" s="86">
        <v>7.7906139288711955</v>
      </c>
      <c r="K201" s="92">
        <v>27.919989351219638</v>
      </c>
      <c r="L201" s="86">
        <v>18.623571901143432</v>
      </c>
      <c r="M201" s="88">
        <v>20.378295975469282</v>
      </c>
      <c r="N201" s="86">
        <v>42.16588650447693</v>
      </c>
      <c r="O201" s="86">
        <v>6.1662835915733414</v>
      </c>
      <c r="P201" s="86">
        <v>2.4180009517529197</v>
      </c>
      <c r="Q201" s="92">
        <v>0.66635582169120999</v>
      </c>
    </row>
    <row r="202" spans="2:17" x14ac:dyDescent="0.3">
      <c r="B202" s="292"/>
      <c r="C202" s="9" t="s">
        <v>179</v>
      </c>
      <c r="D202" s="86">
        <v>29.982492401809985</v>
      </c>
      <c r="E202" s="86">
        <v>23.362746190536335</v>
      </c>
      <c r="F202" s="88">
        <v>28.457791373284387</v>
      </c>
      <c r="G202" s="88">
        <v>33.956145691893909</v>
      </c>
      <c r="H202" s="88">
        <v>50.510029319933579</v>
      </c>
      <c r="I202" s="86">
        <v>5.6745986991082713</v>
      </c>
      <c r="J202" s="86">
        <v>8.3943504150466222</v>
      </c>
      <c r="K202" s="92">
        <v>22.758088572101986</v>
      </c>
      <c r="L202" s="86">
        <v>13.901913281208333</v>
      </c>
      <c r="M202" s="88">
        <v>24.00119947019336</v>
      </c>
      <c r="N202" s="86">
        <v>44.379171886166723</v>
      </c>
      <c r="O202" s="86">
        <v>12.182825152846249</v>
      </c>
      <c r="P202" s="86">
        <v>1.8389780647284093</v>
      </c>
      <c r="Q202" s="92">
        <v>0.5996694811418829</v>
      </c>
    </row>
    <row r="203" spans="2:17" x14ac:dyDescent="0.3">
      <c r="B203" s="298"/>
      <c r="C203" s="12" t="s">
        <v>180</v>
      </c>
      <c r="D203" s="90">
        <v>30.475228143595974</v>
      </c>
      <c r="E203" s="90">
        <v>24.878948801377256</v>
      </c>
      <c r="F203" s="91">
        <v>27.520032292989082</v>
      </c>
      <c r="G203" s="91">
        <v>36.108817295412877</v>
      </c>
      <c r="H203" s="91">
        <v>52.444991497089354</v>
      </c>
      <c r="I203" s="90">
        <v>4.1666707704126091</v>
      </c>
      <c r="J203" s="90">
        <v>11.707407985799497</v>
      </c>
      <c r="K203" s="94">
        <v>16.780533675682122</v>
      </c>
      <c r="L203" s="90">
        <v>17.348675773516504</v>
      </c>
      <c r="M203" s="91">
        <v>18.906085686591727</v>
      </c>
      <c r="N203" s="90">
        <v>40.929393142216512</v>
      </c>
      <c r="O203" s="90">
        <v>14.437874981761583</v>
      </c>
      <c r="P203" s="90">
        <v>2.8355144421522813</v>
      </c>
      <c r="Q203" s="94">
        <v>1.4598255114019667</v>
      </c>
    </row>
    <row r="204" spans="2:17" x14ac:dyDescent="0.3">
      <c r="B204" s="292" t="s">
        <v>223</v>
      </c>
      <c r="C204" s="9" t="s">
        <v>210</v>
      </c>
      <c r="D204" s="86">
        <v>48.640662836256034</v>
      </c>
      <c r="E204" s="86">
        <v>24.200652844080935</v>
      </c>
      <c r="F204" s="88">
        <v>25.858754119192888</v>
      </c>
      <c r="G204" s="88">
        <v>26.853903883718594</v>
      </c>
      <c r="H204" s="88">
        <v>40.497721269502286</v>
      </c>
      <c r="I204" s="86">
        <v>11.443163541499397</v>
      </c>
      <c r="J204" s="86">
        <v>6.3371481780380794</v>
      </c>
      <c r="K204" s="92">
        <v>33.506929447057964</v>
      </c>
      <c r="L204" s="86">
        <v>24.274474895049231</v>
      </c>
      <c r="M204" s="88">
        <v>15.011226990261234</v>
      </c>
      <c r="N204" s="86">
        <v>20.853497867958833</v>
      </c>
      <c r="O204" s="86">
        <v>5.3829634815923928</v>
      </c>
      <c r="P204" s="86">
        <v>14.127256847802414</v>
      </c>
      <c r="Q204" s="92">
        <v>3.0116437979897102</v>
      </c>
    </row>
    <row r="205" spans="2:17" x14ac:dyDescent="0.3">
      <c r="B205" s="292"/>
      <c r="C205" s="9" t="s">
        <v>211</v>
      </c>
      <c r="D205" s="86">
        <v>37.649009864574765</v>
      </c>
      <c r="E205" s="86">
        <v>35.205339751245859</v>
      </c>
      <c r="F205" s="88">
        <v>41.245840625452409</v>
      </c>
      <c r="G205" s="88">
        <v>30.322291372984928</v>
      </c>
      <c r="H205" s="88">
        <v>36.456777145567109</v>
      </c>
      <c r="I205" s="86">
        <v>6.5289583131065099</v>
      </c>
      <c r="J205" s="86">
        <v>8.3546243871560808</v>
      </c>
      <c r="K205" s="92">
        <v>32.087191822806489</v>
      </c>
      <c r="L205" s="86">
        <v>22.600944240810964</v>
      </c>
      <c r="M205" s="88">
        <v>12.586459098648623</v>
      </c>
      <c r="N205" s="86">
        <v>25.360333913394069</v>
      </c>
      <c r="O205" s="86">
        <v>5.2043446899118235</v>
      </c>
      <c r="P205" s="86">
        <v>5.3645279667751238</v>
      </c>
      <c r="Q205" s="92">
        <v>1.0333568075654764</v>
      </c>
    </row>
    <row r="206" spans="2:17" x14ac:dyDescent="0.3">
      <c r="B206" s="292"/>
      <c r="C206" s="9" t="s">
        <v>212</v>
      </c>
      <c r="D206" s="86">
        <v>31.775939896769746</v>
      </c>
      <c r="E206" s="86">
        <v>39.000629934491087</v>
      </c>
      <c r="F206" s="88">
        <v>42.616629676585866</v>
      </c>
      <c r="G206" s="88">
        <v>25.298381863213333</v>
      </c>
      <c r="H206" s="88">
        <v>46.35433301890928</v>
      </c>
      <c r="I206" s="86">
        <v>7.3423822824897806</v>
      </c>
      <c r="J206" s="86">
        <v>8.7300102229006278</v>
      </c>
      <c r="K206" s="92">
        <v>24.201523228985209</v>
      </c>
      <c r="L206" s="86">
        <v>16.364144866817451</v>
      </c>
      <c r="M206" s="88">
        <v>17.394190550613345</v>
      </c>
      <c r="N206" s="86">
        <v>36.692616404087467</v>
      </c>
      <c r="O206" s="86">
        <v>2.5313563570063176</v>
      </c>
      <c r="P206" s="86">
        <v>1.3814376834415656</v>
      </c>
      <c r="Q206" s="92">
        <v>0.3164240136891639</v>
      </c>
    </row>
    <row r="207" spans="2:17" x14ac:dyDescent="0.3">
      <c r="B207" s="292"/>
      <c r="C207" s="9" t="s">
        <v>213</v>
      </c>
      <c r="D207" s="86">
        <v>33.408020578083189</v>
      </c>
      <c r="E207" s="86">
        <v>25.898292039946096</v>
      </c>
      <c r="F207" s="88">
        <v>32.192042252956341</v>
      </c>
      <c r="G207" s="88">
        <v>30.896058207820055</v>
      </c>
      <c r="H207" s="88">
        <v>49.760825412372817</v>
      </c>
      <c r="I207" s="86">
        <v>4.1654939877081576</v>
      </c>
      <c r="J207" s="86">
        <v>8.047756661814681</v>
      </c>
      <c r="K207" s="92">
        <v>24.272343691943075</v>
      </c>
      <c r="L207" s="86">
        <v>16.406997247013546</v>
      </c>
      <c r="M207" s="88">
        <v>19.048405907877616</v>
      </c>
      <c r="N207" s="86">
        <v>46.95720825755059</v>
      </c>
      <c r="O207" s="86">
        <v>5.5477003429612708</v>
      </c>
      <c r="P207" s="86">
        <v>2.7040543379774054</v>
      </c>
      <c r="Q207" s="92">
        <v>0.69480107397544866</v>
      </c>
    </row>
    <row r="208" spans="2:17" x14ac:dyDescent="0.3">
      <c r="B208" s="292"/>
      <c r="C208" s="9" t="s">
        <v>214</v>
      </c>
      <c r="D208" s="86">
        <v>27.324393007064835</v>
      </c>
      <c r="E208" s="86">
        <v>24.268988402322481</v>
      </c>
      <c r="F208" s="88">
        <v>29.174729710611125</v>
      </c>
      <c r="G208" s="88">
        <v>35.161398202432714</v>
      </c>
      <c r="H208" s="88">
        <v>53.531277232899299</v>
      </c>
      <c r="I208" s="86">
        <v>4.9897790791942978</v>
      </c>
      <c r="J208" s="86">
        <v>8.3985558474383168</v>
      </c>
      <c r="K208" s="92">
        <v>20.955727495114747</v>
      </c>
      <c r="L208" s="86">
        <v>10.690168758947575</v>
      </c>
      <c r="M208" s="88">
        <v>23.219601010922737</v>
      </c>
      <c r="N208" s="86">
        <v>48.083022553624346</v>
      </c>
      <c r="O208" s="86">
        <v>11.158920239279404</v>
      </c>
      <c r="P208" s="86">
        <v>2.2080724950159256</v>
      </c>
      <c r="Q208" s="92">
        <v>0.83536596513201833</v>
      </c>
    </row>
    <row r="209" spans="2:17" x14ac:dyDescent="0.3">
      <c r="B209" s="292"/>
      <c r="C209" s="12" t="s">
        <v>215</v>
      </c>
      <c r="D209" s="90">
        <v>27.344065743408059</v>
      </c>
      <c r="E209" s="90">
        <v>25.415875513132335</v>
      </c>
      <c r="F209" s="91">
        <v>26.990049424899944</v>
      </c>
      <c r="G209" s="91">
        <v>40.424458940545804</v>
      </c>
      <c r="H209" s="91">
        <v>52.210273016171691</v>
      </c>
      <c r="I209" s="90">
        <v>3.7639301625115982</v>
      </c>
      <c r="J209" s="90">
        <v>11.371866965906822</v>
      </c>
      <c r="K209" s="94">
        <v>14.579637629522187</v>
      </c>
      <c r="L209" s="90">
        <v>13.829776409444802</v>
      </c>
      <c r="M209" s="91">
        <v>20.795160893082194</v>
      </c>
      <c r="N209" s="90">
        <v>45.589439280925063</v>
      </c>
      <c r="O209" s="90">
        <v>14.606005841368773</v>
      </c>
      <c r="P209" s="90">
        <v>2.2448233164422562</v>
      </c>
      <c r="Q209" s="94">
        <v>0.83463686263822967</v>
      </c>
    </row>
    <row r="210" spans="2:17" x14ac:dyDescent="0.3">
      <c r="B210" s="292"/>
      <c r="C210" s="9" t="s">
        <v>216</v>
      </c>
      <c r="D210" s="86">
        <v>44.464517876917057</v>
      </c>
      <c r="E210" s="86">
        <v>23.555448578512319</v>
      </c>
      <c r="F210" s="88">
        <v>51.160978618727057</v>
      </c>
      <c r="G210" s="88">
        <v>14.178275731769109</v>
      </c>
      <c r="H210" s="88">
        <v>45.311576529802039</v>
      </c>
      <c r="I210" s="86">
        <v>9.6899765388286809</v>
      </c>
      <c r="J210" s="86">
        <v>0</v>
      </c>
      <c r="K210" s="92">
        <v>46.868447010181477</v>
      </c>
      <c r="L210" s="86">
        <v>29.168521651258029</v>
      </c>
      <c r="M210" s="88">
        <v>10.67849999860962</v>
      </c>
      <c r="N210" s="86">
        <v>17.538803451232322</v>
      </c>
      <c r="O210" s="86">
        <v>0</v>
      </c>
      <c r="P210" s="86">
        <v>6.8384868075240748</v>
      </c>
      <c r="Q210" s="92">
        <v>0.54646720663824544</v>
      </c>
    </row>
    <row r="211" spans="2:17" x14ac:dyDescent="0.3">
      <c r="B211" s="292"/>
      <c r="C211" s="9" t="s">
        <v>217</v>
      </c>
      <c r="D211" s="86">
        <v>37.121351332657071</v>
      </c>
      <c r="E211" s="86">
        <v>32.048118681749891</v>
      </c>
      <c r="F211" s="88">
        <v>47.232556198930268</v>
      </c>
      <c r="G211" s="88">
        <v>21.978352023090938</v>
      </c>
      <c r="H211" s="88">
        <v>39.007665382354908</v>
      </c>
      <c r="I211" s="86">
        <v>8.1429974926582229</v>
      </c>
      <c r="J211" s="86">
        <v>9.4193882175659542</v>
      </c>
      <c r="K211" s="92">
        <v>35.933279019966399</v>
      </c>
      <c r="L211" s="86">
        <v>27.856552216422241</v>
      </c>
      <c r="M211" s="88">
        <v>12.9991140475127</v>
      </c>
      <c r="N211" s="86">
        <v>21.412926456866309</v>
      </c>
      <c r="O211" s="86">
        <v>1.9002440410230508</v>
      </c>
      <c r="P211" s="86">
        <v>4.6388798870123598</v>
      </c>
      <c r="Q211" s="92">
        <v>0.30857500218953066</v>
      </c>
    </row>
    <row r="212" spans="2:17" x14ac:dyDescent="0.3">
      <c r="B212" s="292"/>
      <c r="C212" s="9" t="s">
        <v>218</v>
      </c>
      <c r="D212" s="86">
        <v>27.890707009972115</v>
      </c>
      <c r="E212" s="86">
        <v>40.548243010211813</v>
      </c>
      <c r="F212" s="88">
        <v>36.683337923091727</v>
      </c>
      <c r="G212" s="88">
        <v>21.054775702341093</v>
      </c>
      <c r="H212" s="88">
        <v>42.185920653722079</v>
      </c>
      <c r="I212" s="86">
        <v>5.9935743078847379</v>
      </c>
      <c r="J212" s="86">
        <v>6.4333951112638568</v>
      </c>
      <c r="K212" s="92">
        <v>34.233357593433453</v>
      </c>
      <c r="L212" s="86">
        <v>24.131169457266228</v>
      </c>
      <c r="M212" s="88">
        <v>19.741416903601106</v>
      </c>
      <c r="N212" s="86">
        <v>34.872419393303232</v>
      </c>
      <c r="O212" s="86">
        <v>3.2918414287407765</v>
      </c>
      <c r="P212" s="86">
        <v>2.939841505167732</v>
      </c>
      <c r="Q212" s="92">
        <v>0</v>
      </c>
    </row>
    <row r="213" spans="2:17" x14ac:dyDescent="0.3">
      <c r="B213" s="292"/>
      <c r="C213" s="9" t="s">
        <v>219</v>
      </c>
      <c r="D213" s="86">
        <v>33.204905216884391</v>
      </c>
      <c r="E213" s="86">
        <v>26.486366371275476</v>
      </c>
      <c r="F213" s="88">
        <v>37.636206073284171</v>
      </c>
      <c r="G213" s="88">
        <v>15.678935593838803</v>
      </c>
      <c r="H213" s="88">
        <v>52.123615277523086</v>
      </c>
      <c r="I213" s="86">
        <v>5.2185597622956275</v>
      </c>
      <c r="J213" s="86">
        <v>7.4208740419655639</v>
      </c>
      <c r="K213" s="92">
        <v>33.164858914882025</v>
      </c>
      <c r="L213" s="86">
        <v>21.810735903618657</v>
      </c>
      <c r="M213" s="88">
        <v>22.290515689242497</v>
      </c>
      <c r="N213" s="86">
        <v>35.27655020929587</v>
      </c>
      <c r="O213" s="86">
        <v>7.0557308559987586</v>
      </c>
      <c r="P213" s="86">
        <v>2.0066910715906161</v>
      </c>
      <c r="Q213" s="92">
        <v>0.62545501830398231</v>
      </c>
    </row>
    <row r="214" spans="2:17" x14ac:dyDescent="0.3">
      <c r="B214" s="292"/>
      <c r="C214" s="9" t="s">
        <v>220</v>
      </c>
      <c r="D214" s="86">
        <v>34.606088158332518</v>
      </c>
      <c r="E214" s="86">
        <v>21.786395188357947</v>
      </c>
      <c r="F214" s="88">
        <v>27.210722486129228</v>
      </c>
      <c r="G214" s="88">
        <v>31.859685189219576</v>
      </c>
      <c r="H214" s="88">
        <v>45.254759687275303</v>
      </c>
      <c r="I214" s="86">
        <v>6.8657991090241968</v>
      </c>
      <c r="J214" s="86">
        <v>8.3870353314199271</v>
      </c>
      <c r="K214" s="92">
        <v>25.893181655435964</v>
      </c>
      <c r="L214" s="86">
        <v>19.488539715688805</v>
      </c>
      <c r="M214" s="88">
        <v>25.360740549331474</v>
      </c>
      <c r="N214" s="86">
        <v>37.936557940764331</v>
      </c>
      <c r="O214" s="86">
        <v>13.963842981904595</v>
      </c>
      <c r="P214" s="86">
        <v>1.1969616506668324</v>
      </c>
      <c r="Q214" s="92">
        <v>0.18969035644907023</v>
      </c>
    </row>
    <row r="215" spans="2:17" x14ac:dyDescent="0.3">
      <c r="B215" s="295"/>
      <c r="C215" s="9" t="s">
        <v>221</v>
      </c>
      <c r="D215" s="86">
        <v>35.172765120298152</v>
      </c>
      <c r="E215" s="86">
        <v>24.073422686827328</v>
      </c>
      <c r="F215" s="88">
        <v>28.315140882603735</v>
      </c>
      <c r="G215" s="88">
        <v>29.634261327000029</v>
      </c>
      <c r="H215" s="88">
        <v>52.797128691621452</v>
      </c>
      <c r="I215" s="86">
        <v>4.7708837289997987</v>
      </c>
      <c r="J215" s="86">
        <v>12.210804535289158</v>
      </c>
      <c r="K215" s="92">
        <v>20.082435409713344</v>
      </c>
      <c r="L215" s="86">
        <v>22.627916441144709</v>
      </c>
      <c r="M215" s="88">
        <v>16.071994221477308</v>
      </c>
      <c r="N215" s="86">
        <v>33.938143167955587</v>
      </c>
      <c r="O215" s="86">
        <v>14.185636091219884</v>
      </c>
      <c r="P215" s="86">
        <v>3.7217008005047263</v>
      </c>
      <c r="Q215" s="92">
        <v>2.397766895344811</v>
      </c>
    </row>
    <row r="216" spans="2:17" ht="16.5" customHeight="1" x14ac:dyDescent="0.3">
      <c r="B216" s="291" t="s">
        <v>222</v>
      </c>
      <c r="C216" s="13" t="s">
        <v>226</v>
      </c>
      <c r="D216" s="84">
        <v>27.714482779736244</v>
      </c>
      <c r="E216" s="84">
        <v>27.772018149351581</v>
      </c>
      <c r="F216" s="89">
        <v>36.024820699810967</v>
      </c>
      <c r="G216" s="89">
        <v>34.68494352150249</v>
      </c>
      <c r="H216" s="89">
        <v>41.187028885392408</v>
      </c>
      <c r="I216" s="84">
        <v>6.6954658706352488</v>
      </c>
      <c r="J216" s="84">
        <v>10.559183756186357</v>
      </c>
      <c r="K216" s="93">
        <v>25.735690306334451</v>
      </c>
      <c r="L216" s="84">
        <v>19.780302312651159</v>
      </c>
      <c r="M216" s="89">
        <v>19.813388181061494</v>
      </c>
      <c r="N216" s="84">
        <v>35.156466679125167</v>
      </c>
      <c r="O216" s="84">
        <v>8.2911939799633991</v>
      </c>
      <c r="P216" s="84">
        <v>4.9724496503704518</v>
      </c>
      <c r="Q216" s="93">
        <v>1.6125652278785911</v>
      </c>
    </row>
    <row r="217" spans="2:17" ht="16.5" customHeight="1" x14ac:dyDescent="0.3">
      <c r="B217" s="294"/>
      <c r="C217" s="9" t="s">
        <v>227</v>
      </c>
      <c r="D217" s="86">
        <v>29.662211926061282</v>
      </c>
      <c r="E217" s="86">
        <v>26.726830992349125</v>
      </c>
      <c r="F217" s="88">
        <v>32.522533524319776</v>
      </c>
      <c r="G217" s="88">
        <v>31.868185656529075</v>
      </c>
      <c r="H217" s="88">
        <v>44.31364664988002</v>
      </c>
      <c r="I217" s="86">
        <v>5.5300999003159745</v>
      </c>
      <c r="J217" s="86">
        <v>10.553824243214391</v>
      </c>
      <c r="K217" s="92">
        <v>25.060114355503821</v>
      </c>
      <c r="L217" s="86">
        <v>20.670010413394024</v>
      </c>
      <c r="M217" s="88">
        <v>18.671772517528613</v>
      </c>
      <c r="N217" s="86">
        <v>43.24469594185873</v>
      </c>
      <c r="O217" s="86">
        <v>8.159292271859135</v>
      </c>
      <c r="P217" s="86">
        <v>2.3878517585891155</v>
      </c>
      <c r="Q217" s="92">
        <v>0.62892984859722312</v>
      </c>
    </row>
    <row r="218" spans="2:17" x14ac:dyDescent="0.3">
      <c r="B218" s="292"/>
      <c r="C218" s="9" t="s">
        <v>228</v>
      </c>
      <c r="D218" s="86">
        <v>32.469982791166679</v>
      </c>
      <c r="E218" s="86">
        <v>30.046257448769293</v>
      </c>
      <c r="F218" s="88">
        <v>38.609621882244106</v>
      </c>
      <c r="G218" s="88">
        <v>28.732761729870514</v>
      </c>
      <c r="H218" s="88">
        <v>51.477363173564058</v>
      </c>
      <c r="I218" s="86">
        <v>5.1783146576293673</v>
      </c>
      <c r="J218" s="86">
        <v>8.0855477776302429</v>
      </c>
      <c r="K218" s="92">
        <v>26.091703821613137</v>
      </c>
      <c r="L218" s="86">
        <v>15.916747444115201</v>
      </c>
      <c r="M218" s="88">
        <v>19.060808281686466</v>
      </c>
      <c r="N218" s="86">
        <v>33.614651030470171</v>
      </c>
      <c r="O218" s="86">
        <v>8.1963227526936162</v>
      </c>
      <c r="P218" s="86">
        <v>2.2346873733533172</v>
      </c>
      <c r="Q218" s="92">
        <v>0.28522983519413431</v>
      </c>
    </row>
    <row r="219" spans="2:17" x14ac:dyDescent="0.3">
      <c r="B219" s="295"/>
      <c r="C219" s="12" t="s">
        <v>229</v>
      </c>
      <c r="D219" s="90">
        <v>40.344900785051195</v>
      </c>
      <c r="E219" s="90">
        <v>31.610287997921404</v>
      </c>
      <c r="F219" s="91">
        <v>32.914150930283903</v>
      </c>
      <c r="G219" s="91">
        <v>20.145857064085707</v>
      </c>
      <c r="H219" s="91">
        <v>52.258024369117095</v>
      </c>
      <c r="I219" s="90">
        <v>6.0079438293527341</v>
      </c>
      <c r="J219" s="90">
        <v>5.1638554874167975</v>
      </c>
      <c r="K219" s="94">
        <v>28.737950993433415</v>
      </c>
      <c r="L219" s="90">
        <v>18.261450807180481</v>
      </c>
      <c r="M219" s="91">
        <v>18.828892132286533</v>
      </c>
      <c r="N219" s="90">
        <v>35.961276166893455</v>
      </c>
      <c r="O219" s="90">
        <v>6.2466408207244939</v>
      </c>
      <c r="P219" s="90">
        <v>2.9310290577545914</v>
      </c>
      <c r="Q219" s="94">
        <v>0.58773955849822546</v>
      </c>
    </row>
    <row r="220" spans="2:17" x14ac:dyDescent="0.3">
      <c r="B220" s="296" t="s">
        <v>199</v>
      </c>
      <c r="C220" s="13" t="s">
        <v>192</v>
      </c>
      <c r="D220" s="84">
        <v>34.536452766945239</v>
      </c>
      <c r="E220" s="84">
        <v>34.819168775399476</v>
      </c>
      <c r="F220" s="89">
        <v>37.596886728841106</v>
      </c>
      <c r="G220" s="89">
        <v>26.178872701282994</v>
      </c>
      <c r="H220" s="89">
        <v>48.633509171835414</v>
      </c>
      <c r="I220" s="84">
        <v>6.3226016596208048</v>
      </c>
      <c r="J220" s="84">
        <v>8.2848693774554132</v>
      </c>
      <c r="K220" s="93">
        <v>25.205191527358494</v>
      </c>
      <c r="L220" s="84">
        <v>18.957253492103639</v>
      </c>
      <c r="M220" s="89">
        <v>15.988339925390797</v>
      </c>
      <c r="N220" s="84">
        <v>33.728213812673246</v>
      </c>
      <c r="O220" s="84">
        <v>6.4460625603177837</v>
      </c>
      <c r="P220" s="84">
        <v>2.7139736384461943</v>
      </c>
      <c r="Q220" s="93">
        <v>0.58860386232806894</v>
      </c>
    </row>
    <row r="221" spans="2:17" x14ac:dyDescent="0.3">
      <c r="B221" s="292"/>
      <c r="C221" s="9" t="s">
        <v>200</v>
      </c>
      <c r="D221" s="86">
        <v>17.747390572792991</v>
      </c>
      <c r="E221" s="86">
        <v>16.80176112800693</v>
      </c>
      <c r="F221" s="88">
        <v>34.633022391660305</v>
      </c>
      <c r="G221" s="88">
        <v>40.576202109633833</v>
      </c>
      <c r="H221" s="88">
        <v>33.555664367876616</v>
      </c>
      <c r="I221" s="86">
        <v>5.7546825274821991</v>
      </c>
      <c r="J221" s="86">
        <v>14.264973399812028</v>
      </c>
      <c r="K221" s="92">
        <v>27.20745307588021</v>
      </c>
      <c r="L221" s="86">
        <v>19.619397991405734</v>
      </c>
      <c r="M221" s="88">
        <v>27.549775494714424</v>
      </c>
      <c r="N221" s="86">
        <v>44.350488813305759</v>
      </c>
      <c r="O221" s="86">
        <v>11.826669684205658</v>
      </c>
      <c r="P221" s="86">
        <v>5.1399484105521527</v>
      </c>
      <c r="Q221" s="92">
        <v>0.97257003267127218</v>
      </c>
    </row>
    <row r="222" spans="2:17" x14ac:dyDescent="0.3">
      <c r="B222" s="292"/>
      <c r="C222" s="9" t="s">
        <v>201</v>
      </c>
      <c r="D222" s="86">
        <v>31.519092600403148</v>
      </c>
      <c r="E222" s="86">
        <v>27.506423708720533</v>
      </c>
      <c r="F222" s="88">
        <v>32.56001833086836</v>
      </c>
      <c r="G222" s="88">
        <v>31.649409838027648</v>
      </c>
      <c r="H222" s="88">
        <v>50.586666466151129</v>
      </c>
      <c r="I222" s="86">
        <v>6.3349896667436605</v>
      </c>
      <c r="J222" s="86">
        <v>8.2370318209757176</v>
      </c>
      <c r="K222" s="92">
        <v>26.341649197873952</v>
      </c>
      <c r="L222" s="86">
        <v>17.013690821208286</v>
      </c>
      <c r="M222" s="88">
        <v>17.814121661646148</v>
      </c>
      <c r="N222" s="86">
        <v>37.52509417599375</v>
      </c>
      <c r="O222" s="86">
        <v>8.3787414528986268</v>
      </c>
      <c r="P222" s="86">
        <v>3.4569349681425949</v>
      </c>
      <c r="Q222" s="92">
        <v>1.0761352903464136</v>
      </c>
    </row>
    <row r="223" spans="2:17" x14ac:dyDescent="0.3">
      <c r="B223" s="292"/>
      <c r="C223" s="9" t="s">
        <v>202</v>
      </c>
      <c r="D223" s="86">
        <v>28.954977423276361</v>
      </c>
      <c r="E223" s="86">
        <v>19.02163401195336</v>
      </c>
      <c r="F223" s="88">
        <v>28.365655977426908</v>
      </c>
      <c r="G223" s="88">
        <v>33.015093402436953</v>
      </c>
      <c r="H223" s="88">
        <v>50.537935765488925</v>
      </c>
      <c r="I223" s="86">
        <v>6.0894852558178147</v>
      </c>
      <c r="J223" s="86">
        <v>12.052949376629908</v>
      </c>
      <c r="K223" s="92">
        <v>23.839967455005191</v>
      </c>
      <c r="L223" s="86">
        <v>17.200781394615074</v>
      </c>
      <c r="M223" s="88">
        <v>22.477029964578378</v>
      </c>
      <c r="N223" s="86">
        <v>39.727768102569662</v>
      </c>
      <c r="O223" s="86">
        <v>13.091564877742284</v>
      </c>
      <c r="P223" s="86">
        <v>3.9434076902598343</v>
      </c>
      <c r="Q223" s="92">
        <v>1.6817493021992087</v>
      </c>
    </row>
    <row r="224" spans="2:17" x14ac:dyDescent="0.3">
      <c r="B224" s="295"/>
      <c r="C224" s="12" t="s">
        <v>203</v>
      </c>
      <c r="D224" s="90">
        <v>32.711510320837</v>
      </c>
      <c r="E224" s="90">
        <v>20.632033904344198</v>
      </c>
      <c r="F224" s="91">
        <v>30.515775459082889</v>
      </c>
      <c r="G224" s="91">
        <v>29.70501313369644</v>
      </c>
      <c r="H224" s="91">
        <v>43.929291153750725</v>
      </c>
      <c r="I224" s="90">
        <v>4.3745396239050276</v>
      </c>
      <c r="J224" s="90">
        <v>7.2409182880763536</v>
      </c>
      <c r="K224" s="94">
        <v>30.260040222073687</v>
      </c>
      <c r="L224" s="90">
        <v>19.615790345457462</v>
      </c>
      <c r="M224" s="91">
        <v>24.600710511217102</v>
      </c>
      <c r="N224" s="90">
        <v>44.686017858103611</v>
      </c>
      <c r="O224" s="90">
        <v>7.9028084597418697</v>
      </c>
      <c r="P224" s="90">
        <v>3.1344551171509076</v>
      </c>
      <c r="Q224" s="94">
        <v>0.69109560256332014</v>
      </c>
    </row>
    <row r="225" spans="2:19" x14ac:dyDescent="0.3">
      <c r="B225" s="291" t="s">
        <v>204</v>
      </c>
      <c r="C225" s="13" t="s">
        <v>192</v>
      </c>
      <c r="D225" s="84">
        <v>34.536452766945239</v>
      </c>
      <c r="E225" s="84">
        <v>34.819168775399476</v>
      </c>
      <c r="F225" s="89">
        <v>37.596886728841106</v>
      </c>
      <c r="G225" s="89">
        <v>26.178872701282994</v>
      </c>
      <c r="H225" s="89">
        <v>48.633509171835414</v>
      </c>
      <c r="I225" s="84">
        <v>6.3226016596208048</v>
      </c>
      <c r="J225" s="84">
        <v>8.2848693774554132</v>
      </c>
      <c r="K225" s="93">
        <v>25.205191527358494</v>
      </c>
      <c r="L225" s="84">
        <v>18.957253492103639</v>
      </c>
      <c r="M225" s="89">
        <v>15.988339925390797</v>
      </c>
      <c r="N225" s="84">
        <v>33.728213812673246</v>
      </c>
      <c r="O225" s="84">
        <v>6.4460625603177837</v>
      </c>
      <c r="P225" s="84">
        <v>2.7139736384461943</v>
      </c>
      <c r="Q225" s="93">
        <v>0.58860386232806894</v>
      </c>
    </row>
    <row r="226" spans="2:19" x14ac:dyDescent="0.3">
      <c r="B226" s="295"/>
      <c r="C226" s="12" t="s">
        <v>193</v>
      </c>
      <c r="D226" s="90">
        <v>30.593302460612708</v>
      </c>
      <c r="E226" s="90">
        <v>21.602247231989523</v>
      </c>
      <c r="F226" s="91">
        <v>30.93988094277616</v>
      </c>
      <c r="G226" s="91">
        <v>31.587502205848295</v>
      </c>
      <c r="H226" s="91">
        <v>45.736031771970218</v>
      </c>
      <c r="I226" s="90">
        <v>5.223493828255017</v>
      </c>
      <c r="J226" s="90">
        <v>8.8575668991891057</v>
      </c>
      <c r="K226" s="94">
        <v>28.025580674931515</v>
      </c>
      <c r="L226" s="90">
        <v>18.612730151293015</v>
      </c>
      <c r="M226" s="91">
        <v>22.938105734385815</v>
      </c>
      <c r="N226" s="90">
        <v>42.187748155399952</v>
      </c>
      <c r="O226" s="90">
        <v>9.2172276509704485</v>
      </c>
      <c r="P226" s="90">
        <v>3.507605115505684</v>
      </c>
      <c r="Q226" s="94">
        <v>0.97097717687304885</v>
      </c>
    </row>
    <row r="227" spans="2:19" ht="16.5" customHeight="1" x14ac:dyDescent="0.3">
      <c r="B227" s="291" t="s">
        <v>209</v>
      </c>
      <c r="C227" s="13" t="s">
        <v>205</v>
      </c>
      <c r="D227" s="84">
        <v>29.879105753759262</v>
      </c>
      <c r="E227" s="84">
        <v>26.814247504930034</v>
      </c>
      <c r="F227" s="89">
        <v>32.33803266394316</v>
      </c>
      <c r="G227" s="89">
        <v>24.241451288628891</v>
      </c>
      <c r="H227" s="89">
        <v>39.065251988782137</v>
      </c>
      <c r="I227" s="84">
        <v>7.325791890926638</v>
      </c>
      <c r="J227" s="84">
        <v>9.504685418143632</v>
      </c>
      <c r="K227" s="93">
        <v>30.239798421388191</v>
      </c>
      <c r="L227" s="84">
        <v>25.393497451545301</v>
      </c>
      <c r="M227" s="89">
        <v>17.988145711116072</v>
      </c>
      <c r="N227" s="84">
        <v>42.079220487096237</v>
      </c>
      <c r="O227" s="84">
        <v>9.0809181127372565</v>
      </c>
      <c r="P227" s="84">
        <v>4.2128844547727926</v>
      </c>
      <c r="Q227" s="93">
        <v>1.8369688522302339</v>
      </c>
    </row>
    <row r="228" spans="2:19" x14ac:dyDescent="0.3">
      <c r="B228" s="292"/>
      <c r="C228" s="9" t="s">
        <v>206</v>
      </c>
      <c r="D228" s="86">
        <v>28.387925617377931</v>
      </c>
      <c r="E228" s="86">
        <v>27.781818955687644</v>
      </c>
      <c r="F228" s="88">
        <v>33.965368567761288</v>
      </c>
      <c r="G228" s="88">
        <v>32.434871475498895</v>
      </c>
      <c r="H228" s="88">
        <v>47.441152372900355</v>
      </c>
      <c r="I228" s="86">
        <v>4.4806136480357726</v>
      </c>
      <c r="J228" s="86">
        <v>10.541185979917552</v>
      </c>
      <c r="K228" s="92">
        <v>22.667373337286602</v>
      </c>
      <c r="L228" s="86">
        <v>18.472997448524143</v>
      </c>
      <c r="M228" s="88">
        <v>19.082959397868851</v>
      </c>
      <c r="N228" s="86">
        <v>41.20644106913484</v>
      </c>
      <c r="O228" s="86">
        <v>8.5861131283086873</v>
      </c>
      <c r="P228" s="86">
        <v>3.9416873450070415</v>
      </c>
      <c r="Q228" s="92">
        <v>1.0094916566901855</v>
      </c>
    </row>
    <row r="229" spans="2:19" x14ac:dyDescent="0.3">
      <c r="B229" s="292"/>
      <c r="C229" s="9" t="s">
        <v>207</v>
      </c>
      <c r="D229" s="86">
        <v>33.882942655972791</v>
      </c>
      <c r="E229" s="86">
        <v>28.741714499464678</v>
      </c>
      <c r="F229" s="88">
        <v>35.614652447403969</v>
      </c>
      <c r="G229" s="88">
        <v>27.917072351481686</v>
      </c>
      <c r="H229" s="88">
        <v>46.983793523352652</v>
      </c>
      <c r="I229" s="86">
        <v>5.8804230020028792</v>
      </c>
      <c r="J229" s="86">
        <v>8.954468027897212</v>
      </c>
      <c r="K229" s="92">
        <v>26.423860959441807</v>
      </c>
      <c r="L229" s="86">
        <v>19.324801159153786</v>
      </c>
      <c r="M229" s="88">
        <v>21.417174913991158</v>
      </c>
      <c r="N229" s="86">
        <v>35.90649037193743</v>
      </c>
      <c r="O229" s="86">
        <v>6.4825902343275486</v>
      </c>
      <c r="P229" s="86">
        <v>2.0239815889098347</v>
      </c>
      <c r="Q229" s="92">
        <v>0.44603426466272811</v>
      </c>
    </row>
    <row r="230" spans="2:19" x14ac:dyDescent="0.3">
      <c r="B230" s="293"/>
      <c r="C230" s="25" t="s">
        <v>208</v>
      </c>
      <c r="D230" s="87">
        <v>35.444471201782207</v>
      </c>
      <c r="E230" s="87">
        <v>30.923126301219245</v>
      </c>
      <c r="F230" s="95">
        <v>35.223573880624507</v>
      </c>
      <c r="G230" s="95">
        <v>29.131065956437151</v>
      </c>
      <c r="H230" s="95">
        <v>51.51682874469229</v>
      </c>
      <c r="I230" s="87">
        <v>5.8237879340662353</v>
      </c>
      <c r="J230" s="87">
        <v>6.6411572582696099</v>
      </c>
      <c r="K230" s="96">
        <v>26.685955012090901</v>
      </c>
      <c r="L230" s="87">
        <v>15.435405385416795</v>
      </c>
      <c r="M230" s="95">
        <v>17.256108345907116</v>
      </c>
      <c r="N230" s="87">
        <v>34.795151288507434</v>
      </c>
      <c r="O230" s="87">
        <v>7.6476681160791395</v>
      </c>
      <c r="P230" s="87">
        <v>3.0567196399443963</v>
      </c>
      <c r="Q230" s="96">
        <v>0.41898093496295874</v>
      </c>
    </row>
    <row r="231" spans="2:19" x14ac:dyDescent="0.3">
      <c r="B231" s="136"/>
    </row>
    <row r="232" spans="2:19" x14ac:dyDescent="0.3">
      <c r="B232" s="60"/>
      <c r="C232" s="9"/>
      <c r="D232" s="58"/>
      <c r="E232" s="58"/>
      <c r="F232" s="50"/>
      <c r="G232" s="58"/>
      <c r="H232" s="50"/>
      <c r="I232" s="58"/>
      <c r="J232" s="58"/>
      <c r="K232" s="58"/>
      <c r="L232" s="50"/>
      <c r="M232" s="58"/>
      <c r="N232" s="58"/>
    </row>
    <row r="233" spans="2:19" x14ac:dyDescent="0.3">
      <c r="B233" s="1" t="s">
        <v>489</v>
      </c>
      <c r="D233" s="59"/>
      <c r="E233" s="304"/>
      <c r="F233" s="304"/>
      <c r="G233" s="304"/>
      <c r="H233" s="304"/>
      <c r="I233" s="304"/>
      <c r="J233" s="304"/>
      <c r="K233" s="304"/>
      <c r="L233" s="304"/>
      <c r="M233" s="304"/>
      <c r="N233" s="304"/>
      <c r="O233" s="304"/>
      <c r="P233" s="304"/>
      <c r="Q233" s="304"/>
      <c r="R233" s="304"/>
      <c r="S233" s="304"/>
    </row>
    <row r="234" spans="2:19" ht="10.5" customHeight="1" x14ac:dyDescent="0.3"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30"/>
      <c r="O234" s="30"/>
      <c r="P234" s="30" t="s">
        <v>52</v>
      </c>
    </row>
    <row r="235" spans="2:19" s="125" customFormat="1" ht="27" x14ac:dyDescent="0.3">
      <c r="B235" s="297"/>
      <c r="C235" s="297"/>
      <c r="D235" s="215" t="s">
        <v>57</v>
      </c>
      <c r="E235" s="215" t="s">
        <v>59</v>
      </c>
      <c r="F235" s="215" t="s">
        <v>126</v>
      </c>
      <c r="G235" s="215" t="s">
        <v>58</v>
      </c>
      <c r="H235" s="215" t="s">
        <v>127</v>
      </c>
      <c r="I235" s="202" t="s">
        <v>376</v>
      </c>
      <c r="J235" s="215" t="s">
        <v>60</v>
      </c>
      <c r="K235" s="215" t="s">
        <v>61</v>
      </c>
      <c r="L235" s="215" t="s">
        <v>128</v>
      </c>
      <c r="M235" s="215" t="s">
        <v>129</v>
      </c>
      <c r="N235" s="202" t="s">
        <v>377</v>
      </c>
      <c r="O235" s="215" t="s">
        <v>130</v>
      </c>
      <c r="P235" s="215" t="s">
        <v>38</v>
      </c>
      <c r="Q235" s="126"/>
    </row>
    <row r="236" spans="2:19" ht="21.75" customHeight="1" x14ac:dyDescent="0.3">
      <c r="B236" s="292" t="s">
        <v>20</v>
      </c>
      <c r="C236" s="292"/>
      <c r="D236" s="86">
        <v>14.122791863825274</v>
      </c>
      <c r="E236" s="86">
        <v>19.673476273418636</v>
      </c>
      <c r="F236" s="88">
        <v>27.560145309286181</v>
      </c>
      <c r="G236" s="86">
        <v>4.9274763251084162</v>
      </c>
      <c r="H236" s="88">
        <v>6.4301702257501283</v>
      </c>
      <c r="I236" s="86">
        <v>10.074361592067001</v>
      </c>
      <c r="J236" s="86">
        <v>3.5646982987568694</v>
      </c>
      <c r="K236" s="86">
        <v>5.04284883727696</v>
      </c>
      <c r="L236" s="88">
        <v>6.693332709887029</v>
      </c>
      <c r="M236" s="86">
        <v>1.5974707660667151</v>
      </c>
      <c r="N236" s="86">
        <v>0.1396118553406899</v>
      </c>
      <c r="O236" s="86">
        <v>0.14388040588761256</v>
      </c>
      <c r="P236" s="86">
        <v>2.9735537328108123E-2</v>
      </c>
    </row>
    <row r="237" spans="2:19" x14ac:dyDescent="0.3">
      <c r="B237" s="296" t="s">
        <v>5</v>
      </c>
      <c r="C237" s="13" t="s">
        <v>0</v>
      </c>
      <c r="D237" s="84">
        <v>14.543817568264286</v>
      </c>
      <c r="E237" s="84">
        <v>17.400950629016517</v>
      </c>
      <c r="F237" s="89">
        <v>28.124663703651308</v>
      </c>
      <c r="G237" s="84">
        <v>5.1363860316717647</v>
      </c>
      <c r="H237" s="89">
        <v>6.8346324754848462</v>
      </c>
      <c r="I237" s="84">
        <v>9.6946537880410038</v>
      </c>
      <c r="J237" s="84">
        <v>3.6129000962883766</v>
      </c>
      <c r="K237" s="84">
        <v>4.7747218105214175</v>
      </c>
      <c r="L237" s="89">
        <v>7.8406922070101501</v>
      </c>
      <c r="M237" s="84">
        <v>1.6714541803218359</v>
      </c>
      <c r="N237" s="84">
        <v>0.12621884226152671</v>
      </c>
      <c r="O237" s="84">
        <v>0.19016884748755158</v>
      </c>
      <c r="P237" s="84">
        <v>4.8739819979212971E-2</v>
      </c>
    </row>
    <row r="238" spans="2:19" x14ac:dyDescent="0.3">
      <c r="B238" s="295"/>
      <c r="C238" s="12" t="s">
        <v>1</v>
      </c>
      <c r="D238" s="90">
        <v>13.464023217816385</v>
      </c>
      <c r="E238" s="90">
        <v>23.229241695812846</v>
      </c>
      <c r="F238" s="90">
        <v>26.676857152810111</v>
      </c>
      <c r="G238" s="90">
        <v>4.6006004049927354</v>
      </c>
      <c r="H238" s="90">
        <v>5.7973180131412168</v>
      </c>
      <c r="I238" s="90">
        <v>10.668481127525151</v>
      </c>
      <c r="J238" s="90">
        <v>3.489278122363292</v>
      </c>
      <c r="K238" s="90">
        <v>5.4623806532963908</v>
      </c>
      <c r="L238" s="90">
        <v>4.8980873022167648</v>
      </c>
      <c r="M238" s="90">
        <v>1.4817107230999762</v>
      </c>
      <c r="N238" s="90">
        <v>0.16056757609388322</v>
      </c>
      <c r="O238" s="90">
        <v>7.1454010831079579E-2</v>
      </c>
      <c r="P238" s="90">
        <v>0</v>
      </c>
    </row>
    <row r="239" spans="2:19" x14ac:dyDescent="0.3">
      <c r="B239" s="296" t="s">
        <v>4</v>
      </c>
      <c r="C239" s="9" t="s">
        <v>175</v>
      </c>
      <c r="D239" s="86">
        <v>20.570165577749666</v>
      </c>
      <c r="E239" s="86">
        <v>21.778499849126661</v>
      </c>
      <c r="F239" s="88">
        <v>26.074002085086168</v>
      </c>
      <c r="G239" s="86">
        <v>6.7720098588208222</v>
      </c>
      <c r="H239" s="88">
        <v>4.0339883847986302</v>
      </c>
      <c r="I239" s="86">
        <v>8.7067023500393699</v>
      </c>
      <c r="J239" s="86">
        <v>3.4121172543058464</v>
      </c>
      <c r="K239" s="86">
        <v>0.91382444829240217</v>
      </c>
      <c r="L239" s="88">
        <v>5.4703467764435887</v>
      </c>
      <c r="M239" s="86">
        <v>2.2683434153368629</v>
      </c>
      <c r="N239" s="86">
        <v>0</v>
      </c>
      <c r="O239" s="86">
        <v>0</v>
      </c>
      <c r="P239" s="86">
        <v>0</v>
      </c>
    </row>
    <row r="240" spans="2:19" x14ac:dyDescent="0.3">
      <c r="B240" s="292"/>
      <c r="C240" s="9" t="s">
        <v>176</v>
      </c>
      <c r="D240" s="86">
        <v>17.982212546523339</v>
      </c>
      <c r="E240" s="86">
        <v>19.626231261143971</v>
      </c>
      <c r="F240" s="88">
        <v>25.594052218137168</v>
      </c>
      <c r="G240" s="86">
        <v>8.2912389951261432</v>
      </c>
      <c r="H240" s="88">
        <v>7.3096923754689191</v>
      </c>
      <c r="I240" s="86">
        <v>8.9064938723575882</v>
      </c>
      <c r="J240" s="86">
        <v>3.1721612784700448</v>
      </c>
      <c r="K240" s="86">
        <v>2.5937630345898675</v>
      </c>
      <c r="L240" s="88">
        <v>5.177742399817717</v>
      </c>
      <c r="M240" s="86">
        <v>0.86750668915246987</v>
      </c>
      <c r="N240" s="86">
        <v>0</v>
      </c>
      <c r="O240" s="86">
        <v>0.47890532921258205</v>
      </c>
      <c r="P240" s="86">
        <v>0</v>
      </c>
    </row>
    <row r="241" spans="2:16" x14ac:dyDescent="0.3">
      <c r="B241" s="292"/>
      <c r="C241" s="9" t="s">
        <v>177</v>
      </c>
      <c r="D241" s="86">
        <v>11.864309976471876</v>
      </c>
      <c r="E241" s="86">
        <v>22.529260057595732</v>
      </c>
      <c r="F241" s="88">
        <v>27.572601259871092</v>
      </c>
      <c r="G241" s="86">
        <v>3.9949945807528149</v>
      </c>
      <c r="H241" s="88">
        <v>8.343130704577618</v>
      </c>
      <c r="I241" s="86">
        <v>9.0238617453147842</v>
      </c>
      <c r="J241" s="86">
        <v>3.0072974220847257</v>
      </c>
      <c r="K241" s="86">
        <v>3.0693207514728251</v>
      </c>
      <c r="L241" s="88">
        <v>8.6231480120583743</v>
      </c>
      <c r="M241" s="86">
        <v>1.7623191259851598</v>
      </c>
      <c r="N241" s="86">
        <v>0</v>
      </c>
      <c r="O241" s="86">
        <v>0.20975636381529841</v>
      </c>
      <c r="P241" s="86">
        <v>0</v>
      </c>
    </row>
    <row r="242" spans="2:16" x14ac:dyDescent="0.3">
      <c r="B242" s="292"/>
      <c r="C242" s="9" t="s">
        <v>178</v>
      </c>
      <c r="D242" s="86">
        <v>11.494548686289734</v>
      </c>
      <c r="E242" s="86">
        <v>19.667038255724957</v>
      </c>
      <c r="F242" s="88">
        <v>28.991475563986178</v>
      </c>
      <c r="G242" s="86">
        <v>4.7285748973464301</v>
      </c>
      <c r="H242" s="88">
        <v>5.6453222304128774</v>
      </c>
      <c r="I242" s="86">
        <v>11.793697977825907</v>
      </c>
      <c r="J242" s="86">
        <v>3.8677369472725451</v>
      </c>
      <c r="K242" s="86">
        <v>5.1261366824080836</v>
      </c>
      <c r="L242" s="88">
        <v>6.6932378163567288</v>
      </c>
      <c r="M242" s="86">
        <v>1.7113635787669574</v>
      </c>
      <c r="N242" s="86">
        <v>0.28086736361015757</v>
      </c>
      <c r="O242" s="86">
        <v>0</v>
      </c>
      <c r="P242" s="86">
        <v>0</v>
      </c>
    </row>
    <row r="243" spans="2:16" x14ac:dyDescent="0.3">
      <c r="B243" s="292"/>
      <c r="C243" s="9" t="s">
        <v>179</v>
      </c>
      <c r="D243" s="86">
        <v>14.245305856431981</v>
      </c>
      <c r="E243" s="86">
        <v>17.334083960147655</v>
      </c>
      <c r="F243" s="88">
        <v>27.327087086742317</v>
      </c>
      <c r="G243" s="86">
        <v>4.9701596490701796</v>
      </c>
      <c r="H243" s="88">
        <v>5.3714287909901772</v>
      </c>
      <c r="I243" s="86">
        <v>8.6840771139913979</v>
      </c>
      <c r="J243" s="86">
        <v>4.2773578133795178</v>
      </c>
      <c r="K243" s="86">
        <v>8.4384151014972808</v>
      </c>
      <c r="L243" s="88">
        <v>7.1868456697502037</v>
      </c>
      <c r="M243" s="86">
        <v>1.9163493742345994</v>
      </c>
      <c r="N243" s="86">
        <v>0.11287875131216002</v>
      </c>
      <c r="O243" s="86">
        <v>0</v>
      </c>
      <c r="P243" s="86">
        <v>0.13601083245255452</v>
      </c>
    </row>
    <row r="244" spans="2:16" x14ac:dyDescent="0.3">
      <c r="B244" s="298"/>
      <c r="C244" s="12" t="s">
        <v>180</v>
      </c>
      <c r="D244" s="90">
        <v>15.029613645756038</v>
      </c>
      <c r="E244" s="90">
        <v>19.063074035591082</v>
      </c>
      <c r="F244" s="91">
        <v>28.091252840190407</v>
      </c>
      <c r="G244" s="90">
        <v>2.312526286463036</v>
      </c>
      <c r="H244" s="91">
        <v>6.5582277768673816</v>
      </c>
      <c r="I244" s="90">
        <v>12.207803523781081</v>
      </c>
      <c r="J244" s="90">
        <v>3.2052113828332174</v>
      </c>
      <c r="K244" s="90">
        <v>6.1095190669433856</v>
      </c>
      <c r="L244" s="91">
        <v>5.5779664768524588</v>
      </c>
      <c r="M244" s="90">
        <v>1.3570136209320582</v>
      </c>
      <c r="N244" s="90">
        <v>0.30775119674854029</v>
      </c>
      <c r="O244" s="90">
        <v>0.18004014704109239</v>
      </c>
      <c r="P244" s="90">
        <v>0</v>
      </c>
    </row>
    <row r="245" spans="2:16" x14ac:dyDescent="0.3">
      <c r="B245" s="292" t="s">
        <v>223</v>
      </c>
      <c r="C245" s="9" t="s">
        <v>210</v>
      </c>
      <c r="D245" s="86">
        <v>19.024751848429169</v>
      </c>
      <c r="E245" s="86">
        <v>25.241857158533588</v>
      </c>
      <c r="F245" s="88">
        <v>20.961260429337074</v>
      </c>
      <c r="G245" s="86">
        <v>5.8632369210926543</v>
      </c>
      <c r="H245" s="88">
        <v>6.2681156704788412</v>
      </c>
      <c r="I245" s="86">
        <v>9.8802137507161287</v>
      </c>
      <c r="J245" s="86">
        <v>3.9016888769137585</v>
      </c>
      <c r="K245" s="86">
        <v>1.4992259498048992</v>
      </c>
      <c r="L245" s="88">
        <v>6.3971666193616423</v>
      </c>
      <c r="M245" s="86">
        <v>0.96248277533224091</v>
      </c>
      <c r="N245" s="86">
        <v>0</v>
      </c>
      <c r="O245" s="86">
        <v>0</v>
      </c>
      <c r="P245" s="86">
        <v>0</v>
      </c>
    </row>
    <row r="246" spans="2:16" x14ac:dyDescent="0.3">
      <c r="B246" s="292"/>
      <c r="C246" s="9" t="s">
        <v>211</v>
      </c>
      <c r="D246" s="86">
        <v>18.837346170146848</v>
      </c>
      <c r="E246" s="86">
        <v>18.959581070136096</v>
      </c>
      <c r="F246" s="88">
        <v>25.308395654674893</v>
      </c>
      <c r="G246" s="86">
        <v>9.7598003394520898</v>
      </c>
      <c r="H246" s="88">
        <v>5.9554276801277295</v>
      </c>
      <c r="I246" s="86">
        <v>8.0866185929433918</v>
      </c>
      <c r="J246" s="86">
        <v>4.1260578311875999</v>
      </c>
      <c r="K246" s="86">
        <v>1.4692099613379004</v>
      </c>
      <c r="L246" s="88">
        <v>5.8125646913789542</v>
      </c>
      <c r="M246" s="86">
        <v>0.90336475154140727</v>
      </c>
      <c r="N246" s="86">
        <v>0</v>
      </c>
      <c r="O246" s="86">
        <v>0.78163325707316622</v>
      </c>
      <c r="P246" s="86">
        <v>0</v>
      </c>
    </row>
    <row r="247" spans="2:16" x14ac:dyDescent="0.3">
      <c r="B247" s="292"/>
      <c r="C247" s="9" t="s">
        <v>212</v>
      </c>
      <c r="D247" s="86">
        <v>14.586122506120674</v>
      </c>
      <c r="E247" s="86">
        <v>16.705771023400448</v>
      </c>
      <c r="F247" s="88">
        <v>27.004915898006121</v>
      </c>
      <c r="G247" s="86">
        <v>4.0927107865194001</v>
      </c>
      <c r="H247" s="88">
        <v>8.2049385765742908</v>
      </c>
      <c r="I247" s="86">
        <v>8.1218912679558386</v>
      </c>
      <c r="J247" s="86">
        <v>3.9359977347135073</v>
      </c>
      <c r="K247" s="86">
        <v>4.1392581025471422</v>
      </c>
      <c r="L247" s="88">
        <v>10.987382430914401</v>
      </c>
      <c r="M247" s="86">
        <v>1.878946421499611</v>
      </c>
      <c r="N247" s="86">
        <v>0</v>
      </c>
      <c r="O247" s="86">
        <v>0.34206525174863822</v>
      </c>
      <c r="P247" s="86">
        <v>0</v>
      </c>
    </row>
    <row r="248" spans="2:16" x14ac:dyDescent="0.3">
      <c r="B248" s="292"/>
      <c r="C248" s="9" t="s">
        <v>213</v>
      </c>
      <c r="D248" s="86">
        <v>12.608021946006701</v>
      </c>
      <c r="E248" s="86">
        <v>17.766898101932963</v>
      </c>
      <c r="F248" s="88">
        <v>31.144084194209533</v>
      </c>
      <c r="G248" s="86">
        <v>4.5812359366447444</v>
      </c>
      <c r="H248" s="88">
        <v>5.7687902761464791</v>
      </c>
      <c r="I248" s="86">
        <v>10.950450802209598</v>
      </c>
      <c r="J248" s="86">
        <v>3.3861408070173598</v>
      </c>
      <c r="K248" s="86">
        <v>4.160050299772303</v>
      </c>
      <c r="L248" s="88">
        <v>7.5737696865228594</v>
      </c>
      <c r="M248" s="86">
        <v>1.8526962523912998</v>
      </c>
      <c r="N248" s="86">
        <v>0.20786169714627151</v>
      </c>
      <c r="O248" s="86">
        <v>0</v>
      </c>
      <c r="P248" s="86">
        <v>0</v>
      </c>
    </row>
    <row r="249" spans="2:16" x14ac:dyDescent="0.3">
      <c r="B249" s="292"/>
      <c r="C249" s="9" t="s">
        <v>214</v>
      </c>
      <c r="D249" s="86">
        <v>11.944399845142597</v>
      </c>
      <c r="E249" s="86">
        <v>16.771330870856954</v>
      </c>
      <c r="F249" s="88">
        <v>28.551521083618482</v>
      </c>
      <c r="G249" s="86">
        <v>4.926324901125902</v>
      </c>
      <c r="H249" s="88">
        <v>6.2280155296539883</v>
      </c>
      <c r="I249" s="86">
        <v>8.9098850937410976</v>
      </c>
      <c r="J249" s="86">
        <v>3.7198129424628275</v>
      </c>
      <c r="K249" s="86">
        <v>7.8289307683788261</v>
      </c>
      <c r="L249" s="88">
        <v>8.372509140001231</v>
      </c>
      <c r="M249" s="86">
        <v>2.5330665357723605</v>
      </c>
      <c r="N249" s="86">
        <v>0</v>
      </c>
      <c r="O249" s="86">
        <v>0</v>
      </c>
      <c r="P249" s="86">
        <v>0.21420328924571017</v>
      </c>
    </row>
    <row r="250" spans="2:16" x14ac:dyDescent="0.3">
      <c r="B250" s="292"/>
      <c r="C250" s="12" t="s">
        <v>215</v>
      </c>
      <c r="D250" s="90">
        <v>15.575390071236473</v>
      </c>
      <c r="E250" s="90">
        <v>14.901226908709079</v>
      </c>
      <c r="F250" s="91">
        <v>29.154596618071416</v>
      </c>
      <c r="G250" s="90">
        <v>2.4707411587972818</v>
      </c>
      <c r="H250" s="91">
        <v>8.7688072473923189</v>
      </c>
      <c r="I250" s="90">
        <v>12.542601951994122</v>
      </c>
      <c r="J250" s="90">
        <v>2.7805735052663012</v>
      </c>
      <c r="K250" s="90">
        <v>6.303287580413321</v>
      </c>
      <c r="L250" s="91">
        <v>6.1327727887933028</v>
      </c>
      <c r="M250" s="90">
        <v>0.85711815922239454</v>
      </c>
      <c r="N250" s="90">
        <v>0.51288401010393181</v>
      </c>
      <c r="O250" s="90">
        <v>0</v>
      </c>
      <c r="P250" s="90">
        <v>0</v>
      </c>
    </row>
    <row r="251" spans="2:16" x14ac:dyDescent="0.3">
      <c r="B251" s="292"/>
      <c r="C251" s="9" t="s">
        <v>216</v>
      </c>
      <c r="D251" s="86">
        <v>22.982589947914438</v>
      </c>
      <c r="E251" s="86">
        <v>16.372123927078086</v>
      </c>
      <c r="F251" s="88">
        <v>34.055102766849203</v>
      </c>
      <c r="G251" s="86">
        <v>8.1906241368793093</v>
      </c>
      <c r="H251" s="88">
        <v>0.54646720663824544</v>
      </c>
      <c r="I251" s="86">
        <v>6.8748255859422915</v>
      </c>
      <c r="J251" s="86">
        <v>2.6478853266913918</v>
      </c>
      <c r="K251" s="86">
        <v>0</v>
      </c>
      <c r="L251" s="88">
        <v>4.0235608877282658</v>
      </c>
      <c r="M251" s="86">
        <v>4.3068202142787788</v>
      </c>
      <c r="N251" s="86">
        <v>0</v>
      </c>
      <c r="O251" s="86">
        <v>0</v>
      </c>
      <c r="P251" s="86">
        <v>0</v>
      </c>
    </row>
    <row r="252" spans="2:16" x14ac:dyDescent="0.3">
      <c r="B252" s="292"/>
      <c r="C252" s="9" t="s">
        <v>217</v>
      </c>
      <c r="D252" s="86">
        <v>16.62942011525902</v>
      </c>
      <c r="E252" s="86">
        <v>20.680849285488691</v>
      </c>
      <c r="F252" s="88">
        <v>26.045951227037584</v>
      </c>
      <c r="G252" s="86">
        <v>5.968024685024</v>
      </c>
      <c r="H252" s="88">
        <v>9.4520932578283681</v>
      </c>
      <c r="I252" s="86">
        <v>10.203508797197813</v>
      </c>
      <c r="J252" s="86">
        <v>1.6631292382404141</v>
      </c>
      <c r="K252" s="86">
        <v>4.3727679105812989</v>
      </c>
      <c r="L252" s="88">
        <v>4.1734750344637552</v>
      </c>
      <c r="M252" s="86">
        <v>0.81078044887903655</v>
      </c>
      <c r="N252" s="86">
        <v>0</v>
      </c>
      <c r="O252" s="86">
        <v>0</v>
      </c>
      <c r="P252" s="86">
        <v>0</v>
      </c>
    </row>
    <row r="253" spans="2:16" x14ac:dyDescent="0.3">
      <c r="B253" s="292"/>
      <c r="C253" s="9" t="s">
        <v>218</v>
      </c>
      <c r="D253" s="86">
        <v>7.5492748482671788</v>
      </c>
      <c r="E253" s="86">
        <v>31.761549011203034</v>
      </c>
      <c r="F253" s="88">
        <v>28.472583257724022</v>
      </c>
      <c r="G253" s="86">
        <v>3.8400798480573317</v>
      </c>
      <c r="H253" s="88">
        <v>8.5622140838625604</v>
      </c>
      <c r="I253" s="86">
        <v>10.453803834276117</v>
      </c>
      <c r="J253" s="86">
        <v>1.5349790941633945</v>
      </c>
      <c r="K253" s="86">
        <v>1.3730917847189539</v>
      </c>
      <c r="L253" s="88">
        <v>4.8750006075085652</v>
      </c>
      <c r="M253" s="86">
        <v>1.5774236302188427</v>
      </c>
      <c r="N253" s="86">
        <v>0</v>
      </c>
      <c r="O253" s="86">
        <v>0</v>
      </c>
      <c r="P253" s="86">
        <v>0</v>
      </c>
    </row>
    <row r="254" spans="2:16" x14ac:dyDescent="0.3">
      <c r="B254" s="292"/>
      <c r="C254" s="9" t="s">
        <v>219</v>
      </c>
      <c r="D254" s="86">
        <v>9.8935099464136957</v>
      </c>
      <c r="E254" s="86">
        <v>22.399208041452663</v>
      </c>
      <c r="F254" s="88">
        <v>25.896286902109129</v>
      </c>
      <c r="G254" s="86">
        <v>4.9404303522644382</v>
      </c>
      <c r="H254" s="88">
        <v>5.4677902397419995</v>
      </c>
      <c r="I254" s="86">
        <v>13.006184567576268</v>
      </c>
      <c r="J254" s="86">
        <v>4.5602134578617486</v>
      </c>
      <c r="K254" s="86">
        <v>6.5152510694563448</v>
      </c>
      <c r="L254" s="88">
        <v>5.4271403833660328</v>
      </c>
      <c r="M254" s="86">
        <v>1.5081444320940058</v>
      </c>
      <c r="N254" s="86">
        <v>0.38584060766349543</v>
      </c>
      <c r="O254" s="86">
        <v>0</v>
      </c>
      <c r="P254" s="86">
        <v>0</v>
      </c>
    </row>
    <row r="255" spans="2:16" x14ac:dyDescent="0.3">
      <c r="B255" s="292"/>
      <c r="C255" s="9" t="s">
        <v>220</v>
      </c>
      <c r="D255" s="86">
        <v>18.247586317044728</v>
      </c>
      <c r="E255" s="86">
        <v>18.312957361480347</v>
      </c>
      <c r="F255" s="88">
        <v>25.197261601927529</v>
      </c>
      <c r="G255" s="86">
        <v>5.04640742031006</v>
      </c>
      <c r="H255" s="88">
        <v>3.8814503433033587</v>
      </c>
      <c r="I255" s="86">
        <v>8.2912984169179591</v>
      </c>
      <c r="J255" s="86">
        <v>5.2471718483014627</v>
      </c>
      <c r="K255" s="86">
        <v>9.4985745454384976</v>
      </c>
      <c r="L255" s="88">
        <v>5.124459063532929</v>
      </c>
      <c r="M255" s="86">
        <v>0.84360888277750234</v>
      </c>
      <c r="N255" s="86">
        <v>0.30922419896556552</v>
      </c>
      <c r="O255" s="86">
        <v>0</v>
      </c>
      <c r="P255" s="86">
        <v>0</v>
      </c>
    </row>
    <row r="256" spans="2:16" x14ac:dyDescent="0.3">
      <c r="B256" s="295"/>
      <c r="C256" s="9" t="s">
        <v>221</v>
      </c>
      <c r="D256" s="90">
        <v>14.210810718270539</v>
      </c>
      <c r="E256" s="90">
        <v>25.306899258050404</v>
      </c>
      <c r="F256" s="91">
        <v>26.495967742476591</v>
      </c>
      <c r="G256" s="90">
        <v>2.0751638893514479</v>
      </c>
      <c r="H256" s="91">
        <v>3.2417984526949986</v>
      </c>
      <c r="I256" s="90">
        <v>11.705521049969475</v>
      </c>
      <c r="J256" s="90">
        <v>3.8422757942668717</v>
      </c>
      <c r="K256" s="90">
        <v>5.8188171995184002</v>
      </c>
      <c r="L256" s="91">
        <v>4.7456164316764911</v>
      </c>
      <c r="M256" s="90">
        <v>2.1069834774063714</v>
      </c>
      <c r="N256" s="90">
        <v>0</v>
      </c>
      <c r="O256" s="90">
        <v>0.45014598631843122</v>
      </c>
      <c r="P256" s="90">
        <v>0</v>
      </c>
    </row>
    <row r="257" spans="2:16" ht="16.5" customHeight="1" x14ac:dyDescent="0.3">
      <c r="B257" s="291" t="s">
        <v>222</v>
      </c>
      <c r="C257" s="13" t="s">
        <v>226</v>
      </c>
      <c r="D257" s="80">
        <v>19.534192385564978</v>
      </c>
      <c r="E257" s="80">
        <v>15.914972615296257</v>
      </c>
      <c r="F257" s="80">
        <v>25.18385427497843</v>
      </c>
      <c r="G257" s="80">
        <v>5.5567238804417318</v>
      </c>
      <c r="H257" s="80">
        <v>7.4605338895033864</v>
      </c>
      <c r="I257" s="80">
        <v>9.8016592748763696</v>
      </c>
      <c r="J257" s="80">
        <v>3.0244629096358961</v>
      </c>
      <c r="K257" s="80">
        <v>3.9551712929848581</v>
      </c>
      <c r="L257" s="80">
        <v>8.0608233126289779</v>
      </c>
      <c r="M257" s="80">
        <v>1.4277720326685177</v>
      </c>
      <c r="N257" s="80">
        <v>7.9834131420587595E-2</v>
      </c>
      <c r="O257" s="80">
        <v>0</v>
      </c>
      <c r="P257" s="80">
        <v>0</v>
      </c>
    </row>
    <row r="258" spans="2:16" x14ac:dyDescent="0.3">
      <c r="B258" s="294"/>
      <c r="C258" s="9" t="s">
        <v>227</v>
      </c>
      <c r="D258" s="79">
        <v>12.420374540818113</v>
      </c>
      <c r="E258" s="79">
        <v>20.543443408875678</v>
      </c>
      <c r="F258" s="79">
        <v>27.790781348213617</v>
      </c>
      <c r="G258" s="79">
        <v>4.9603607209969081</v>
      </c>
      <c r="H258" s="79">
        <v>6.7226683420192517</v>
      </c>
      <c r="I258" s="79">
        <v>9.66669123475506</v>
      </c>
      <c r="J258" s="79">
        <v>4.3534000045782992</v>
      </c>
      <c r="K258" s="79">
        <v>4.4536017938615187</v>
      </c>
      <c r="L258" s="79">
        <v>7.2864278069005559</v>
      </c>
      <c r="M258" s="79">
        <v>1.2577046901150644</v>
      </c>
      <c r="N258" s="79">
        <v>0.41389091654169247</v>
      </c>
      <c r="O258" s="79">
        <v>0.13065519232430881</v>
      </c>
      <c r="P258" s="79">
        <v>0</v>
      </c>
    </row>
    <row r="259" spans="2:16" x14ac:dyDescent="0.3">
      <c r="B259" s="292"/>
      <c r="C259" s="9" t="s">
        <v>228</v>
      </c>
      <c r="D259" s="79">
        <v>12.684661335771095</v>
      </c>
      <c r="E259" s="79">
        <v>20.424457286780296</v>
      </c>
      <c r="F259" s="79">
        <v>27.910363763190549</v>
      </c>
      <c r="G259" s="79">
        <v>6.1084890866152319</v>
      </c>
      <c r="H259" s="79">
        <v>6.3197007280361293</v>
      </c>
      <c r="I259" s="79">
        <v>8.7445536914222561</v>
      </c>
      <c r="J259" s="79">
        <v>3.1095714850251017</v>
      </c>
      <c r="K259" s="79">
        <v>5.9672897560888867</v>
      </c>
      <c r="L259" s="79">
        <v>6.6046744553762142</v>
      </c>
      <c r="M259" s="79">
        <v>1.6690921460068799</v>
      </c>
      <c r="N259" s="79">
        <v>0</v>
      </c>
      <c r="O259" s="79">
        <v>0.31631467616650893</v>
      </c>
      <c r="P259" s="79">
        <v>0.14083158952094108</v>
      </c>
    </row>
    <row r="260" spans="2:16" x14ac:dyDescent="0.3">
      <c r="B260" s="295"/>
      <c r="C260" s="12" t="s">
        <v>229</v>
      </c>
      <c r="D260" s="81">
        <v>12.8345810699861</v>
      </c>
      <c r="E260" s="81">
        <v>21.089335296124229</v>
      </c>
      <c r="F260" s="81">
        <v>28.890119564702811</v>
      </c>
      <c r="G260" s="81">
        <v>3.5070434554785113</v>
      </c>
      <c r="H260" s="81">
        <v>5.404078693763541</v>
      </c>
      <c r="I260" s="81">
        <v>11.730640915318215</v>
      </c>
      <c r="J260" s="81">
        <v>3.4895191305942554</v>
      </c>
      <c r="K260" s="81">
        <v>5.8106390938384314</v>
      </c>
      <c r="L260" s="81">
        <v>5.0692782099105216</v>
      </c>
      <c r="M260" s="81">
        <v>2.0363555927231594</v>
      </c>
      <c r="N260" s="81">
        <v>0</v>
      </c>
      <c r="O260" s="81">
        <v>0.13840897756022297</v>
      </c>
      <c r="P260" s="81">
        <v>0</v>
      </c>
    </row>
    <row r="261" spans="2:16" x14ac:dyDescent="0.3">
      <c r="B261" s="296" t="s">
        <v>199</v>
      </c>
      <c r="C261" s="13" t="s">
        <v>192</v>
      </c>
      <c r="D261" s="80">
        <v>13.650474376595231</v>
      </c>
      <c r="E261" s="80">
        <v>20.975274132904964</v>
      </c>
      <c r="F261" s="80">
        <v>28.003999278685036</v>
      </c>
      <c r="G261" s="80">
        <v>4.6859839823342027</v>
      </c>
      <c r="H261" s="80">
        <v>6.8316243262005374</v>
      </c>
      <c r="I261" s="80">
        <v>10.393109332615573</v>
      </c>
      <c r="J261" s="80">
        <v>3.3955347690465869</v>
      </c>
      <c r="K261" s="80">
        <v>4.9253020832314824</v>
      </c>
      <c r="L261" s="80">
        <v>5.8434316346190673</v>
      </c>
      <c r="M261" s="80">
        <v>0.96750245338989049</v>
      </c>
      <c r="N261" s="80">
        <v>6.7680184866160689E-2</v>
      </c>
      <c r="O261" s="80">
        <v>0.20702375350313035</v>
      </c>
      <c r="P261" s="80">
        <v>5.305969200777768E-2</v>
      </c>
    </row>
    <row r="262" spans="2:16" ht="16.5" customHeight="1" x14ac:dyDescent="0.3">
      <c r="B262" s="292"/>
      <c r="C262" s="9" t="s">
        <v>200</v>
      </c>
      <c r="D262" s="79">
        <v>15.623113832629656</v>
      </c>
      <c r="E262" s="79">
        <v>15.101615709518645</v>
      </c>
      <c r="F262" s="79">
        <v>29.248419837455952</v>
      </c>
      <c r="G262" s="79">
        <v>5.2484741161582082</v>
      </c>
      <c r="H262" s="79">
        <v>6.7367738637276684</v>
      </c>
      <c r="I262" s="79">
        <v>10.219325138231964</v>
      </c>
      <c r="J262" s="79">
        <v>1.1801852808547386</v>
      </c>
      <c r="K262" s="79">
        <v>4.0983403395498081</v>
      </c>
      <c r="L262" s="79">
        <v>10.041333417471016</v>
      </c>
      <c r="M262" s="79">
        <v>2.0161582503676097</v>
      </c>
      <c r="N262" s="79">
        <v>0.4862602140347676</v>
      </c>
      <c r="O262" s="79">
        <v>0</v>
      </c>
      <c r="P262" s="79">
        <v>0</v>
      </c>
    </row>
    <row r="263" spans="2:16" ht="16.5" customHeight="1" x14ac:dyDescent="0.3">
      <c r="B263" s="292"/>
      <c r="C263" s="9" t="s">
        <v>201</v>
      </c>
      <c r="D263" s="79">
        <v>17.379244001129337</v>
      </c>
      <c r="E263" s="79">
        <v>18.681592744034113</v>
      </c>
      <c r="F263" s="79">
        <v>25.542922852657817</v>
      </c>
      <c r="G263" s="79">
        <v>7.4859771267373798</v>
      </c>
      <c r="H263" s="79">
        <v>6.4347523916804361</v>
      </c>
      <c r="I263" s="79">
        <v>6.4441528239387074</v>
      </c>
      <c r="J263" s="79">
        <v>3.1489532737597146</v>
      </c>
      <c r="K263" s="79">
        <v>5.1583421425351013</v>
      </c>
      <c r="L263" s="79">
        <v>7.7678712737810605</v>
      </c>
      <c r="M263" s="79">
        <v>1.9561913697463498</v>
      </c>
      <c r="N263" s="79">
        <v>0</v>
      </c>
      <c r="O263" s="79">
        <v>0</v>
      </c>
      <c r="P263" s="79">
        <v>0</v>
      </c>
    </row>
    <row r="264" spans="2:16" x14ac:dyDescent="0.3">
      <c r="B264" s="292"/>
      <c r="C264" s="9" t="s">
        <v>202</v>
      </c>
      <c r="D264" s="79">
        <v>16.114786168021674</v>
      </c>
      <c r="E264" s="79">
        <v>17.54801760437962</v>
      </c>
      <c r="F264" s="79">
        <v>26.209750358784145</v>
      </c>
      <c r="G264" s="79">
        <v>3.3381806704298631</v>
      </c>
      <c r="H264" s="79">
        <v>9.1950417932312369</v>
      </c>
      <c r="I264" s="79">
        <v>10.114553798342815</v>
      </c>
      <c r="J264" s="79">
        <v>3.9434961210996238</v>
      </c>
      <c r="K264" s="79">
        <v>3.9688665158673917</v>
      </c>
      <c r="L264" s="79">
        <v>6.0141812959100038</v>
      </c>
      <c r="M264" s="79">
        <v>3.226287027287293</v>
      </c>
      <c r="N264" s="79">
        <v>0.32683864664632978</v>
      </c>
      <c r="O264" s="79">
        <v>0</v>
      </c>
      <c r="P264" s="79">
        <v>0</v>
      </c>
    </row>
    <row r="265" spans="2:16" x14ac:dyDescent="0.3">
      <c r="B265" s="295"/>
      <c r="C265" s="12" t="s">
        <v>203</v>
      </c>
      <c r="D265" s="81">
        <v>12.977994412965932</v>
      </c>
      <c r="E265" s="81">
        <v>18.326605497156432</v>
      </c>
      <c r="F265" s="81">
        <v>27.534427711693297</v>
      </c>
      <c r="G265" s="81">
        <v>4.8821987972473089</v>
      </c>
      <c r="H265" s="81">
        <v>4.489375461730817</v>
      </c>
      <c r="I265" s="81">
        <v>10.833760639629034</v>
      </c>
      <c r="J265" s="81">
        <v>4.4012178688680184</v>
      </c>
      <c r="K265" s="81">
        <v>5.7792830963739341</v>
      </c>
      <c r="L265" s="81">
        <v>8.0121014193177142</v>
      </c>
      <c r="M265" s="81">
        <v>2.380677110918322</v>
      </c>
      <c r="N265" s="81">
        <v>0.26085809799631388</v>
      </c>
      <c r="O265" s="81">
        <v>0.12149988610302621</v>
      </c>
      <c r="P265" s="81">
        <v>0</v>
      </c>
    </row>
    <row r="266" spans="2:16" x14ac:dyDescent="0.3">
      <c r="B266" s="291" t="s">
        <v>204</v>
      </c>
      <c r="C266" s="13" t="s">
        <v>192</v>
      </c>
      <c r="D266" s="80">
        <v>13.650474376595231</v>
      </c>
      <c r="E266" s="80">
        <v>20.975274132904964</v>
      </c>
      <c r="F266" s="80">
        <v>28.003999278685036</v>
      </c>
      <c r="G266" s="80">
        <v>4.6859839823342027</v>
      </c>
      <c r="H266" s="80">
        <v>6.8316243262005374</v>
      </c>
      <c r="I266" s="80">
        <v>10.393109332615573</v>
      </c>
      <c r="J266" s="80">
        <v>3.3955347690465869</v>
      </c>
      <c r="K266" s="80">
        <v>4.9253020832314824</v>
      </c>
      <c r="L266" s="80">
        <v>5.8434316346190673</v>
      </c>
      <c r="M266" s="80">
        <v>0.96750245338989049</v>
      </c>
      <c r="N266" s="80">
        <v>6.7680184866160689E-2</v>
      </c>
      <c r="O266" s="80">
        <v>0.20702375350313035</v>
      </c>
      <c r="P266" s="80">
        <v>5.305969200777768E-2</v>
      </c>
    </row>
    <row r="267" spans="2:16" x14ac:dyDescent="0.3">
      <c r="B267" s="295"/>
      <c r="C267" s="12" t="s">
        <v>193</v>
      </c>
      <c r="D267" s="81">
        <v>14.724940771905121</v>
      </c>
      <c r="E267" s="81">
        <v>18.01383804103525</v>
      </c>
      <c r="F267" s="81">
        <v>26.994284018424935</v>
      </c>
      <c r="G267" s="81">
        <v>5.2353504869649496</v>
      </c>
      <c r="H267" s="81">
        <v>5.9183637507283482</v>
      </c>
      <c r="I267" s="81">
        <v>9.6679959394848449</v>
      </c>
      <c r="J267" s="81">
        <v>3.7803617824431464</v>
      </c>
      <c r="K267" s="81">
        <v>5.1927070396736665</v>
      </c>
      <c r="L267" s="81">
        <v>7.7768560142003462</v>
      </c>
      <c r="M267" s="81">
        <v>2.400605822166106</v>
      </c>
      <c r="N267" s="81">
        <v>0.23131622370234184</v>
      </c>
      <c r="O267" s="81">
        <v>6.3380109271095247E-2</v>
      </c>
      <c r="P267" s="81">
        <v>0</v>
      </c>
    </row>
    <row r="268" spans="2:16" x14ac:dyDescent="0.3">
      <c r="B268" s="291" t="s">
        <v>209</v>
      </c>
      <c r="C268" s="13" t="s">
        <v>205</v>
      </c>
      <c r="D268" s="80">
        <v>15.350247463774272</v>
      </c>
      <c r="E268" s="80">
        <v>18.935269420765515</v>
      </c>
      <c r="F268" s="80">
        <v>25.146542422307594</v>
      </c>
      <c r="G268" s="80">
        <v>4.5291855914154553</v>
      </c>
      <c r="H268" s="80">
        <v>6.1545748446526289</v>
      </c>
      <c r="I268" s="80">
        <v>11.464413927161489</v>
      </c>
      <c r="J268" s="80">
        <v>2.6469544451643583</v>
      </c>
      <c r="K268" s="80">
        <v>5.3693152171441554</v>
      </c>
      <c r="L268" s="80">
        <v>8.4055555054645303</v>
      </c>
      <c r="M268" s="80">
        <v>1.5711686556102209</v>
      </c>
      <c r="N268" s="80">
        <v>0.42677250653976423</v>
      </c>
      <c r="O268" s="80">
        <v>0</v>
      </c>
      <c r="P268" s="80">
        <v>0</v>
      </c>
    </row>
    <row r="269" spans="2:16" x14ac:dyDescent="0.3">
      <c r="B269" s="292"/>
      <c r="C269" s="9" t="s">
        <v>206</v>
      </c>
      <c r="D269" s="79">
        <v>15.259781826235574</v>
      </c>
      <c r="E269" s="79">
        <v>17.833289510065587</v>
      </c>
      <c r="F269" s="79">
        <v>29.476780613978448</v>
      </c>
      <c r="G269" s="79">
        <v>2.2385029744883886</v>
      </c>
      <c r="H269" s="79">
        <v>7.2244737031611228</v>
      </c>
      <c r="I269" s="79">
        <v>10.015039554865247</v>
      </c>
      <c r="J269" s="79">
        <v>3.5860529456127792</v>
      </c>
      <c r="K269" s="79">
        <v>5.1149785549465348</v>
      </c>
      <c r="L269" s="79">
        <v>7.0001096623847596</v>
      </c>
      <c r="M269" s="79">
        <v>2.1126169899084708</v>
      </c>
      <c r="N269" s="79">
        <v>0.13837366435302542</v>
      </c>
      <c r="O269" s="79">
        <v>0</v>
      </c>
      <c r="P269" s="79">
        <v>0</v>
      </c>
    </row>
    <row r="270" spans="2:16" x14ac:dyDescent="0.3">
      <c r="B270" s="292"/>
      <c r="C270" s="9" t="s">
        <v>207</v>
      </c>
      <c r="D270" s="79">
        <v>13.809073010579546</v>
      </c>
      <c r="E270" s="79">
        <v>20.981930144895077</v>
      </c>
      <c r="F270" s="79">
        <v>27.534727614931718</v>
      </c>
      <c r="G270" s="79">
        <v>5.5073287718675257</v>
      </c>
      <c r="H270" s="79">
        <v>5.6987145179099761</v>
      </c>
      <c r="I270" s="79">
        <v>10.017400506440318</v>
      </c>
      <c r="J270" s="79">
        <v>3.8209577261571468</v>
      </c>
      <c r="K270" s="79">
        <v>4.700937436067214</v>
      </c>
      <c r="L270" s="79">
        <v>6.2725415534345661</v>
      </c>
      <c r="M270" s="79">
        <v>1.1846939951050373</v>
      </c>
      <c r="N270" s="79">
        <v>0.14722946736584133</v>
      </c>
      <c r="O270" s="79">
        <v>0.32446525524607195</v>
      </c>
      <c r="P270" s="79">
        <v>0</v>
      </c>
    </row>
    <row r="271" spans="2:16" x14ac:dyDescent="0.3">
      <c r="B271" s="293"/>
      <c r="C271" s="25" t="s">
        <v>208</v>
      </c>
      <c r="D271" s="82">
        <v>13.256663227104678</v>
      </c>
      <c r="E271" s="82">
        <v>19.7362579157545</v>
      </c>
      <c r="F271" s="82">
        <v>27.698390068690141</v>
      </c>
      <c r="G271" s="82">
        <v>5.9696229717032567</v>
      </c>
      <c r="H271" s="82">
        <v>6.8366905847517572</v>
      </c>
      <c r="I271" s="82">
        <v>9.5156293185386733</v>
      </c>
      <c r="J271" s="82">
        <v>3.7351828306904524</v>
      </c>
      <c r="K271" s="82">
        <v>5.1786710449156441</v>
      </c>
      <c r="L271" s="82">
        <v>6.1392496884499641</v>
      </c>
      <c r="M271" s="82">
        <v>1.7319735370655973</v>
      </c>
      <c r="N271" s="82">
        <v>0</v>
      </c>
      <c r="O271" s="82">
        <v>0.11433207755000481</v>
      </c>
      <c r="P271" s="82">
        <v>8.7336734785289138E-2</v>
      </c>
    </row>
    <row r="272" spans="2:16" x14ac:dyDescent="0.3">
      <c r="B272" s="60"/>
      <c r="C272" s="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</row>
    <row r="273" spans="2:19" x14ac:dyDescent="0.3">
      <c r="B273" s="60"/>
      <c r="C273" s="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</row>
    <row r="274" spans="2:19" x14ac:dyDescent="0.3">
      <c r="B274" s="1" t="s">
        <v>490</v>
      </c>
      <c r="D274" s="59"/>
      <c r="E274" s="304"/>
      <c r="F274" s="304"/>
      <c r="G274" s="304"/>
      <c r="H274" s="304"/>
      <c r="I274" s="304"/>
      <c r="J274" s="304"/>
      <c r="K274" s="304"/>
      <c r="L274" s="304"/>
      <c r="M274" s="304"/>
      <c r="N274" s="304"/>
      <c r="O274" s="304"/>
      <c r="P274" s="304"/>
      <c r="Q274" s="304"/>
      <c r="R274" s="304"/>
      <c r="S274" s="304"/>
    </row>
    <row r="275" spans="2:19" ht="10.5" customHeight="1" x14ac:dyDescent="0.3"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30"/>
      <c r="O275" s="30"/>
      <c r="P275" s="30" t="s">
        <v>157</v>
      </c>
    </row>
    <row r="276" spans="2:19" s="125" customFormat="1" ht="27" x14ac:dyDescent="0.3">
      <c r="B276" s="297"/>
      <c r="C276" s="297"/>
      <c r="D276" s="215" t="s">
        <v>57</v>
      </c>
      <c r="E276" s="215" t="s">
        <v>59</v>
      </c>
      <c r="F276" s="215" t="s">
        <v>126</v>
      </c>
      <c r="G276" s="215" t="s">
        <v>58</v>
      </c>
      <c r="H276" s="215" t="s">
        <v>127</v>
      </c>
      <c r="I276" s="202" t="s">
        <v>376</v>
      </c>
      <c r="J276" s="215" t="s">
        <v>60</v>
      </c>
      <c r="K276" s="215" t="s">
        <v>61</v>
      </c>
      <c r="L276" s="215" t="s">
        <v>128</v>
      </c>
      <c r="M276" s="215" t="s">
        <v>129</v>
      </c>
      <c r="N276" s="202" t="s">
        <v>377</v>
      </c>
      <c r="O276" s="215" t="s">
        <v>130</v>
      </c>
      <c r="P276" s="215" t="s">
        <v>38</v>
      </c>
      <c r="Q276" s="126"/>
    </row>
    <row r="277" spans="2:19" ht="21.75" customHeight="1" x14ac:dyDescent="0.3">
      <c r="B277" s="292" t="s">
        <v>20</v>
      </c>
      <c r="C277" s="292"/>
      <c r="D277" s="86">
        <v>25.80341357886477</v>
      </c>
      <c r="E277" s="86">
        <v>38.487081610769472</v>
      </c>
      <c r="F277" s="88">
        <v>56.347080702635935</v>
      </c>
      <c r="G277" s="86">
        <v>17.687278815056111</v>
      </c>
      <c r="H277" s="88">
        <v>28.428194181337151</v>
      </c>
      <c r="I277" s="86">
        <v>39.868716726680177</v>
      </c>
      <c r="J277" s="86">
        <v>20.134882323159875</v>
      </c>
      <c r="K277" s="86">
        <v>28.598912143649912</v>
      </c>
      <c r="L277" s="88">
        <v>30.93973285667596</v>
      </c>
      <c r="M277" s="86">
        <v>9.0355064170252444</v>
      </c>
      <c r="N277" s="86">
        <v>3.9920321953110856</v>
      </c>
      <c r="O277" s="86">
        <v>0.55173933244738449</v>
      </c>
      <c r="P277" s="86">
        <v>0.1254291163858075</v>
      </c>
    </row>
    <row r="278" spans="2:19" x14ac:dyDescent="0.3">
      <c r="B278" s="296" t="s">
        <v>5</v>
      </c>
      <c r="C278" s="13" t="s">
        <v>0</v>
      </c>
      <c r="D278" s="84">
        <v>25.372414060429442</v>
      </c>
      <c r="E278" s="84">
        <v>34.462306813502778</v>
      </c>
      <c r="F278" s="89">
        <v>56.631361127855484</v>
      </c>
      <c r="G278" s="84">
        <v>18.885945856662602</v>
      </c>
      <c r="H278" s="89">
        <v>26.927814623195072</v>
      </c>
      <c r="I278" s="84">
        <v>40.047460090864803</v>
      </c>
      <c r="J278" s="84">
        <v>20.406054361431845</v>
      </c>
      <c r="K278" s="84">
        <v>29.387642734438185</v>
      </c>
      <c r="L278" s="89">
        <v>33.156542474209012</v>
      </c>
      <c r="M278" s="84">
        <v>10.256594951152515</v>
      </c>
      <c r="N278" s="84">
        <v>3.7147202384546358</v>
      </c>
      <c r="O278" s="84">
        <v>0.59053892477575809</v>
      </c>
      <c r="P278" s="84">
        <v>0.1606037430270503</v>
      </c>
    </row>
    <row r="279" spans="2:19" x14ac:dyDescent="0.3">
      <c r="B279" s="295"/>
      <c r="C279" s="12" t="s">
        <v>1</v>
      </c>
      <c r="D279" s="90">
        <v>26.477788008256205</v>
      </c>
      <c r="E279" s="90">
        <v>44.784548524859744</v>
      </c>
      <c r="F279" s="90">
        <v>55.90227405820967</v>
      </c>
      <c r="G279" s="90">
        <v>15.81175374452212</v>
      </c>
      <c r="H279" s="90">
        <v>30.77580146420787</v>
      </c>
      <c r="I279" s="90">
        <v>39.58904134637578</v>
      </c>
      <c r="J279" s="90">
        <v>19.710586051924288</v>
      </c>
      <c r="K279" s="90">
        <v>27.364804634580668</v>
      </c>
      <c r="L279" s="90">
        <v>27.471144941960279</v>
      </c>
      <c r="M279" s="90">
        <v>7.1248989842656218</v>
      </c>
      <c r="N279" s="90">
        <v>4.4259354473318391</v>
      </c>
      <c r="O279" s="90">
        <v>0.49103055710570559</v>
      </c>
      <c r="P279" s="90">
        <v>7.0392236399594021E-2</v>
      </c>
    </row>
    <row r="280" spans="2:19" x14ac:dyDescent="0.3">
      <c r="B280" s="296" t="s">
        <v>4</v>
      </c>
      <c r="C280" s="9" t="s">
        <v>175</v>
      </c>
      <c r="D280" s="86">
        <v>32.535896780214387</v>
      </c>
      <c r="E280" s="86">
        <v>44.892829432554009</v>
      </c>
      <c r="F280" s="88">
        <v>60.747159909540095</v>
      </c>
      <c r="G280" s="86">
        <v>25.988117705170737</v>
      </c>
      <c r="H280" s="88">
        <v>19.255595509076393</v>
      </c>
      <c r="I280" s="86">
        <v>39.188244107434961</v>
      </c>
      <c r="J280" s="86">
        <v>16.69607190091055</v>
      </c>
      <c r="K280" s="86">
        <v>16.44919926755648</v>
      </c>
      <c r="L280" s="88">
        <v>20.761270402031595</v>
      </c>
      <c r="M280" s="86">
        <v>13.862167795923073</v>
      </c>
      <c r="N280" s="86">
        <v>8.9413977593829372</v>
      </c>
      <c r="O280" s="86">
        <v>0.68204943020483444</v>
      </c>
      <c r="P280" s="86">
        <v>0</v>
      </c>
    </row>
    <row r="281" spans="2:19" x14ac:dyDescent="0.3">
      <c r="B281" s="292"/>
      <c r="C281" s="9" t="s">
        <v>176</v>
      </c>
      <c r="D281" s="86">
        <v>28.788494778532296</v>
      </c>
      <c r="E281" s="86">
        <v>41.637811763636897</v>
      </c>
      <c r="F281" s="88">
        <v>56.569213710074138</v>
      </c>
      <c r="G281" s="86">
        <v>25.284342117927817</v>
      </c>
      <c r="H281" s="88">
        <v>30.573255454411452</v>
      </c>
      <c r="I281" s="86">
        <v>38.3234075428091</v>
      </c>
      <c r="J281" s="86">
        <v>20.719407870405451</v>
      </c>
      <c r="K281" s="86">
        <v>21.228025418586355</v>
      </c>
      <c r="L281" s="88">
        <v>25.391467725185173</v>
      </c>
      <c r="M281" s="86">
        <v>6.4658226282067757</v>
      </c>
      <c r="N281" s="86">
        <v>3.6990443339678656</v>
      </c>
      <c r="O281" s="86">
        <v>1.3197066562561217</v>
      </c>
      <c r="P281" s="86">
        <v>0</v>
      </c>
    </row>
    <row r="282" spans="2:19" x14ac:dyDescent="0.3">
      <c r="B282" s="292"/>
      <c r="C282" s="9" t="s">
        <v>177</v>
      </c>
      <c r="D282" s="86">
        <v>23.441093903867824</v>
      </c>
      <c r="E282" s="86">
        <v>41.442579402530477</v>
      </c>
      <c r="F282" s="88">
        <v>54.571626345621404</v>
      </c>
      <c r="G282" s="86">
        <v>22.295307625068116</v>
      </c>
      <c r="H282" s="88">
        <v>34.151488185189415</v>
      </c>
      <c r="I282" s="86">
        <v>36.880130445811346</v>
      </c>
      <c r="J282" s="86">
        <v>19.077649618957828</v>
      </c>
      <c r="K282" s="86">
        <v>26.859242106282462</v>
      </c>
      <c r="L282" s="88">
        <v>27.734421716095</v>
      </c>
      <c r="M282" s="86">
        <v>8.9020499199584648</v>
      </c>
      <c r="N282" s="86">
        <v>3.9190091315725213</v>
      </c>
      <c r="O282" s="86">
        <v>0.20975636381529841</v>
      </c>
      <c r="P282" s="86">
        <v>0.51564523523080164</v>
      </c>
    </row>
    <row r="283" spans="2:19" x14ac:dyDescent="0.3">
      <c r="B283" s="292"/>
      <c r="C283" s="9" t="s">
        <v>178</v>
      </c>
      <c r="D283" s="86">
        <v>23.300053126460334</v>
      </c>
      <c r="E283" s="86">
        <v>38.604929932347858</v>
      </c>
      <c r="F283" s="88">
        <v>58.201933806998561</v>
      </c>
      <c r="G283" s="86">
        <v>16.033758167240777</v>
      </c>
      <c r="H283" s="88">
        <v>28.127300432722912</v>
      </c>
      <c r="I283" s="86">
        <v>39.589630922240652</v>
      </c>
      <c r="J283" s="86">
        <v>21.13923122533496</v>
      </c>
      <c r="K283" s="86">
        <v>27.551429613740474</v>
      </c>
      <c r="L283" s="88">
        <v>32.324982728618721</v>
      </c>
      <c r="M283" s="86">
        <v>10.583543178221868</v>
      </c>
      <c r="N283" s="86">
        <v>4.2734938941130345</v>
      </c>
      <c r="O283" s="86">
        <v>0.26971297196152461</v>
      </c>
      <c r="P283" s="86">
        <v>0</v>
      </c>
    </row>
    <row r="284" spans="2:19" x14ac:dyDescent="0.3">
      <c r="B284" s="292"/>
      <c r="C284" s="9" t="s">
        <v>179</v>
      </c>
      <c r="D284" s="86">
        <v>23.54781853918001</v>
      </c>
      <c r="E284" s="86">
        <v>34.300155523579434</v>
      </c>
      <c r="F284" s="88">
        <v>54.723385299661288</v>
      </c>
      <c r="G284" s="86">
        <v>14.913538223517392</v>
      </c>
      <c r="H284" s="88">
        <v>25.447970222224221</v>
      </c>
      <c r="I284" s="86">
        <v>41.495037668494724</v>
      </c>
      <c r="J284" s="86">
        <v>21.887657068758315</v>
      </c>
      <c r="K284" s="86">
        <v>34.467254278666594</v>
      </c>
      <c r="L284" s="88">
        <v>35.793820513745658</v>
      </c>
      <c r="M284" s="86">
        <v>9.3624810415459301</v>
      </c>
      <c r="N284" s="86">
        <v>3.4510935610835873</v>
      </c>
      <c r="O284" s="86">
        <v>0.47377722709035081</v>
      </c>
      <c r="P284" s="86">
        <v>0.13601083245255452</v>
      </c>
    </row>
    <row r="285" spans="2:19" x14ac:dyDescent="0.3">
      <c r="B285" s="298"/>
      <c r="C285" s="12" t="s">
        <v>180</v>
      </c>
      <c r="D285" s="90">
        <v>30.836199416567379</v>
      </c>
      <c r="E285" s="90">
        <v>35.724780961542194</v>
      </c>
      <c r="F285" s="91">
        <v>56.517379745493287</v>
      </c>
      <c r="G285" s="90">
        <v>8.5695786852471993</v>
      </c>
      <c r="H285" s="91">
        <v>26.405364453456386</v>
      </c>
      <c r="I285" s="90">
        <v>43.372560870110121</v>
      </c>
      <c r="J285" s="90">
        <v>17.661206360057125</v>
      </c>
      <c r="K285" s="90">
        <v>34.857635105275861</v>
      </c>
      <c r="L285" s="91">
        <v>34.210741023142901</v>
      </c>
      <c r="M285" s="90">
        <v>7.7486992075677774</v>
      </c>
      <c r="N285" s="90">
        <v>3.420009641815132</v>
      </c>
      <c r="O285" s="90">
        <v>0.6758445297239889</v>
      </c>
      <c r="P285" s="90">
        <v>0</v>
      </c>
    </row>
    <row r="286" spans="2:19" x14ac:dyDescent="0.3">
      <c r="B286" s="292" t="s">
        <v>223</v>
      </c>
      <c r="C286" s="9" t="s">
        <v>210</v>
      </c>
      <c r="D286" s="86">
        <v>29.986038285164064</v>
      </c>
      <c r="E286" s="86">
        <v>47.388294497396636</v>
      </c>
      <c r="F286" s="88">
        <v>51.628659066723529</v>
      </c>
      <c r="G286" s="86">
        <v>24.971022881230262</v>
      </c>
      <c r="H286" s="88">
        <v>22.73371717470955</v>
      </c>
      <c r="I286" s="86">
        <v>36.101034038295658</v>
      </c>
      <c r="J286" s="86">
        <v>19.676100370363983</v>
      </c>
      <c r="K286" s="86">
        <v>21.959027810246099</v>
      </c>
      <c r="L286" s="88">
        <v>19.223272121841575</v>
      </c>
      <c r="M286" s="86">
        <v>17.174966464042019</v>
      </c>
      <c r="N286" s="86">
        <v>9.1578672899866369</v>
      </c>
      <c r="O286" s="86">
        <v>0</v>
      </c>
      <c r="P286" s="86">
        <v>0</v>
      </c>
    </row>
    <row r="287" spans="2:19" x14ac:dyDescent="0.3">
      <c r="B287" s="292"/>
      <c r="C287" s="9" t="s">
        <v>211</v>
      </c>
      <c r="D287" s="86">
        <v>28.402083812065676</v>
      </c>
      <c r="E287" s="86">
        <v>40.407317666389666</v>
      </c>
      <c r="F287" s="88">
        <v>58.760071545245218</v>
      </c>
      <c r="G287" s="86">
        <v>28.083968087456686</v>
      </c>
      <c r="H287" s="88">
        <v>24.937091290020387</v>
      </c>
      <c r="I287" s="86">
        <v>37.134541602549561</v>
      </c>
      <c r="J287" s="86">
        <v>21.565319658843059</v>
      </c>
      <c r="K287" s="86">
        <v>22.133877049969264</v>
      </c>
      <c r="L287" s="88">
        <v>26.087063882054888</v>
      </c>
      <c r="M287" s="86">
        <v>6.2994833859858215</v>
      </c>
      <c r="N287" s="86">
        <v>4.4044858896722836</v>
      </c>
      <c r="O287" s="86">
        <v>1.7846961297477295</v>
      </c>
      <c r="P287" s="86">
        <v>0</v>
      </c>
    </row>
    <row r="288" spans="2:19" x14ac:dyDescent="0.3">
      <c r="B288" s="292"/>
      <c r="C288" s="9" t="s">
        <v>212</v>
      </c>
      <c r="D288" s="86">
        <v>26.333803804814014</v>
      </c>
      <c r="E288" s="86">
        <v>33.943170236374094</v>
      </c>
      <c r="F288" s="88">
        <v>55.133969200196532</v>
      </c>
      <c r="G288" s="86">
        <v>25.86806200003705</v>
      </c>
      <c r="H288" s="88">
        <v>31.316306060948229</v>
      </c>
      <c r="I288" s="86">
        <v>35.025517079120561</v>
      </c>
      <c r="J288" s="86">
        <v>21.23237568840586</v>
      </c>
      <c r="K288" s="86">
        <v>25.858269225675095</v>
      </c>
      <c r="L288" s="88">
        <v>29.849881154767772</v>
      </c>
      <c r="M288" s="86">
        <v>10.091718125963084</v>
      </c>
      <c r="N288" s="86">
        <v>4.4051485131733044</v>
      </c>
      <c r="O288" s="86">
        <v>0.34206525174863822</v>
      </c>
      <c r="P288" s="86">
        <v>0.59971365877598293</v>
      </c>
    </row>
    <row r="289" spans="2:16" x14ac:dyDescent="0.3">
      <c r="B289" s="292"/>
      <c r="C289" s="9" t="s">
        <v>213</v>
      </c>
      <c r="D289" s="86">
        <v>23.506167296194395</v>
      </c>
      <c r="E289" s="86">
        <v>35.283168101843302</v>
      </c>
      <c r="F289" s="88">
        <v>59.936643224799788</v>
      </c>
      <c r="G289" s="86">
        <v>16.874151216949013</v>
      </c>
      <c r="H289" s="88">
        <v>26.462832619862866</v>
      </c>
      <c r="I289" s="86">
        <v>39.349331779249368</v>
      </c>
      <c r="J289" s="86">
        <v>19.044241588896167</v>
      </c>
      <c r="K289" s="86">
        <v>27.614154884143126</v>
      </c>
      <c r="L289" s="88">
        <v>35.645013378407029</v>
      </c>
      <c r="M289" s="86">
        <v>12.981683191694845</v>
      </c>
      <c r="N289" s="86">
        <v>3.1026445169822301</v>
      </c>
      <c r="O289" s="86">
        <v>0.19996820097816706</v>
      </c>
      <c r="P289" s="86">
        <v>0</v>
      </c>
    </row>
    <row r="290" spans="2:16" x14ac:dyDescent="0.3">
      <c r="B290" s="292"/>
      <c r="C290" s="9" t="s">
        <v>214</v>
      </c>
      <c r="D290" s="86">
        <v>20.193605230450309</v>
      </c>
      <c r="E290" s="86">
        <v>30.811804784738523</v>
      </c>
      <c r="F290" s="88">
        <v>54.194372935121457</v>
      </c>
      <c r="G290" s="86">
        <v>14.566657267611699</v>
      </c>
      <c r="H290" s="88">
        <v>25.448025699573201</v>
      </c>
      <c r="I290" s="86">
        <v>43.844874938152827</v>
      </c>
      <c r="J290" s="86">
        <v>21.582202723477049</v>
      </c>
      <c r="K290" s="86">
        <v>36.15976831127238</v>
      </c>
      <c r="L290" s="88">
        <v>38.870474537015056</v>
      </c>
      <c r="M290" s="86">
        <v>11.229084308355601</v>
      </c>
      <c r="N290" s="86">
        <v>2.3066711628886778</v>
      </c>
      <c r="O290" s="86">
        <v>0.57825481209740526</v>
      </c>
      <c r="P290" s="86">
        <v>0.21420328924571017</v>
      </c>
    </row>
    <row r="291" spans="2:16" x14ac:dyDescent="0.3">
      <c r="B291" s="292"/>
      <c r="C291" s="12" t="s">
        <v>215</v>
      </c>
      <c r="D291" s="90">
        <v>30.335210259041727</v>
      </c>
      <c r="E291" s="90">
        <v>29.56220783124472</v>
      </c>
      <c r="F291" s="91">
        <v>56.14461513183381</v>
      </c>
      <c r="G291" s="90">
        <v>8.4641522027218521</v>
      </c>
      <c r="H291" s="91">
        <v>27.696919225670243</v>
      </c>
      <c r="I291" s="90">
        <v>45.728834204442542</v>
      </c>
      <c r="J291" s="90">
        <v>18.670296879363949</v>
      </c>
      <c r="K291" s="90">
        <v>35.964260513411574</v>
      </c>
      <c r="L291" s="91">
        <v>36.084600730659503</v>
      </c>
      <c r="M291" s="90">
        <v>7.2242094625398865</v>
      </c>
      <c r="N291" s="90">
        <v>3.7284826241587368</v>
      </c>
      <c r="O291" s="90">
        <v>0.39621093491121812</v>
      </c>
      <c r="P291" s="90">
        <v>0</v>
      </c>
    </row>
    <row r="292" spans="2:16" x14ac:dyDescent="0.3">
      <c r="B292" s="292"/>
      <c r="C292" s="9" t="s">
        <v>216</v>
      </c>
      <c r="D292" s="86">
        <v>36.51628122822607</v>
      </c>
      <c r="E292" s="86">
        <v>40.997354309547198</v>
      </c>
      <c r="F292" s="88">
        <v>74.981337615629812</v>
      </c>
      <c r="G292" s="86">
        <v>27.575824798417099</v>
      </c>
      <c r="H292" s="88">
        <v>13.826172106541396</v>
      </c>
      <c r="I292" s="86">
        <v>44.007446024247507</v>
      </c>
      <c r="J292" s="86">
        <v>12.044182787271506</v>
      </c>
      <c r="K292" s="86">
        <v>7.84823733766709</v>
      </c>
      <c r="L292" s="88">
        <v>23.162119095173004</v>
      </c>
      <c r="M292" s="86">
        <v>8.690817180361023</v>
      </c>
      <c r="N292" s="86">
        <v>8.6034841242710556</v>
      </c>
      <c r="O292" s="86">
        <v>1.7467433926472491</v>
      </c>
      <c r="P292" s="86">
        <v>0</v>
      </c>
    </row>
    <row r="293" spans="2:16" x14ac:dyDescent="0.3">
      <c r="B293" s="292"/>
      <c r="C293" s="9" t="s">
        <v>217</v>
      </c>
      <c r="D293" s="86">
        <v>29.399783840677639</v>
      </c>
      <c r="E293" s="86">
        <v>43.584411751622717</v>
      </c>
      <c r="F293" s="88">
        <v>53.103350813890835</v>
      </c>
      <c r="G293" s="86">
        <v>20.855428650694822</v>
      </c>
      <c r="H293" s="88">
        <v>39.489476279227389</v>
      </c>
      <c r="I293" s="86">
        <v>40.20415319628534</v>
      </c>
      <c r="J293" s="86">
        <v>19.381204070083964</v>
      </c>
      <c r="K293" s="86">
        <v>19.794998816742947</v>
      </c>
      <c r="L293" s="88">
        <v>24.29105816317718</v>
      </c>
      <c r="M293" s="86">
        <v>6.7289656758924661</v>
      </c>
      <c r="N293" s="86">
        <v>2.5830596844430915</v>
      </c>
      <c r="O293" s="86">
        <v>0.58410905726143414</v>
      </c>
      <c r="P293" s="86">
        <v>0</v>
      </c>
    </row>
    <row r="294" spans="2:16" x14ac:dyDescent="0.3">
      <c r="B294" s="292"/>
      <c r="C294" s="9" t="s">
        <v>218</v>
      </c>
      <c r="D294" s="86">
        <v>18.855126023155954</v>
      </c>
      <c r="E294" s="86">
        <v>53.331794269551068</v>
      </c>
      <c r="F294" s="88">
        <v>53.680114110610511</v>
      </c>
      <c r="G294" s="86">
        <v>16.631228830329363</v>
      </c>
      <c r="H294" s="88">
        <v>38.646254201472132</v>
      </c>
      <c r="I294" s="86">
        <v>39.820348311418847</v>
      </c>
      <c r="J294" s="86">
        <v>15.661647017732916</v>
      </c>
      <c r="K294" s="86">
        <v>28.446138005669681</v>
      </c>
      <c r="L294" s="88">
        <v>24.380670606960596</v>
      </c>
      <c r="M294" s="86">
        <v>7.0160052185327464</v>
      </c>
      <c r="N294" s="86">
        <v>3.1483063421773267</v>
      </c>
      <c r="O294" s="86">
        <v>0</v>
      </c>
      <c r="P294" s="86">
        <v>0.38236706238872914</v>
      </c>
    </row>
    <row r="295" spans="2:16" x14ac:dyDescent="0.3">
      <c r="B295" s="292"/>
      <c r="C295" s="9" t="s">
        <v>219</v>
      </c>
      <c r="D295" s="86">
        <v>23.003686089621251</v>
      </c>
      <c r="E295" s="86">
        <v>43.381218297485468</v>
      </c>
      <c r="F295" s="88">
        <v>55.707633242444579</v>
      </c>
      <c r="G295" s="86">
        <v>14.825375462435108</v>
      </c>
      <c r="H295" s="88">
        <v>30.520602136566605</v>
      </c>
      <c r="I295" s="86">
        <v>39.935151781165494</v>
      </c>
      <c r="J295" s="86">
        <v>24.151570801796154</v>
      </c>
      <c r="K295" s="86">
        <v>27.46123832534817</v>
      </c>
      <c r="L295" s="88">
        <v>27.551183590201962</v>
      </c>
      <c r="M295" s="86">
        <v>7.1353103340915798</v>
      </c>
      <c r="N295" s="86">
        <v>5.9570324928059151</v>
      </c>
      <c r="O295" s="86">
        <v>0.36999744603727064</v>
      </c>
      <c r="P295" s="86">
        <v>0</v>
      </c>
    </row>
    <row r="296" spans="2:16" x14ac:dyDescent="0.3">
      <c r="B296" s="292"/>
      <c r="C296" s="9" t="s">
        <v>220</v>
      </c>
      <c r="D296" s="86">
        <v>29.3822604157229</v>
      </c>
      <c r="E296" s="86">
        <v>40.367920974808378</v>
      </c>
      <c r="F296" s="88">
        <v>55.643568844591826</v>
      </c>
      <c r="G296" s="86">
        <v>15.516915704026468</v>
      </c>
      <c r="H296" s="88">
        <v>25.447873722884886</v>
      </c>
      <c r="I296" s="86">
        <v>37.407644379143406</v>
      </c>
      <c r="J296" s="86">
        <v>22.418975580566389</v>
      </c>
      <c r="K296" s="86">
        <v>31.523233180553444</v>
      </c>
      <c r="L296" s="88">
        <v>30.442175456980987</v>
      </c>
      <c r="M296" s="86">
        <v>6.1156427327173217</v>
      </c>
      <c r="N296" s="86">
        <v>5.4417439312029501</v>
      </c>
      <c r="O296" s="86">
        <v>0.29204507680081188</v>
      </c>
      <c r="P296" s="86">
        <v>0</v>
      </c>
    </row>
    <row r="297" spans="2:16" x14ac:dyDescent="0.3">
      <c r="B297" s="295"/>
      <c r="C297" s="9" t="s">
        <v>221</v>
      </c>
      <c r="D297" s="90">
        <v>31.587810093887331</v>
      </c>
      <c r="E297" s="90">
        <v>44.970202134671389</v>
      </c>
      <c r="F297" s="91">
        <v>57.076621117377037</v>
      </c>
      <c r="G297" s="90">
        <v>8.7277451220812843</v>
      </c>
      <c r="H297" s="91">
        <v>24.467705039959998</v>
      </c>
      <c r="I297" s="90">
        <v>39.837553834199419</v>
      </c>
      <c r="J297" s="90">
        <v>16.147314896938358</v>
      </c>
      <c r="K297" s="90">
        <v>33.197416595446114</v>
      </c>
      <c r="L297" s="91">
        <v>31.399476661804616</v>
      </c>
      <c r="M297" s="90">
        <v>8.5355667207385402</v>
      </c>
      <c r="N297" s="90">
        <v>2.9572220071700506</v>
      </c>
      <c r="O297" s="90">
        <v>1.0953657757258819</v>
      </c>
      <c r="P297" s="90">
        <v>0</v>
      </c>
    </row>
    <row r="298" spans="2:16" ht="16.5" customHeight="1" x14ac:dyDescent="0.3">
      <c r="B298" s="291" t="s">
        <v>222</v>
      </c>
      <c r="C298" s="13" t="s">
        <v>226</v>
      </c>
      <c r="D298" s="80">
        <v>33.353217599026003</v>
      </c>
      <c r="E298" s="80">
        <v>36.205061645937711</v>
      </c>
      <c r="F298" s="80">
        <v>57.672084595144803</v>
      </c>
      <c r="G298" s="80">
        <v>21.380017011644799</v>
      </c>
      <c r="H298" s="80">
        <v>30.095402476365518</v>
      </c>
      <c r="I298" s="80">
        <v>33.891693046421565</v>
      </c>
      <c r="J298" s="80">
        <v>16.540326458756084</v>
      </c>
      <c r="K298" s="80">
        <v>24.051712882142965</v>
      </c>
      <c r="L298" s="80">
        <v>33.668724619158041</v>
      </c>
      <c r="M298" s="80">
        <v>7.7367922402449123</v>
      </c>
      <c r="N298" s="80">
        <v>4.6208702510401496</v>
      </c>
      <c r="O298" s="80">
        <v>0.5156033018654973</v>
      </c>
      <c r="P298" s="80">
        <v>0.26849387225195526</v>
      </c>
    </row>
    <row r="299" spans="2:16" x14ac:dyDescent="0.3">
      <c r="B299" s="294"/>
      <c r="C299" s="9" t="s">
        <v>227</v>
      </c>
      <c r="D299" s="79">
        <v>23.730339430959194</v>
      </c>
      <c r="E299" s="79">
        <v>38.856506398136737</v>
      </c>
      <c r="F299" s="79">
        <v>56.936763673091562</v>
      </c>
      <c r="G299" s="79">
        <v>18.854826518007503</v>
      </c>
      <c r="H299" s="79">
        <v>31.179294845886396</v>
      </c>
      <c r="I299" s="79">
        <v>39.069672201105291</v>
      </c>
      <c r="J299" s="79">
        <v>19.528316962221162</v>
      </c>
      <c r="K299" s="79">
        <v>27.653510347543893</v>
      </c>
      <c r="L299" s="79">
        <v>32.045213047152437</v>
      </c>
      <c r="M299" s="79">
        <v>7.3878602868232761</v>
      </c>
      <c r="N299" s="79">
        <v>4.0228989583769064</v>
      </c>
      <c r="O299" s="79">
        <v>0.60670369485502518</v>
      </c>
      <c r="P299" s="79">
        <v>0.12809363584085248</v>
      </c>
    </row>
    <row r="300" spans="2:16" x14ac:dyDescent="0.3">
      <c r="B300" s="292"/>
      <c r="C300" s="9" t="s">
        <v>228</v>
      </c>
      <c r="D300" s="79">
        <v>23.436225891987057</v>
      </c>
      <c r="E300" s="79">
        <v>39.392370230065254</v>
      </c>
      <c r="F300" s="79">
        <v>54.684496120034474</v>
      </c>
      <c r="G300" s="79">
        <v>19.839280973414223</v>
      </c>
      <c r="H300" s="79">
        <v>25.294231876816404</v>
      </c>
      <c r="I300" s="79">
        <v>40.141491648658132</v>
      </c>
      <c r="J300" s="79">
        <v>21.705840101577632</v>
      </c>
      <c r="K300" s="79">
        <v>28.185787353671536</v>
      </c>
      <c r="L300" s="79">
        <v>30.107710574751373</v>
      </c>
      <c r="M300" s="79">
        <v>11.905210941481105</v>
      </c>
      <c r="N300" s="79">
        <v>4.3926856467741819</v>
      </c>
      <c r="O300" s="79">
        <v>0.77383705124801361</v>
      </c>
      <c r="P300" s="79">
        <v>0.14083158952094108</v>
      </c>
    </row>
    <row r="301" spans="2:16" x14ac:dyDescent="0.3">
      <c r="B301" s="295"/>
      <c r="C301" s="12" t="s">
        <v>229</v>
      </c>
      <c r="D301" s="81">
        <v>23.958692915893973</v>
      </c>
      <c r="E301" s="81">
        <v>39.174282038108522</v>
      </c>
      <c r="F301" s="81">
        <v>55.955960392632278</v>
      </c>
      <c r="G301" s="81">
        <v>11.946140963986823</v>
      </c>
      <c r="H301" s="81">
        <v>26.588689369417651</v>
      </c>
      <c r="I301" s="81">
        <v>45.144800588699638</v>
      </c>
      <c r="J301" s="81">
        <v>22.372671300702105</v>
      </c>
      <c r="K301" s="81">
        <v>33.44400611629316</v>
      </c>
      <c r="L301" s="81">
        <v>28.279863907923708</v>
      </c>
      <c r="M301" s="81">
        <v>9.6152636706391412</v>
      </c>
      <c r="N301" s="81">
        <v>3.1672309438974948</v>
      </c>
      <c r="O301" s="81">
        <v>0.35239779180553787</v>
      </c>
      <c r="P301" s="81">
        <v>0</v>
      </c>
    </row>
    <row r="302" spans="2:16" x14ac:dyDescent="0.3">
      <c r="B302" s="296" t="s">
        <v>199</v>
      </c>
      <c r="C302" s="13" t="s">
        <v>192</v>
      </c>
      <c r="D302" s="80">
        <v>24.060024528324362</v>
      </c>
      <c r="E302" s="80">
        <v>39.712018637154024</v>
      </c>
      <c r="F302" s="80">
        <v>55.842515039704622</v>
      </c>
      <c r="G302" s="80">
        <v>18.329359699422692</v>
      </c>
      <c r="H302" s="80">
        <v>30.461397397030915</v>
      </c>
      <c r="I302" s="80">
        <v>41.37803183824154</v>
      </c>
      <c r="J302" s="80">
        <v>21.179379237594834</v>
      </c>
      <c r="K302" s="80">
        <v>27.486128933478742</v>
      </c>
      <c r="L302" s="80">
        <v>28.698858106208402</v>
      </c>
      <c r="M302" s="80">
        <v>8.1469668133379312</v>
      </c>
      <c r="N302" s="80">
        <v>4.1077761111983699</v>
      </c>
      <c r="O302" s="80">
        <v>0.47687606330432053</v>
      </c>
      <c r="P302" s="80">
        <v>0.12066759499794277</v>
      </c>
    </row>
    <row r="303" spans="2:16" ht="16.5" customHeight="1" x14ac:dyDescent="0.3">
      <c r="B303" s="292"/>
      <c r="C303" s="9" t="s">
        <v>200</v>
      </c>
      <c r="D303" s="79">
        <v>29.672622813805795</v>
      </c>
      <c r="E303" s="79">
        <v>31.447301375953803</v>
      </c>
      <c r="F303" s="79">
        <v>58.706312997857601</v>
      </c>
      <c r="G303" s="79">
        <v>13.544637490959438</v>
      </c>
      <c r="H303" s="79">
        <v>25.649479071690134</v>
      </c>
      <c r="I303" s="79">
        <v>37.114086875630711</v>
      </c>
      <c r="J303" s="79">
        <v>17.326158773477072</v>
      </c>
      <c r="K303" s="79">
        <v>34.663625129902698</v>
      </c>
      <c r="L303" s="79">
        <v>36.172282797455949</v>
      </c>
      <c r="M303" s="79">
        <v>8.5961940690940519</v>
      </c>
      <c r="N303" s="79">
        <v>6.2304105246596038</v>
      </c>
      <c r="O303" s="79">
        <v>0.87688807951325709</v>
      </c>
      <c r="P303" s="79">
        <v>0</v>
      </c>
    </row>
    <row r="304" spans="2:16" ht="16.5" customHeight="1" x14ac:dyDescent="0.3">
      <c r="B304" s="292"/>
      <c r="C304" s="9" t="s">
        <v>201</v>
      </c>
      <c r="D304" s="79">
        <v>30.919908756589333</v>
      </c>
      <c r="E304" s="79">
        <v>40.492912352517394</v>
      </c>
      <c r="F304" s="79">
        <v>55.793266523186048</v>
      </c>
      <c r="G304" s="79">
        <v>17.80134276398816</v>
      </c>
      <c r="H304" s="79">
        <v>24.20986701451978</v>
      </c>
      <c r="I304" s="79">
        <v>34.940161431385967</v>
      </c>
      <c r="J304" s="79">
        <v>18.200242324785556</v>
      </c>
      <c r="K304" s="79">
        <v>27.539817404585794</v>
      </c>
      <c r="L304" s="79">
        <v>33.407314692714017</v>
      </c>
      <c r="M304" s="79">
        <v>10.949508844360949</v>
      </c>
      <c r="N304" s="79">
        <v>4.2471583193354077</v>
      </c>
      <c r="O304" s="79">
        <v>0.91709501943316951</v>
      </c>
      <c r="P304" s="79">
        <v>0.58140455259834944</v>
      </c>
    </row>
    <row r="305" spans="2:16" x14ac:dyDescent="0.3">
      <c r="B305" s="292"/>
      <c r="C305" s="9" t="s">
        <v>202</v>
      </c>
      <c r="D305" s="79">
        <v>30.042603203425934</v>
      </c>
      <c r="E305" s="79">
        <v>38.730394894913339</v>
      </c>
      <c r="F305" s="79">
        <v>55.055191568757344</v>
      </c>
      <c r="G305" s="79">
        <v>15.534790275103397</v>
      </c>
      <c r="H305" s="79">
        <v>31.457638096775518</v>
      </c>
      <c r="I305" s="79">
        <v>38.415367699232647</v>
      </c>
      <c r="J305" s="79">
        <v>18.108710389194695</v>
      </c>
      <c r="K305" s="79">
        <v>27.159704633538308</v>
      </c>
      <c r="L305" s="79">
        <v>27.936942078813754</v>
      </c>
      <c r="M305" s="79">
        <v>12.752014861003058</v>
      </c>
      <c r="N305" s="79">
        <v>3.8219802064337642</v>
      </c>
      <c r="O305" s="79">
        <v>0.98466209280810157</v>
      </c>
      <c r="P305" s="79">
        <v>0</v>
      </c>
    </row>
    <row r="306" spans="2:16" x14ac:dyDescent="0.3">
      <c r="B306" s="295"/>
      <c r="C306" s="12" t="s">
        <v>203</v>
      </c>
      <c r="D306" s="81">
        <v>25.853471771576164</v>
      </c>
      <c r="E306" s="81">
        <v>35.628743717264513</v>
      </c>
      <c r="F306" s="81">
        <v>57.882061943724693</v>
      </c>
      <c r="G306" s="81">
        <v>17.415946959862762</v>
      </c>
      <c r="H306" s="81">
        <v>24.718919997052481</v>
      </c>
      <c r="I306" s="81">
        <v>39.220113089676303</v>
      </c>
      <c r="J306" s="81">
        <v>19.521128945060756</v>
      </c>
      <c r="K306" s="81">
        <v>31.316750809489228</v>
      </c>
      <c r="L306" s="81">
        <v>35.528608055220168</v>
      </c>
      <c r="M306" s="81">
        <v>9.2211368076859976</v>
      </c>
      <c r="N306" s="81">
        <v>3.3094993216946622</v>
      </c>
      <c r="O306" s="81">
        <v>0.38361858169278618</v>
      </c>
      <c r="P306" s="81">
        <v>0</v>
      </c>
    </row>
    <row r="307" spans="2:16" x14ac:dyDescent="0.3">
      <c r="B307" s="291" t="s">
        <v>204</v>
      </c>
      <c r="C307" s="13" t="s">
        <v>192</v>
      </c>
      <c r="D307" s="80">
        <v>24.060024528324362</v>
      </c>
      <c r="E307" s="80">
        <v>39.712018637154024</v>
      </c>
      <c r="F307" s="80">
        <v>55.842515039704622</v>
      </c>
      <c r="G307" s="80">
        <v>18.329359699422692</v>
      </c>
      <c r="H307" s="80">
        <v>30.461397397030915</v>
      </c>
      <c r="I307" s="80">
        <v>41.37803183824154</v>
      </c>
      <c r="J307" s="80">
        <v>21.179379237594834</v>
      </c>
      <c r="K307" s="80">
        <v>27.486128933478742</v>
      </c>
      <c r="L307" s="80">
        <v>28.698858106208402</v>
      </c>
      <c r="M307" s="80">
        <v>8.1469668133379312</v>
      </c>
      <c r="N307" s="80">
        <v>4.1077761111983699</v>
      </c>
      <c r="O307" s="80">
        <v>0.47687606330432053</v>
      </c>
      <c r="P307" s="80">
        <v>0.12066759499794277</v>
      </c>
    </row>
    <row r="308" spans="2:16" x14ac:dyDescent="0.3">
      <c r="B308" s="295"/>
      <c r="C308" s="12" t="s">
        <v>193</v>
      </c>
      <c r="D308" s="81">
        <v>28.026028327469078</v>
      </c>
      <c r="E308" s="81">
        <v>36.925431845841977</v>
      </c>
      <c r="F308" s="81">
        <v>56.990342218889722</v>
      </c>
      <c r="G308" s="81">
        <v>16.868701663302506</v>
      </c>
      <c r="H308" s="81">
        <v>25.836100665142681</v>
      </c>
      <c r="I308" s="81">
        <v>37.944518552894898</v>
      </c>
      <c r="J308" s="81">
        <v>18.803272349944404</v>
      </c>
      <c r="K308" s="81">
        <v>30.017579063784154</v>
      </c>
      <c r="L308" s="81">
        <v>33.796583006457624</v>
      </c>
      <c r="M308" s="81">
        <v>10.168289273073512</v>
      </c>
      <c r="N308" s="81">
        <v>3.8444723982408329</v>
      </c>
      <c r="O308" s="81">
        <v>0.64718114222273471</v>
      </c>
      <c r="P308" s="81">
        <v>0.13149949273650394</v>
      </c>
    </row>
    <row r="309" spans="2:16" x14ac:dyDescent="0.3">
      <c r="B309" s="291" t="s">
        <v>209</v>
      </c>
      <c r="C309" s="13" t="s">
        <v>205</v>
      </c>
      <c r="D309" s="80">
        <v>26.317834551948771</v>
      </c>
      <c r="E309" s="80">
        <v>34.767089435966177</v>
      </c>
      <c r="F309" s="80">
        <v>55.528358353008201</v>
      </c>
      <c r="G309" s="80">
        <v>19.613315462728718</v>
      </c>
      <c r="H309" s="80">
        <v>28.580445878730483</v>
      </c>
      <c r="I309" s="80">
        <v>38.848531092573566</v>
      </c>
      <c r="J309" s="80">
        <v>21.263387690084627</v>
      </c>
      <c r="K309" s="80">
        <v>27.416690560855056</v>
      </c>
      <c r="L309" s="80">
        <v>33.767401603379533</v>
      </c>
      <c r="M309" s="80">
        <v>8.2685264709391291</v>
      </c>
      <c r="N309" s="80">
        <v>4.7697016893539921</v>
      </c>
      <c r="O309" s="80">
        <v>0.66623361765735645</v>
      </c>
      <c r="P309" s="80">
        <v>0.19248359277418711</v>
      </c>
    </row>
    <row r="310" spans="2:16" x14ac:dyDescent="0.3">
      <c r="B310" s="292"/>
      <c r="C310" s="9" t="s">
        <v>206</v>
      </c>
      <c r="D310" s="79">
        <v>26.805109206586074</v>
      </c>
      <c r="E310" s="79">
        <v>41.497442445946589</v>
      </c>
      <c r="F310" s="79">
        <v>59.168933846884123</v>
      </c>
      <c r="G310" s="79">
        <v>14.18161083183225</v>
      </c>
      <c r="H310" s="79">
        <v>30.380981775704551</v>
      </c>
      <c r="I310" s="79">
        <v>38.343824981136059</v>
      </c>
      <c r="J310" s="79">
        <v>12.734735944874609</v>
      </c>
      <c r="K310" s="79">
        <v>31.239210258241869</v>
      </c>
      <c r="L310" s="79">
        <v>33.802801923998508</v>
      </c>
      <c r="M310" s="79">
        <v>7.1418380918941677</v>
      </c>
      <c r="N310" s="79">
        <v>4.382763443355401</v>
      </c>
      <c r="O310" s="79">
        <v>0.32074724954566558</v>
      </c>
      <c r="P310" s="79">
        <v>0</v>
      </c>
    </row>
    <row r="311" spans="2:16" x14ac:dyDescent="0.3">
      <c r="B311" s="292"/>
      <c r="C311" s="9" t="s">
        <v>207</v>
      </c>
      <c r="D311" s="79">
        <v>26.801371529686939</v>
      </c>
      <c r="E311" s="79">
        <v>40.421604580020301</v>
      </c>
      <c r="F311" s="79">
        <v>56.077795002173815</v>
      </c>
      <c r="G311" s="79">
        <v>18.774036656172104</v>
      </c>
      <c r="H311" s="79">
        <v>27.532867621685224</v>
      </c>
      <c r="I311" s="79">
        <v>40.190373804266436</v>
      </c>
      <c r="J311" s="79">
        <v>22.077427094079269</v>
      </c>
      <c r="K311" s="79">
        <v>26.759084682157493</v>
      </c>
      <c r="L311" s="79">
        <v>28.623146584750604</v>
      </c>
      <c r="M311" s="79">
        <v>9.6179108089372889</v>
      </c>
      <c r="N311" s="79">
        <v>2.4819661221361766</v>
      </c>
      <c r="O311" s="79">
        <v>0.52528266425207071</v>
      </c>
      <c r="P311" s="79">
        <v>0.11713284968239485</v>
      </c>
    </row>
    <row r="312" spans="2:16" x14ac:dyDescent="0.3">
      <c r="B312" s="293"/>
      <c r="C312" s="25" t="s">
        <v>208</v>
      </c>
      <c r="D312" s="82">
        <v>24.092286894058564</v>
      </c>
      <c r="E312" s="82">
        <v>36.795516910161169</v>
      </c>
      <c r="F312" s="82">
        <v>55.504036653686917</v>
      </c>
      <c r="G312" s="82">
        <v>17.598923116071429</v>
      </c>
      <c r="H312" s="82">
        <v>28.185370003941308</v>
      </c>
      <c r="I312" s="82">
        <v>40.834479361933184</v>
      </c>
      <c r="J312" s="82">
        <v>21.642929570066102</v>
      </c>
      <c r="K312" s="82">
        <v>29.511465074441563</v>
      </c>
      <c r="L312" s="82">
        <v>30.331016261826392</v>
      </c>
      <c r="M312" s="82">
        <v>9.8294220106360601</v>
      </c>
      <c r="N312" s="82">
        <v>4.8617677049729755</v>
      </c>
      <c r="O312" s="82">
        <v>0.64483514416317322</v>
      </c>
      <c r="P312" s="82">
        <v>0.16795129404113654</v>
      </c>
    </row>
    <row r="313" spans="2:16" x14ac:dyDescent="0.3">
      <c r="B313" s="60"/>
      <c r="C313" s="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</row>
    <row r="314" spans="2:16" x14ac:dyDescent="0.3">
      <c r="B314" s="60"/>
      <c r="C314" s="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</row>
    <row r="315" spans="2:16" x14ac:dyDescent="0.3">
      <c r="B315" s="1" t="s">
        <v>502</v>
      </c>
    </row>
    <row r="316" spans="2:16" x14ac:dyDescent="0.3">
      <c r="D316" s="30"/>
      <c r="E316" s="30" t="s">
        <v>301</v>
      </c>
      <c r="N316" s="30"/>
    </row>
    <row r="317" spans="2:16" x14ac:dyDescent="0.3">
      <c r="B317" s="216"/>
      <c r="C317" s="309" t="s">
        <v>137</v>
      </c>
      <c r="D317" s="290"/>
      <c r="E317" s="290"/>
      <c r="G317" s="308"/>
      <c r="H317" s="308"/>
      <c r="I317" s="308"/>
      <c r="J317" s="308"/>
      <c r="K317" s="308"/>
      <c r="L317" s="308"/>
      <c r="M317" s="308"/>
      <c r="N317" s="308"/>
    </row>
    <row r="318" spans="2:16" x14ac:dyDescent="0.3">
      <c r="B318" s="221"/>
      <c r="C318" s="228" t="s">
        <v>56</v>
      </c>
      <c r="D318" s="215" t="s">
        <v>302</v>
      </c>
      <c r="E318" s="215" t="s">
        <v>41</v>
      </c>
      <c r="G318" s="64"/>
      <c r="H318" s="64"/>
      <c r="I318" s="64"/>
      <c r="J318" s="64"/>
      <c r="K318" s="64"/>
      <c r="L318" s="64"/>
      <c r="M318" s="64"/>
      <c r="N318" s="64"/>
    </row>
    <row r="319" spans="2:16" x14ac:dyDescent="0.3">
      <c r="B319" s="40">
        <v>1</v>
      </c>
      <c r="C319" s="23" t="s">
        <v>336</v>
      </c>
      <c r="D319" s="134">
        <v>10262</v>
      </c>
      <c r="E319" s="83">
        <v>35.384986724595699</v>
      </c>
      <c r="G319" s="9"/>
      <c r="H319" s="56"/>
      <c r="I319" s="56"/>
      <c r="J319" s="56"/>
      <c r="K319" s="9"/>
      <c r="L319" s="56"/>
      <c r="M319" s="56"/>
      <c r="N319" s="56"/>
    </row>
    <row r="320" spans="2:16" x14ac:dyDescent="0.3">
      <c r="B320" s="40">
        <v>2</v>
      </c>
      <c r="C320" s="23" t="s">
        <v>337</v>
      </c>
      <c r="D320" s="134">
        <v>7478</v>
      </c>
      <c r="E320" s="83">
        <v>25.785317747663871</v>
      </c>
      <c r="G320" s="9"/>
      <c r="H320" s="56"/>
      <c r="I320" s="56"/>
      <c r="J320" s="56"/>
      <c r="K320" s="9"/>
      <c r="L320" s="56"/>
      <c r="M320" s="56"/>
      <c r="N320" s="56"/>
    </row>
    <row r="321" spans="2:14" x14ac:dyDescent="0.3">
      <c r="B321" s="40">
        <v>3</v>
      </c>
      <c r="C321" s="23" t="s">
        <v>343</v>
      </c>
      <c r="D321" s="134">
        <v>1504</v>
      </c>
      <c r="E321" s="83">
        <v>5.1860280679976558</v>
      </c>
      <c r="G321" s="9"/>
      <c r="H321" s="56"/>
      <c r="I321" s="56"/>
      <c r="J321" s="56"/>
      <c r="K321" s="9"/>
      <c r="L321" s="56"/>
      <c r="M321" s="56"/>
      <c r="N321" s="56"/>
    </row>
    <row r="322" spans="2:14" x14ac:dyDescent="0.3">
      <c r="B322" s="40">
        <v>4</v>
      </c>
      <c r="C322" s="23" t="s">
        <v>347</v>
      </c>
      <c r="D322" s="134">
        <v>1312</v>
      </c>
      <c r="E322" s="83">
        <v>4.5239819316575289</v>
      </c>
      <c r="G322" s="9"/>
      <c r="H322" s="56"/>
      <c r="I322" s="56"/>
      <c r="J322" s="56"/>
      <c r="K322" s="9"/>
      <c r="L322" s="56"/>
      <c r="M322" s="56"/>
      <c r="N322" s="56"/>
    </row>
    <row r="323" spans="2:14" x14ac:dyDescent="0.3">
      <c r="B323" s="40">
        <v>5</v>
      </c>
      <c r="C323" s="23" t="s">
        <v>341</v>
      </c>
      <c r="D323" s="134">
        <v>936</v>
      </c>
      <c r="E323" s="83">
        <v>3.2274749146581154</v>
      </c>
      <c r="G323" s="9"/>
      <c r="H323" s="56"/>
      <c r="I323" s="56"/>
      <c r="J323" s="56"/>
      <c r="K323" s="9"/>
      <c r="L323" s="56"/>
      <c r="M323" s="56"/>
      <c r="N323" s="56"/>
    </row>
    <row r="324" spans="2:14" x14ac:dyDescent="0.3">
      <c r="B324" s="40">
        <v>6</v>
      </c>
      <c r="C324" s="23" t="s">
        <v>356</v>
      </c>
      <c r="D324" s="134">
        <v>694</v>
      </c>
      <c r="E324" s="83">
        <v>2.3930209303127481</v>
      </c>
      <c r="G324" s="9"/>
      <c r="H324" s="56"/>
      <c r="I324" s="56"/>
      <c r="J324" s="56"/>
      <c r="K324" s="9"/>
      <c r="L324" s="56"/>
      <c r="M324" s="56"/>
      <c r="N324" s="56"/>
    </row>
    <row r="325" spans="2:14" x14ac:dyDescent="0.3">
      <c r="B325" s="40">
        <v>7</v>
      </c>
      <c r="C325" s="23" t="s">
        <v>351</v>
      </c>
      <c r="D325" s="134">
        <v>648</v>
      </c>
      <c r="E325" s="83">
        <v>2.234405710147926</v>
      </c>
      <c r="G325" s="9"/>
      <c r="H325" s="56"/>
      <c r="I325" s="56"/>
      <c r="J325" s="56"/>
      <c r="K325" s="9"/>
      <c r="L325" s="56"/>
      <c r="M325" s="56"/>
      <c r="N325" s="56"/>
    </row>
    <row r="326" spans="2:14" x14ac:dyDescent="0.3">
      <c r="B326" s="40">
        <v>8</v>
      </c>
      <c r="C326" s="23" t="s">
        <v>352</v>
      </c>
      <c r="D326" s="134">
        <v>632</v>
      </c>
      <c r="E326" s="83">
        <v>2.1792351987862486</v>
      </c>
      <c r="G326" s="9"/>
      <c r="H326" s="56"/>
      <c r="I326" s="56"/>
      <c r="J326" s="56"/>
      <c r="K326" s="9"/>
      <c r="L326" s="56"/>
      <c r="M326" s="56"/>
      <c r="N326" s="56"/>
    </row>
    <row r="327" spans="2:14" x14ac:dyDescent="0.3">
      <c r="B327" s="40">
        <v>9</v>
      </c>
      <c r="C327" s="23" t="s">
        <v>357</v>
      </c>
      <c r="D327" s="134">
        <v>627</v>
      </c>
      <c r="E327" s="83">
        <v>2.1619944139857248</v>
      </c>
      <c r="G327" s="9"/>
      <c r="H327" s="56"/>
      <c r="I327" s="56"/>
      <c r="J327" s="56"/>
      <c r="K327" s="9"/>
      <c r="L327" s="56"/>
      <c r="M327" s="56"/>
      <c r="N327" s="56"/>
    </row>
    <row r="328" spans="2:14" x14ac:dyDescent="0.3">
      <c r="B328" s="40">
        <v>10</v>
      </c>
      <c r="C328" s="23" t="s">
        <v>358</v>
      </c>
      <c r="D328" s="134">
        <v>571</v>
      </c>
      <c r="E328" s="83">
        <v>1.9688976242198546</v>
      </c>
      <c r="G328" s="9"/>
      <c r="H328" s="56"/>
      <c r="I328" s="56"/>
      <c r="J328" s="56"/>
      <c r="K328" s="9"/>
      <c r="L328" s="56"/>
      <c r="M328" s="56"/>
      <c r="N328" s="56"/>
    </row>
    <row r="329" spans="2:14" x14ac:dyDescent="0.3">
      <c r="B329" s="40">
        <v>11</v>
      </c>
      <c r="C329" s="23" t="s">
        <v>355</v>
      </c>
      <c r="D329" s="134">
        <v>540</v>
      </c>
      <c r="E329" s="83">
        <v>1.8620047584566048</v>
      </c>
      <c r="G329" s="9"/>
      <c r="H329" s="56"/>
      <c r="I329" s="56"/>
      <c r="J329" s="56"/>
      <c r="K329" s="9"/>
      <c r="L329" s="56"/>
      <c r="M329" s="56"/>
      <c r="N329" s="56"/>
    </row>
    <row r="330" spans="2:14" x14ac:dyDescent="0.3">
      <c r="B330" s="40">
        <v>12</v>
      </c>
      <c r="C330" s="23" t="s">
        <v>359</v>
      </c>
      <c r="D330" s="134">
        <v>371</v>
      </c>
      <c r="E330" s="83">
        <v>1.2792662321988897</v>
      </c>
      <c r="G330" s="9"/>
      <c r="H330" s="56"/>
      <c r="I330" s="56"/>
      <c r="J330" s="56"/>
      <c r="K330" s="9"/>
      <c r="L330" s="56"/>
      <c r="M330" s="56"/>
      <c r="N330" s="56"/>
    </row>
    <row r="331" spans="2:14" x14ac:dyDescent="0.3">
      <c r="B331" s="40">
        <v>13</v>
      </c>
      <c r="C331" s="23" t="s">
        <v>360</v>
      </c>
      <c r="D331" s="134">
        <v>367</v>
      </c>
      <c r="E331" s="83">
        <v>1.2654736043584702</v>
      </c>
      <c r="G331" s="9"/>
      <c r="H331" s="56"/>
      <c r="I331" s="56"/>
      <c r="J331" s="56"/>
      <c r="K331" s="9"/>
      <c r="L331" s="56"/>
      <c r="M331" s="56"/>
      <c r="N331" s="56"/>
    </row>
    <row r="332" spans="2:14" x14ac:dyDescent="0.3">
      <c r="B332" s="40">
        <v>14</v>
      </c>
      <c r="C332" s="23" t="s">
        <v>361</v>
      </c>
      <c r="D332" s="134">
        <v>328</v>
      </c>
      <c r="E332" s="83">
        <v>1.1309954829143822</v>
      </c>
      <c r="G332" s="9"/>
      <c r="H332" s="56"/>
      <c r="I332" s="56"/>
      <c r="J332" s="56"/>
      <c r="K332" s="9"/>
      <c r="L332" s="56"/>
      <c r="M332" s="56"/>
      <c r="N332" s="56"/>
    </row>
    <row r="333" spans="2:14" x14ac:dyDescent="0.3">
      <c r="B333" s="40">
        <v>15</v>
      </c>
      <c r="C333" s="23" t="s">
        <v>362</v>
      </c>
      <c r="D333" s="134">
        <v>249</v>
      </c>
      <c r="E333" s="83">
        <v>0.8585910830661011</v>
      </c>
      <c r="G333" s="9"/>
      <c r="H333" s="56"/>
      <c r="I333" s="56"/>
      <c r="J333" s="56"/>
      <c r="K333" s="9"/>
      <c r="L333" s="56"/>
      <c r="M333" s="56"/>
      <c r="N333" s="56"/>
    </row>
    <row r="334" spans="2:14" x14ac:dyDescent="0.3">
      <c r="B334" s="40">
        <v>16</v>
      </c>
      <c r="C334" s="23" t="s">
        <v>363</v>
      </c>
      <c r="D334" s="134">
        <v>230</v>
      </c>
      <c r="E334" s="83">
        <v>0.79307610082410951</v>
      </c>
      <c r="G334" s="9"/>
      <c r="H334" s="56"/>
      <c r="I334" s="56"/>
      <c r="J334" s="56"/>
      <c r="K334" s="9"/>
      <c r="L334" s="56"/>
      <c r="M334" s="56"/>
      <c r="N334" s="56"/>
    </row>
    <row r="335" spans="2:14" x14ac:dyDescent="0.3">
      <c r="B335" s="40">
        <v>17</v>
      </c>
      <c r="C335" s="23" t="s">
        <v>364</v>
      </c>
      <c r="D335" s="134">
        <v>198</v>
      </c>
      <c r="E335" s="83">
        <v>0.68273507810075518</v>
      </c>
      <c r="G335" s="9"/>
      <c r="H335" s="56"/>
      <c r="I335" s="56"/>
      <c r="J335" s="56"/>
      <c r="K335" s="9"/>
      <c r="L335" s="56"/>
      <c r="M335" s="56"/>
      <c r="N335" s="56"/>
    </row>
    <row r="336" spans="2:14" x14ac:dyDescent="0.3">
      <c r="B336" s="40">
        <v>18</v>
      </c>
      <c r="C336" s="23" t="s">
        <v>365</v>
      </c>
      <c r="D336" s="134">
        <v>141</v>
      </c>
      <c r="E336" s="83">
        <v>0.48619013137478023</v>
      </c>
      <c r="G336" s="9"/>
      <c r="H336" s="56"/>
      <c r="I336" s="56"/>
      <c r="J336" s="56"/>
      <c r="K336" s="9"/>
      <c r="L336" s="56"/>
      <c r="M336" s="56"/>
      <c r="N336" s="56"/>
    </row>
    <row r="337" spans="2:14" x14ac:dyDescent="0.3">
      <c r="B337" s="40">
        <v>19</v>
      </c>
      <c r="C337" s="23" t="s">
        <v>366</v>
      </c>
      <c r="D337" s="134">
        <v>136</v>
      </c>
      <c r="E337" s="83">
        <v>0.46894934657425602</v>
      </c>
      <c r="G337" s="9"/>
      <c r="H337" s="56"/>
      <c r="I337" s="56"/>
      <c r="J337" s="56"/>
      <c r="K337" s="9"/>
      <c r="L337" s="56"/>
      <c r="M337" s="56"/>
      <c r="N337" s="56"/>
    </row>
    <row r="338" spans="2:14" x14ac:dyDescent="0.3">
      <c r="B338" s="40">
        <v>20</v>
      </c>
      <c r="C338" s="23" t="s">
        <v>367</v>
      </c>
      <c r="D338" s="134">
        <v>126</v>
      </c>
      <c r="E338" s="83">
        <v>0.43446777697320782</v>
      </c>
      <c r="G338" s="9"/>
      <c r="H338" s="56"/>
      <c r="I338" s="56"/>
      <c r="J338" s="56"/>
      <c r="K338" s="9"/>
      <c r="L338" s="56"/>
      <c r="M338" s="56"/>
      <c r="N338" s="56"/>
    </row>
    <row r="339" spans="2:14" x14ac:dyDescent="0.3">
      <c r="B339" s="40">
        <v>21</v>
      </c>
      <c r="C339" s="23" t="s">
        <v>368</v>
      </c>
      <c r="D339" s="134">
        <v>97</v>
      </c>
      <c r="E339" s="83">
        <v>0.33447122513016792</v>
      </c>
      <c r="G339" s="9"/>
      <c r="H339" s="56"/>
      <c r="I339" s="56"/>
      <c r="J339" s="56"/>
      <c r="K339" s="9"/>
      <c r="L339" s="56"/>
      <c r="M339" s="56"/>
      <c r="N339" s="56"/>
    </row>
    <row r="340" spans="2:14" x14ac:dyDescent="0.3">
      <c r="B340" s="40">
        <v>22</v>
      </c>
      <c r="C340" s="23" t="s">
        <v>369</v>
      </c>
      <c r="D340" s="134">
        <v>91</v>
      </c>
      <c r="E340" s="83">
        <v>0.31378228336953901</v>
      </c>
      <c r="G340" s="9"/>
      <c r="H340" s="56"/>
      <c r="I340" s="56"/>
      <c r="J340" s="56"/>
      <c r="K340" s="9"/>
      <c r="L340" s="56"/>
      <c r="M340" s="56"/>
      <c r="N340" s="56"/>
    </row>
    <row r="341" spans="2:14" x14ac:dyDescent="0.3">
      <c r="B341" s="40">
        <v>23</v>
      </c>
      <c r="C341" s="23" t="s">
        <v>370</v>
      </c>
      <c r="D341" s="134">
        <v>79</v>
      </c>
      <c r="E341" s="83">
        <v>0.27240439984828108</v>
      </c>
      <c r="G341" s="9"/>
      <c r="H341" s="56"/>
      <c r="I341" s="56"/>
      <c r="J341" s="56"/>
      <c r="K341" s="9"/>
      <c r="L341" s="56"/>
      <c r="M341" s="56"/>
      <c r="N341" s="56"/>
    </row>
    <row r="342" spans="2:14" x14ac:dyDescent="0.3">
      <c r="B342" s="40">
        <v>24</v>
      </c>
      <c r="C342" s="23" t="s">
        <v>371</v>
      </c>
      <c r="D342" s="134">
        <v>67</v>
      </c>
      <c r="E342" s="83">
        <v>0.2310265163270232</v>
      </c>
      <c r="G342" s="9"/>
      <c r="H342" s="56"/>
      <c r="I342" s="56"/>
      <c r="J342" s="56"/>
      <c r="K342" s="9"/>
      <c r="L342" s="56"/>
      <c r="M342" s="56"/>
      <c r="N342" s="56"/>
    </row>
    <row r="343" spans="2:14" x14ac:dyDescent="0.3">
      <c r="B343" s="40">
        <v>25</v>
      </c>
      <c r="C343" s="23" t="s">
        <v>372</v>
      </c>
      <c r="D343" s="134">
        <v>56</v>
      </c>
      <c r="E343" s="83">
        <v>0.19309678976587016</v>
      </c>
      <c r="G343" s="9"/>
      <c r="H343" s="56"/>
      <c r="I343" s="56"/>
      <c r="J343" s="56"/>
      <c r="K343" s="9"/>
      <c r="L343" s="56"/>
      <c r="M343" s="56"/>
      <c r="N343" s="56"/>
    </row>
    <row r="344" spans="2:14" x14ac:dyDescent="0.3">
      <c r="B344" s="40">
        <v>26</v>
      </c>
      <c r="C344" s="23" t="s">
        <v>373</v>
      </c>
      <c r="D344" s="134">
        <v>54</v>
      </c>
      <c r="E344" s="83">
        <v>0.18620047584566049</v>
      </c>
      <c r="G344" s="9"/>
      <c r="H344" s="56"/>
      <c r="I344" s="56"/>
      <c r="J344" s="56"/>
      <c r="K344" s="9"/>
      <c r="L344" s="56"/>
      <c r="M344" s="56"/>
      <c r="N344" s="56"/>
    </row>
    <row r="345" spans="2:14" x14ac:dyDescent="0.3">
      <c r="B345" s="40">
        <v>27</v>
      </c>
      <c r="C345" s="23" t="s">
        <v>304</v>
      </c>
      <c r="D345" s="134">
        <v>54</v>
      </c>
      <c r="E345" s="83">
        <v>0.18620047584566049</v>
      </c>
      <c r="G345" s="9"/>
      <c r="H345" s="56"/>
      <c r="I345" s="56"/>
      <c r="J345" s="56"/>
      <c r="K345" s="9"/>
      <c r="L345" s="56"/>
      <c r="M345" s="56"/>
      <c r="N345" s="56"/>
    </row>
    <row r="346" spans="2:14" x14ac:dyDescent="0.3">
      <c r="B346" s="40">
        <v>28</v>
      </c>
      <c r="C346" s="23" t="s">
        <v>308</v>
      </c>
      <c r="D346" s="134">
        <v>49</v>
      </c>
      <c r="E346" s="83">
        <v>0.16895969104513639</v>
      </c>
      <c r="G346" s="9"/>
      <c r="H346" s="56"/>
      <c r="I346" s="56"/>
      <c r="J346" s="56"/>
      <c r="K346" s="9"/>
      <c r="L346" s="56"/>
      <c r="M346" s="56"/>
      <c r="N346" s="56"/>
    </row>
    <row r="347" spans="2:14" x14ac:dyDescent="0.3">
      <c r="B347" s="40">
        <v>29</v>
      </c>
      <c r="C347" s="23" t="s">
        <v>374</v>
      </c>
      <c r="D347" s="134">
        <v>46</v>
      </c>
      <c r="E347" s="83">
        <v>0.15861522016482191</v>
      </c>
      <c r="G347" s="9"/>
      <c r="H347" s="56"/>
      <c r="I347" s="56"/>
      <c r="J347" s="56"/>
      <c r="K347" s="9"/>
      <c r="L347" s="56"/>
      <c r="M347" s="56"/>
      <c r="N347" s="56"/>
    </row>
    <row r="348" spans="2:14" x14ac:dyDescent="0.3">
      <c r="B348" s="41">
        <v>30</v>
      </c>
      <c r="C348" s="26" t="s">
        <v>375</v>
      </c>
      <c r="D348" s="135">
        <v>43</v>
      </c>
      <c r="E348" s="85">
        <v>0.14827074928450742</v>
      </c>
      <c r="G348" s="9"/>
      <c r="H348" s="56"/>
      <c r="I348" s="56"/>
      <c r="J348" s="56"/>
      <c r="K348" s="9"/>
      <c r="L348" s="56"/>
      <c r="M348" s="56"/>
      <c r="N348" s="56"/>
    </row>
  </sheetData>
  <mergeCells count="76">
    <mergeCell ref="B261:B265"/>
    <mergeCell ref="B266:B267"/>
    <mergeCell ref="B268:B271"/>
    <mergeCell ref="E233:S233"/>
    <mergeCell ref="B235:C235"/>
    <mergeCell ref="B236:C236"/>
    <mergeCell ref="B237:B238"/>
    <mergeCell ref="B239:B244"/>
    <mergeCell ref="F191:U191"/>
    <mergeCell ref="B193:C194"/>
    <mergeCell ref="D193:J193"/>
    <mergeCell ref="K193:P193"/>
    <mergeCell ref="B195:C195"/>
    <mergeCell ref="G317:J317"/>
    <mergeCell ref="K317:N317"/>
    <mergeCell ref="C317:E317"/>
    <mergeCell ref="B298:B301"/>
    <mergeCell ref="B302:B306"/>
    <mergeCell ref="B307:B308"/>
    <mergeCell ref="B309:B312"/>
    <mergeCell ref="E274:S274"/>
    <mergeCell ref="B276:C276"/>
    <mergeCell ref="B277:C277"/>
    <mergeCell ref="B278:B279"/>
    <mergeCell ref="B280:B285"/>
    <mergeCell ref="B286:B297"/>
    <mergeCell ref="B156:B161"/>
    <mergeCell ref="B162:B173"/>
    <mergeCell ref="B174:B177"/>
    <mergeCell ref="B178:B182"/>
    <mergeCell ref="B183:B184"/>
    <mergeCell ref="B185:B188"/>
    <mergeCell ref="B196:B197"/>
    <mergeCell ref="B198:B203"/>
    <mergeCell ref="B204:B215"/>
    <mergeCell ref="B216:B219"/>
    <mergeCell ref="B220:B224"/>
    <mergeCell ref="B225:B226"/>
    <mergeCell ref="B227:B230"/>
    <mergeCell ref="B245:B256"/>
    <mergeCell ref="B257:B260"/>
    <mergeCell ref="F149:U149"/>
    <mergeCell ref="B151:C152"/>
    <mergeCell ref="D151:J151"/>
    <mergeCell ref="K151:P151"/>
    <mergeCell ref="B153:C153"/>
    <mergeCell ref="B154:B155"/>
    <mergeCell ref="B114:B119"/>
    <mergeCell ref="B120:B131"/>
    <mergeCell ref="B132:B135"/>
    <mergeCell ref="B136:B140"/>
    <mergeCell ref="B141:B142"/>
    <mergeCell ref="B143:B146"/>
    <mergeCell ref="F67:AY67"/>
    <mergeCell ref="B112:B113"/>
    <mergeCell ref="B70:C70"/>
    <mergeCell ref="B71:B72"/>
    <mergeCell ref="B73:B78"/>
    <mergeCell ref="B79:B90"/>
    <mergeCell ref="B91:B94"/>
    <mergeCell ref="B95:B99"/>
    <mergeCell ref="B100:B101"/>
    <mergeCell ref="B102:B105"/>
    <mergeCell ref="F108:AY108"/>
    <mergeCell ref="B110:C110"/>
    <mergeCell ref="B111:C111"/>
    <mergeCell ref="B69:C69"/>
    <mergeCell ref="B50:B53"/>
    <mergeCell ref="B54:B58"/>
    <mergeCell ref="B59:B60"/>
    <mergeCell ref="B61:B64"/>
    <mergeCell ref="B28:C28"/>
    <mergeCell ref="B29:C29"/>
    <mergeCell ref="B30:B31"/>
    <mergeCell ref="B32:B37"/>
    <mergeCell ref="B38:B49"/>
  </mergeCells>
  <phoneticPr fontId="2" type="noConversion"/>
  <pageMargins left="0.70866141732283472" right="0.70866141732283472" top="1.1417322834645669" bottom="0.39370078740157483" header="0.31496062992125984" footer="0.31496062992125984"/>
  <pageSetup paperSize="9" orientation="portrait" r:id="rId1"/>
  <headerFooter>
    <oddHeader>&amp;L&amp;P&amp;RKorea Fashion Index  2017상반기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518B-5DCC-48EF-A161-8624C9CF7C88}">
  <sheetPr codeName="Sheet17"/>
  <dimension ref="B2:AY347"/>
  <sheetViews>
    <sheetView showGridLines="0" zoomScaleNormal="100" workbookViewId="0">
      <selection activeCell="B4" sqref="B4:N4"/>
    </sheetView>
  </sheetViews>
  <sheetFormatPr defaultColWidth="9" defaultRowHeight="16.5" x14ac:dyDescent="0.3"/>
  <cols>
    <col min="1" max="1" width="3.625" style="1" customWidth="1"/>
    <col min="2" max="2" width="14.375" style="1" customWidth="1"/>
    <col min="3" max="3" width="13.125" style="1" customWidth="1"/>
    <col min="4" max="16" width="12.25" style="1" customWidth="1"/>
    <col min="17" max="20" width="10.375" style="1" customWidth="1"/>
    <col min="21" max="16384" width="9" style="1"/>
  </cols>
  <sheetData>
    <row r="2" spans="2:6" ht="17.25" x14ac:dyDescent="0.3">
      <c r="B2" s="33" t="s">
        <v>100</v>
      </c>
    </row>
    <row r="4" spans="2:6" ht="14.25" customHeight="1" x14ac:dyDescent="0.3">
      <c r="B4" s="1" t="s">
        <v>524</v>
      </c>
    </row>
    <row r="5" spans="2:6" ht="7.5" customHeight="1" x14ac:dyDescent="0.3"/>
    <row r="6" spans="2:6" x14ac:dyDescent="0.3">
      <c r="B6" s="216"/>
      <c r="C6" s="217" t="s">
        <v>21</v>
      </c>
      <c r="D6" s="218" t="s">
        <v>133</v>
      </c>
      <c r="E6" s="219" t="s">
        <v>13</v>
      </c>
      <c r="F6" s="220" t="s">
        <v>20</v>
      </c>
    </row>
    <row r="7" spans="2:6" x14ac:dyDescent="0.3">
      <c r="B7" s="221"/>
      <c r="C7" s="222"/>
      <c r="D7" s="223" t="s">
        <v>134</v>
      </c>
      <c r="E7" s="224" t="s">
        <v>55</v>
      </c>
      <c r="F7" s="225" t="s">
        <v>525</v>
      </c>
    </row>
    <row r="8" spans="2:6" x14ac:dyDescent="0.3">
      <c r="B8" s="221"/>
      <c r="C8" s="215" t="s">
        <v>24</v>
      </c>
      <c r="D8" s="223" t="s">
        <v>25</v>
      </c>
      <c r="E8" s="224" t="s">
        <v>26</v>
      </c>
      <c r="F8" s="225" t="s">
        <v>517</v>
      </c>
    </row>
    <row r="9" spans="2:6" ht="24" customHeight="1" x14ac:dyDescent="0.3">
      <c r="B9" s="35" t="str">
        <f>RIGHT(B2,LEN(B2)-3)&amp;" 전체"</f>
        <v>골프웨어 전체</v>
      </c>
      <c r="C9" s="36"/>
      <c r="D9" s="37"/>
      <c r="E9" s="37"/>
      <c r="F9" s="190">
        <f>SUM(F10:F23)</f>
        <v>45635.784938244673</v>
      </c>
    </row>
    <row r="10" spans="2:6" x14ac:dyDescent="0.3">
      <c r="B10" s="34" t="s">
        <v>79</v>
      </c>
      <c r="C10" s="117">
        <v>7.1591140302026961</v>
      </c>
      <c r="D10" s="101">
        <v>1.1524461655099054</v>
      </c>
      <c r="E10" s="97">
        <v>221507.52474467308</v>
      </c>
      <c r="F10" s="191">
        <v>2657.4400194098694</v>
      </c>
    </row>
    <row r="11" spans="2:6" x14ac:dyDescent="0.3">
      <c r="B11" s="34" t="s">
        <v>279</v>
      </c>
      <c r="C11" s="118">
        <v>19.981639819668644</v>
      </c>
      <c r="D11" s="102">
        <v>1.1323179191371111</v>
      </c>
      <c r="E11" s="98">
        <v>193791.63932952282</v>
      </c>
      <c r="F11" s="191">
        <v>6489.0611952504114</v>
      </c>
    </row>
    <row r="12" spans="2:6" x14ac:dyDescent="0.3">
      <c r="B12" s="34" t="s">
        <v>69</v>
      </c>
      <c r="C12" s="117">
        <v>25.676315560906293</v>
      </c>
      <c r="D12" s="101">
        <v>1.1364949489008396</v>
      </c>
      <c r="E12" s="97">
        <v>162561.35921015521</v>
      </c>
      <c r="F12" s="191">
        <v>6994.6458975360829</v>
      </c>
    </row>
    <row r="13" spans="2:6" x14ac:dyDescent="0.3">
      <c r="B13" s="34" t="s">
        <v>16</v>
      </c>
      <c r="C13" s="117">
        <v>22.094481271259792</v>
      </c>
      <c r="D13" s="101">
        <v>1.2372841920573079</v>
      </c>
      <c r="E13" s="97">
        <v>167784.53578355644</v>
      </c>
      <c r="F13" s="191">
        <v>6212.2860845554278</v>
      </c>
    </row>
    <row r="14" spans="2:6" x14ac:dyDescent="0.3">
      <c r="B14" s="10" t="s">
        <v>232</v>
      </c>
      <c r="C14" s="117">
        <v>17.876250034431624</v>
      </c>
      <c r="D14" s="101">
        <v>1.2602360479690653</v>
      </c>
      <c r="E14" s="97">
        <v>134551.14240622637</v>
      </c>
      <c r="F14" s="191">
        <v>4030.6911049809946</v>
      </c>
    </row>
    <row r="15" spans="2:6" x14ac:dyDescent="0.3">
      <c r="B15" s="10" t="s">
        <v>31</v>
      </c>
      <c r="C15" s="117">
        <v>27.866851616857026</v>
      </c>
      <c r="D15" s="101">
        <v>1.3806316637613698</v>
      </c>
      <c r="E15" s="97">
        <v>130333.53148904897</v>
      </c>
      <c r="F15" s="191">
        <v>6086.3899673080814</v>
      </c>
    </row>
    <row r="16" spans="2:6" x14ac:dyDescent="0.3">
      <c r="B16" s="10" t="s">
        <v>32</v>
      </c>
      <c r="C16" s="117">
        <v>16.001935181054165</v>
      </c>
      <c r="D16" s="101">
        <v>1.2260571640591638</v>
      </c>
      <c r="E16" s="97">
        <v>124452.73882179549</v>
      </c>
      <c r="F16" s="191">
        <v>3337.2802044316904</v>
      </c>
    </row>
    <row r="17" spans="2:17" x14ac:dyDescent="0.3">
      <c r="B17" s="10" t="s">
        <v>33</v>
      </c>
      <c r="C17" s="117">
        <v>11.03914138769219</v>
      </c>
      <c r="D17" s="101">
        <v>1.109889485169532</v>
      </c>
      <c r="E17" s="97">
        <v>147739.94401916442</v>
      </c>
      <c r="F17" s="191">
        <v>2733.0585324621406</v>
      </c>
    </row>
    <row r="18" spans="2:17" x14ac:dyDescent="0.3">
      <c r="B18" s="10" t="s">
        <v>34</v>
      </c>
      <c r="C18" s="117">
        <v>7.1491106348853428</v>
      </c>
      <c r="D18" s="101">
        <v>1.1104099867465442</v>
      </c>
      <c r="E18" s="97">
        <v>126196.44452974736</v>
      </c>
      <c r="F18" s="191">
        <v>1511.8713741607016</v>
      </c>
    </row>
    <row r="19" spans="2:17" x14ac:dyDescent="0.3">
      <c r="B19" s="10" t="s">
        <v>14</v>
      </c>
      <c r="C19" s="117">
        <v>16.665724893191566</v>
      </c>
      <c r="D19" s="101">
        <v>1.1816511919899204</v>
      </c>
      <c r="E19" s="97">
        <v>138624.48343175836</v>
      </c>
      <c r="F19" s="191">
        <v>3871.5052834002749</v>
      </c>
    </row>
    <row r="20" spans="2:17" x14ac:dyDescent="0.3">
      <c r="B20" s="10" t="s">
        <v>18</v>
      </c>
      <c r="C20" s="119">
        <v>4.597664123778614</v>
      </c>
      <c r="D20" s="101">
        <v>1.1444940465324029</v>
      </c>
      <c r="E20" s="97">
        <v>151362.24079539321</v>
      </c>
      <c r="F20" s="191">
        <v>1166.1931784817882</v>
      </c>
    </row>
    <row r="21" spans="2:17" x14ac:dyDescent="0.3">
      <c r="B21" s="9" t="s">
        <v>19</v>
      </c>
      <c r="C21" s="120">
        <v>1.2576103414293551</v>
      </c>
      <c r="D21" s="103">
        <v>1.095574565592736</v>
      </c>
      <c r="E21" s="99">
        <v>130084.04983110388</v>
      </c>
      <c r="F21" s="192">
        <v>274.14848865030217</v>
      </c>
    </row>
    <row r="22" spans="2:17" x14ac:dyDescent="0.3">
      <c r="B22" s="10" t="s">
        <v>233</v>
      </c>
      <c r="C22" s="118">
        <v>1.4605054528364074</v>
      </c>
      <c r="D22" s="101">
        <v>1.1700560556094639</v>
      </c>
      <c r="E22" s="97">
        <v>65620.349194535302</v>
      </c>
      <c r="F22" s="191">
        <v>160.6043954123686</v>
      </c>
    </row>
    <row r="23" spans="2:17" x14ac:dyDescent="0.3">
      <c r="B23" s="111" t="s">
        <v>12</v>
      </c>
      <c r="C23" s="121">
        <v>0.61510667732963675</v>
      </c>
      <c r="D23" s="104">
        <v>1.0909395936745239</v>
      </c>
      <c r="E23" s="100">
        <v>107306.28277569629</v>
      </c>
      <c r="F23" s="193">
        <v>110.6092122045425</v>
      </c>
    </row>
    <row r="24" spans="2:17" x14ac:dyDescent="0.3">
      <c r="B24" s="9"/>
      <c r="C24" s="9"/>
      <c r="D24" s="9"/>
      <c r="E24" s="9"/>
      <c r="F24" s="9"/>
      <c r="G24" s="9"/>
      <c r="H24" s="9"/>
    </row>
    <row r="25" spans="2:17" x14ac:dyDescent="0.3">
      <c r="B25" s="9"/>
      <c r="C25" s="9"/>
      <c r="D25" s="9"/>
      <c r="E25" s="9"/>
      <c r="F25" s="9"/>
      <c r="G25" s="9"/>
      <c r="H25" s="9"/>
    </row>
    <row r="26" spans="2:17" ht="18.75" customHeight="1" x14ac:dyDescent="0.3">
      <c r="B26" s="1" t="s">
        <v>132</v>
      </c>
    </row>
    <row r="27" spans="2:17" ht="13.5" customHeight="1" x14ac:dyDescent="0.3">
      <c r="N27" s="30"/>
      <c r="O27" s="30"/>
      <c r="Q27" s="30" t="s">
        <v>157</v>
      </c>
    </row>
    <row r="28" spans="2:17" ht="28.5" customHeight="1" x14ac:dyDescent="0.3">
      <c r="B28" s="305"/>
      <c r="C28" s="306"/>
      <c r="D28" s="226" t="s">
        <v>35</v>
      </c>
      <c r="E28" s="226" t="s">
        <v>280</v>
      </c>
      <c r="F28" s="226" t="s">
        <v>70</v>
      </c>
      <c r="G28" s="226" t="s">
        <v>16</v>
      </c>
      <c r="H28" s="226" t="s">
        <v>232</v>
      </c>
      <c r="I28" s="226" t="s">
        <v>287</v>
      </c>
      <c r="J28" s="226" t="s">
        <v>32</v>
      </c>
      <c r="K28" s="226" t="s">
        <v>284</v>
      </c>
      <c r="L28" s="226" t="s">
        <v>285</v>
      </c>
      <c r="M28" s="226" t="s">
        <v>288</v>
      </c>
      <c r="N28" s="227" t="s">
        <v>37</v>
      </c>
      <c r="O28" s="227" t="s">
        <v>19</v>
      </c>
      <c r="P28" s="227" t="s">
        <v>233</v>
      </c>
      <c r="Q28" s="227" t="s">
        <v>12</v>
      </c>
    </row>
    <row r="29" spans="2:17" x14ac:dyDescent="0.3">
      <c r="B29" s="292" t="s">
        <v>20</v>
      </c>
      <c r="C29" s="292"/>
      <c r="D29" s="86">
        <v>7.1591140302026961</v>
      </c>
      <c r="E29" s="86">
        <v>19.981639819668644</v>
      </c>
      <c r="F29" s="88">
        <v>25.676315560906293</v>
      </c>
      <c r="G29" s="88">
        <v>22.094481271259792</v>
      </c>
      <c r="H29" s="86">
        <v>17.876250034431624</v>
      </c>
      <c r="I29" s="88">
        <v>27.866851616857026</v>
      </c>
      <c r="J29" s="86">
        <v>16.001935181054165</v>
      </c>
      <c r="K29" s="86">
        <v>11.03914138769219</v>
      </c>
      <c r="L29" s="86">
        <v>7.1491106348853428</v>
      </c>
      <c r="M29" s="88">
        <v>16.665724893191566</v>
      </c>
      <c r="N29" s="86">
        <v>4.597664123778614</v>
      </c>
      <c r="O29" s="86">
        <v>1.2576103414293551</v>
      </c>
      <c r="P29" s="86">
        <v>1.4605054528364074</v>
      </c>
      <c r="Q29" s="86">
        <v>0.61510667732963675</v>
      </c>
    </row>
    <row r="30" spans="2:17" x14ac:dyDescent="0.3">
      <c r="B30" s="296" t="s">
        <v>5</v>
      </c>
      <c r="C30" s="13" t="s">
        <v>0</v>
      </c>
      <c r="D30" s="84">
        <v>6.1414308033718719</v>
      </c>
      <c r="E30" s="84">
        <v>19.801877161221476</v>
      </c>
      <c r="F30" s="89">
        <v>28.059876519200966</v>
      </c>
      <c r="G30" s="89">
        <v>23.449128504552618</v>
      </c>
      <c r="H30" s="84">
        <v>18.453622839664334</v>
      </c>
      <c r="I30" s="89">
        <v>27.224376241462494</v>
      </c>
      <c r="J30" s="84">
        <v>19.137190682635456</v>
      </c>
      <c r="K30" s="84">
        <v>11.161427254222534</v>
      </c>
      <c r="L30" s="84">
        <v>6.7815955446895408</v>
      </c>
      <c r="M30" s="89">
        <v>17.550507426025465</v>
      </c>
      <c r="N30" s="84">
        <v>3.0689050189357587</v>
      </c>
      <c r="O30" s="84">
        <v>1.2701830047155744</v>
      </c>
      <c r="P30" s="84">
        <v>1.9882550820361444</v>
      </c>
      <c r="Q30" s="84">
        <v>0</v>
      </c>
    </row>
    <row r="31" spans="2:17" x14ac:dyDescent="0.3">
      <c r="B31" s="295"/>
      <c r="C31" s="12" t="s">
        <v>1</v>
      </c>
      <c r="D31" s="90">
        <v>8.4948531747124107</v>
      </c>
      <c r="E31" s="90">
        <v>20.217583592031662</v>
      </c>
      <c r="F31" s="90">
        <v>22.547821751261804</v>
      </c>
      <c r="G31" s="90">
        <v>20.316466965034241</v>
      </c>
      <c r="H31" s="90">
        <v>17.118431258812848</v>
      </c>
      <c r="I31" s="90">
        <v>28.710119429151192</v>
      </c>
      <c r="J31" s="90">
        <v>11.88682019135044</v>
      </c>
      <c r="K31" s="90">
        <v>10.87863759393948</v>
      </c>
      <c r="L31" s="90">
        <v>7.631484991885702</v>
      </c>
      <c r="M31" s="90">
        <v>15.5044218154499</v>
      </c>
      <c r="N31" s="90">
        <v>6.6042053784903825</v>
      </c>
      <c r="O31" s="90">
        <v>1.2411083513607561</v>
      </c>
      <c r="P31" s="90">
        <v>0.76781855416576594</v>
      </c>
      <c r="Q31" s="90">
        <v>1.4224522690587282</v>
      </c>
    </row>
    <row r="32" spans="2:17" x14ac:dyDescent="0.3">
      <c r="B32" s="296" t="s">
        <v>4</v>
      </c>
      <c r="C32" s="9" t="s">
        <v>175</v>
      </c>
      <c r="D32" s="86">
        <v>9.406781009176802</v>
      </c>
      <c r="E32" s="86">
        <v>10.608783873325661</v>
      </c>
      <c r="F32" s="88">
        <v>17.781251833659056</v>
      </c>
      <c r="G32" s="88">
        <v>24.619280968936291</v>
      </c>
      <c r="H32" s="86">
        <v>10.690089756696066</v>
      </c>
      <c r="I32" s="88">
        <v>20.18339549361265</v>
      </c>
      <c r="J32" s="86">
        <v>6.973834522763946</v>
      </c>
      <c r="K32" s="86">
        <v>6.9807281809980664</v>
      </c>
      <c r="L32" s="86">
        <v>6.9549672665293105</v>
      </c>
      <c r="M32" s="88">
        <v>0</v>
      </c>
      <c r="N32" s="86">
        <v>4.5159170423289607</v>
      </c>
      <c r="O32" s="86">
        <v>0</v>
      </c>
      <c r="P32" s="86">
        <v>0</v>
      </c>
      <c r="Q32" s="86">
        <v>0</v>
      </c>
    </row>
    <row r="33" spans="2:17" x14ac:dyDescent="0.3">
      <c r="B33" s="292"/>
      <c r="C33" s="9" t="s">
        <v>176</v>
      </c>
      <c r="D33" s="86">
        <v>8.3612756927642131</v>
      </c>
      <c r="E33" s="86">
        <v>26.015209083746061</v>
      </c>
      <c r="F33" s="88">
        <v>35.671192638049234</v>
      </c>
      <c r="G33" s="88">
        <v>32.401938998834332</v>
      </c>
      <c r="H33" s="86">
        <v>26.523274233830563</v>
      </c>
      <c r="I33" s="88">
        <v>22.61783160501318</v>
      </c>
      <c r="J33" s="86">
        <v>14.890453969334486</v>
      </c>
      <c r="K33" s="86">
        <v>11.022926953237349</v>
      </c>
      <c r="L33" s="86">
        <v>9.3516507718265416</v>
      </c>
      <c r="M33" s="88">
        <v>9.1592736170308253</v>
      </c>
      <c r="N33" s="86">
        <v>5.3137447435402576</v>
      </c>
      <c r="O33" s="86">
        <v>2.231475312566443</v>
      </c>
      <c r="P33" s="86">
        <v>3.1866618636509574</v>
      </c>
      <c r="Q33" s="86">
        <v>1.5962682989396113</v>
      </c>
    </row>
    <row r="34" spans="2:17" x14ac:dyDescent="0.3">
      <c r="B34" s="292"/>
      <c r="C34" s="9" t="s">
        <v>177</v>
      </c>
      <c r="D34" s="86">
        <v>8.5834817717726324</v>
      </c>
      <c r="E34" s="86">
        <v>22.64865797432762</v>
      </c>
      <c r="F34" s="88">
        <v>31.519294681463407</v>
      </c>
      <c r="G34" s="88">
        <v>27.037952682138528</v>
      </c>
      <c r="H34" s="86">
        <v>22.138748806069618</v>
      </c>
      <c r="I34" s="88">
        <v>25.928212840275343</v>
      </c>
      <c r="J34" s="86">
        <v>19.168011227266909</v>
      </c>
      <c r="K34" s="86">
        <v>14.216505463245561</v>
      </c>
      <c r="L34" s="86">
        <v>9.2880660856429813</v>
      </c>
      <c r="M34" s="88">
        <v>8.8395215307405532</v>
      </c>
      <c r="N34" s="86">
        <v>5.4743760819102443</v>
      </c>
      <c r="O34" s="86">
        <v>1.6210927212903254</v>
      </c>
      <c r="P34" s="86">
        <v>1.5726785570599426</v>
      </c>
      <c r="Q34" s="86">
        <v>0</v>
      </c>
    </row>
    <row r="35" spans="2:17" x14ac:dyDescent="0.3">
      <c r="B35" s="292"/>
      <c r="C35" s="9" t="s">
        <v>178</v>
      </c>
      <c r="D35" s="86">
        <v>8.1248965656969467</v>
      </c>
      <c r="E35" s="86">
        <v>20.155733843103675</v>
      </c>
      <c r="F35" s="88">
        <v>26.664121053108815</v>
      </c>
      <c r="G35" s="88">
        <v>26.978890103339388</v>
      </c>
      <c r="H35" s="86">
        <v>19.47331124858831</v>
      </c>
      <c r="I35" s="88">
        <v>30.031962570769405</v>
      </c>
      <c r="J35" s="86">
        <v>15.124456270879048</v>
      </c>
      <c r="K35" s="86">
        <v>12.340502290672955</v>
      </c>
      <c r="L35" s="86">
        <v>6.0909999594143551</v>
      </c>
      <c r="M35" s="88">
        <v>19.477713386819495</v>
      </c>
      <c r="N35" s="86">
        <v>4.366467383505757</v>
      </c>
      <c r="O35" s="86">
        <v>1.7520069330663948</v>
      </c>
      <c r="P35" s="86">
        <v>1.5494177429013456</v>
      </c>
      <c r="Q35" s="86">
        <v>0</v>
      </c>
    </row>
    <row r="36" spans="2:17" x14ac:dyDescent="0.3">
      <c r="B36" s="292"/>
      <c r="C36" s="9" t="s">
        <v>179</v>
      </c>
      <c r="D36" s="86">
        <v>4.8183122465945667</v>
      </c>
      <c r="E36" s="86">
        <v>18.176299286872997</v>
      </c>
      <c r="F36" s="88">
        <v>22.022209976687211</v>
      </c>
      <c r="G36" s="88">
        <v>17.729432757775985</v>
      </c>
      <c r="H36" s="86">
        <v>15.088471249974377</v>
      </c>
      <c r="I36" s="88">
        <v>27.488266084840831</v>
      </c>
      <c r="J36" s="86">
        <v>16.987142982779613</v>
      </c>
      <c r="K36" s="86">
        <v>10.015177206711613</v>
      </c>
      <c r="L36" s="86">
        <v>6.4900324811496697</v>
      </c>
      <c r="M36" s="88">
        <v>22.024560161117741</v>
      </c>
      <c r="N36" s="86">
        <v>3.028393489547144</v>
      </c>
      <c r="O36" s="86">
        <v>1.1447558011076391</v>
      </c>
      <c r="P36" s="86">
        <v>1.0862034636526168</v>
      </c>
      <c r="Q36" s="86">
        <v>0.81404195531765999</v>
      </c>
    </row>
    <row r="37" spans="2:17" x14ac:dyDescent="0.3">
      <c r="B37" s="298"/>
      <c r="C37" s="12" t="s">
        <v>180</v>
      </c>
      <c r="D37" s="90">
        <v>7.1904552818287382</v>
      </c>
      <c r="E37" s="90">
        <v>17.250917246603834</v>
      </c>
      <c r="F37" s="91">
        <v>19.777451336596751</v>
      </c>
      <c r="G37" s="91">
        <v>13.32401567392337</v>
      </c>
      <c r="H37" s="90">
        <v>12.273641220234579</v>
      </c>
      <c r="I37" s="91">
        <v>31.514084044174801</v>
      </c>
      <c r="J37" s="90">
        <v>14.866180870171936</v>
      </c>
      <c r="K37" s="90">
        <v>9.3243273769517554</v>
      </c>
      <c r="L37" s="90">
        <v>6.0681718304366967</v>
      </c>
      <c r="M37" s="91">
        <v>19.152029825174935</v>
      </c>
      <c r="N37" s="90">
        <v>5.5903857302592375</v>
      </c>
      <c r="O37" s="90">
        <v>0.24272481779081825</v>
      </c>
      <c r="P37" s="90">
        <v>0.82181640622106833</v>
      </c>
      <c r="Q37" s="90">
        <v>0.77664680018091781</v>
      </c>
    </row>
    <row r="38" spans="2:17" x14ac:dyDescent="0.3">
      <c r="B38" s="292" t="s">
        <v>223</v>
      </c>
      <c r="C38" s="9" t="s">
        <v>210</v>
      </c>
      <c r="D38" s="86">
        <v>9.4144932700845683</v>
      </c>
      <c r="E38" s="86">
        <v>16.074621909437973</v>
      </c>
      <c r="F38" s="88">
        <v>21.228983542488937</v>
      </c>
      <c r="G38" s="88">
        <v>30.222771879950301</v>
      </c>
      <c r="H38" s="86">
        <v>7.5579199497101301</v>
      </c>
      <c r="I38" s="88">
        <v>15.734970567398477</v>
      </c>
      <c r="J38" s="86">
        <v>0</v>
      </c>
      <c r="K38" s="86">
        <v>13.43730247370844</v>
      </c>
      <c r="L38" s="86">
        <v>7.5579199497101301</v>
      </c>
      <c r="M38" s="88">
        <v>0</v>
      </c>
      <c r="N38" s="86">
        <v>0</v>
      </c>
      <c r="O38" s="86">
        <v>0</v>
      </c>
      <c r="P38" s="86">
        <v>0</v>
      </c>
      <c r="Q38" s="86">
        <v>0</v>
      </c>
    </row>
    <row r="39" spans="2:17" x14ac:dyDescent="0.3">
      <c r="B39" s="292"/>
      <c r="C39" s="9" t="s">
        <v>211</v>
      </c>
      <c r="D39" s="86">
        <v>9.4281962957263747</v>
      </c>
      <c r="E39" s="86">
        <v>26.581064332291955</v>
      </c>
      <c r="F39" s="88">
        <v>38.732885340405566</v>
      </c>
      <c r="G39" s="88">
        <v>37.228175889008845</v>
      </c>
      <c r="H39" s="86">
        <v>32.142701426438137</v>
      </c>
      <c r="I39" s="88">
        <v>23.814083640780321</v>
      </c>
      <c r="J39" s="86">
        <v>20.258031767608099</v>
      </c>
      <c r="K39" s="86">
        <v>11.94603894462441</v>
      </c>
      <c r="L39" s="86">
        <v>12.243423979213038</v>
      </c>
      <c r="M39" s="88">
        <v>9.9045728385338094</v>
      </c>
      <c r="N39" s="86">
        <v>3.8900256987393322</v>
      </c>
      <c r="O39" s="86">
        <v>2.9775592099090611</v>
      </c>
      <c r="P39" s="86">
        <v>4.5747158822105716</v>
      </c>
      <c r="Q39" s="86">
        <v>0</v>
      </c>
    </row>
    <row r="40" spans="2:17" x14ac:dyDescent="0.3">
      <c r="B40" s="292"/>
      <c r="C40" s="9" t="s">
        <v>212</v>
      </c>
      <c r="D40" s="86">
        <v>8.7334597375787606</v>
      </c>
      <c r="E40" s="86">
        <v>27.611258501448937</v>
      </c>
      <c r="F40" s="88">
        <v>34.016217894522143</v>
      </c>
      <c r="G40" s="88">
        <v>26.999364300204032</v>
      </c>
      <c r="H40" s="86">
        <v>25.152627378803722</v>
      </c>
      <c r="I40" s="88">
        <v>25.928717710959926</v>
      </c>
      <c r="J40" s="86">
        <v>20.600251094076896</v>
      </c>
      <c r="K40" s="86">
        <v>13.71840429053443</v>
      </c>
      <c r="L40" s="86">
        <v>9.4794767522292229</v>
      </c>
      <c r="M40" s="88">
        <v>8.6917949032340811</v>
      </c>
      <c r="N40" s="86">
        <v>6.2894609753191997</v>
      </c>
      <c r="O40" s="86">
        <v>1.6500473303474266</v>
      </c>
      <c r="P40" s="86">
        <v>1.5730326726039161</v>
      </c>
      <c r="Q40" s="86">
        <v>0</v>
      </c>
    </row>
    <row r="41" spans="2:17" x14ac:dyDescent="0.3">
      <c r="B41" s="292"/>
      <c r="C41" s="9" t="s">
        <v>213</v>
      </c>
      <c r="D41" s="86">
        <v>6.9354903556836751</v>
      </c>
      <c r="E41" s="86">
        <v>18.725536770322574</v>
      </c>
      <c r="F41" s="88">
        <v>25.711324976833055</v>
      </c>
      <c r="G41" s="88">
        <v>29.358455464816448</v>
      </c>
      <c r="H41" s="86">
        <v>17.819093983911188</v>
      </c>
      <c r="I41" s="88">
        <v>27.463187736142892</v>
      </c>
      <c r="J41" s="86">
        <v>19.214736961753694</v>
      </c>
      <c r="K41" s="86">
        <v>13.924029943838038</v>
      </c>
      <c r="L41" s="86">
        <v>5.2857104752672734</v>
      </c>
      <c r="M41" s="88">
        <v>23.917343703442622</v>
      </c>
      <c r="N41" s="86">
        <v>3.143446659360758</v>
      </c>
      <c r="O41" s="86">
        <v>1.7930233241091025</v>
      </c>
      <c r="P41" s="86">
        <v>1.4419877890261203</v>
      </c>
      <c r="Q41" s="86">
        <v>0</v>
      </c>
    </row>
    <row r="42" spans="2:17" x14ac:dyDescent="0.3">
      <c r="B42" s="292"/>
      <c r="C42" s="9" t="s">
        <v>214</v>
      </c>
      <c r="D42" s="86">
        <v>3.4516579886883649</v>
      </c>
      <c r="E42" s="86">
        <v>16.706606030375699</v>
      </c>
      <c r="F42" s="88">
        <v>24.264819061664195</v>
      </c>
      <c r="G42" s="88">
        <v>16.935893964315714</v>
      </c>
      <c r="H42" s="86">
        <v>14.067506863640633</v>
      </c>
      <c r="I42" s="88">
        <v>25.144477245080981</v>
      </c>
      <c r="J42" s="86">
        <v>21.377666734172955</v>
      </c>
      <c r="K42" s="86">
        <v>7.761809142828799</v>
      </c>
      <c r="L42" s="86">
        <v>4.9922933383635213</v>
      </c>
      <c r="M42" s="88">
        <v>22.404709319590555</v>
      </c>
      <c r="N42" s="86">
        <v>0.77678353159246305</v>
      </c>
      <c r="O42" s="86">
        <v>0.77678353159246305</v>
      </c>
      <c r="P42" s="86">
        <v>1.6819532004593623</v>
      </c>
      <c r="Q42" s="86">
        <v>0</v>
      </c>
    </row>
    <row r="43" spans="2:17" x14ac:dyDescent="0.3">
      <c r="B43" s="292"/>
      <c r="C43" s="12" t="s">
        <v>215</v>
      </c>
      <c r="D43" s="90">
        <v>4.0837258564696493</v>
      </c>
      <c r="E43" s="90">
        <v>13.914082379195333</v>
      </c>
      <c r="F43" s="91">
        <v>23.282508375860672</v>
      </c>
      <c r="G43" s="91">
        <v>13.00220499182233</v>
      </c>
      <c r="H43" s="90">
        <v>10.429724598859588</v>
      </c>
      <c r="I43" s="91">
        <v>33.863441192593733</v>
      </c>
      <c r="J43" s="90">
        <v>15.84748318883922</v>
      </c>
      <c r="K43" s="90">
        <v>9.9632763708100711</v>
      </c>
      <c r="L43" s="90">
        <v>4.3736182357884426</v>
      </c>
      <c r="M43" s="91">
        <v>19.420366329997325</v>
      </c>
      <c r="N43" s="90">
        <v>2.8875292077344836</v>
      </c>
      <c r="O43" s="90">
        <v>0</v>
      </c>
      <c r="P43" s="90">
        <v>1.5843123910791395</v>
      </c>
      <c r="Q43" s="90">
        <v>0</v>
      </c>
    </row>
    <row r="44" spans="2:17" x14ac:dyDescent="0.3">
      <c r="B44" s="292"/>
      <c r="C44" s="9" t="s">
        <v>216</v>
      </c>
      <c r="D44" s="86">
        <v>9.3984426559545913</v>
      </c>
      <c r="E44" s="86">
        <v>4.6992213279772956</v>
      </c>
      <c r="F44" s="88">
        <v>14.053628358851004</v>
      </c>
      <c r="G44" s="88">
        <v>18.56089069243232</v>
      </c>
      <c r="H44" s="86">
        <v>14.076533565448315</v>
      </c>
      <c r="I44" s="88">
        <v>24.992949885101243</v>
      </c>
      <c r="J44" s="86">
        <v>14.513814855312598</v>
      </c>
      <c r="K44" s="86">
        <v>0</v>
      </c>
      <c r="L44" s="86">
        <v>6.3030660265728704</v>
      </c>
      <c r="M44" s="88">
        <v>0</v>
      </c>
      <c r="N44" s="86">
        <v>9.3984426559545913</v>
      </c>
      <c r="O44" s="86">
        <v>0</v>
      </c>
      <c r="P44" s="86">
        <v>0</v>
      </c>
      <c r="Q44" s="86">
        <v>0</v>
      </c>
    </row>
    <row r="45" spans="2:17" x14ac:dyDescent="0.3">
      <c r="B45" s="292"/>
      <c r="C45" s="9" t="s">
        <v>217</v>
      </c>
      <c r="D45" s="86">
        <v>6.773805844334996</v>
      </c>
      <c r="E45" s="86">
        <v>25.173273757773316</v>
      </c>
      <c r="F45" s="88">
        <v>31.11570384473853</v>
      </c>
      <c r="G45" s="88">
        <v>25.220987086144948</v>
      </c>
      <c r="H45" s="86">
        <v>18.162135449050592</v>
      </c>
      <c r="I45" s="88">
        <v>20.837929677325192</v>
      </c>
      <c r="J45" s="86">
        <v>6.9040415875692247</v>
      </c>
      <c r="K45" s="86">
        <v>9.6494297604922821</v>
      </c>
      <c r="L45" s="86">
        <v>5.0489849853787625</v>
      </c>
      <c r="M45" s="88">
        <v>8.0503438251522965</v>
      </c>
      <c r="N45" s="86">
        <v>7.432094553245908</v>
      </c>
      <c r="O45" s="86">
        <v>1.1213780024744999</v>
      </c>
      <c r="P45" s="86">
        <v>1.1213780024744999</v>
      </c>
      <c r="Q45" s="86">
        <v>3.9713539309300891</v>
      </c>
    </row>
    <row r="46" spans="2:17" x14ac:dyDescent="0.3">
      <c r="B46" s="292"/>
      <c r="C46" s="9" t="s">
        <v>218</v>
      </c>
      <c r="D46" s="86">
        <v>8.3296030104098762</v>
      </c>
      <c r="E46" s="86">
        <v>14.248098144142885</v>
      </c>
      <c r="F46" s="88">
        <v>27.292568647795655</v>
      </c>
      <c r="G46" s="88">
        <v>27.103274081557927</v>
      </c>
      <c r="H46" s="86">
        <v>17.036934317315847</v>
      </c>
      <c r="I46" s="88">
        <v>25.927358208440882</v>
      </c>
      <c r="J46" s="86">
        <v>16.743553198344678</v>
      </c>
      <c r="K46" s="86">
        <v>15.059678045841569</v>
      </c>
      <c r="L46" s="86">
        <v>8.9640511366247217</v>
      </c>
      <c r="M46" s="88">
        <v>9.089589285760816</v>
      </c>
      <c r="N46" s="86">
        <v>4.0946217824575815</v>
      </c>
      <c r="O46" s="86">
        <v>1.5720791195679102</v>
      </c>
      <c r="P46" s="86">
        <v>1.5720791195679102</v>
      </c>
      <c r="Q46" s="86">
        <v>0</v>
      </c>
    </row>
    <row r="47" spans="2:17" x14ac:dyDescent="0.3">
      <c r="B47" s="292"/>
      <c r="C47" s="9" t="s">
        <v>219</v>
      </c>
      <c r="D47" s="86">
        <v>9.748114981731943</v>
      </c>
      <c r="E47" s="86">
        <v>22.107566789285936</v>
      </c>
      <c r="F47" s="88">
        <v>27.964430505604003</v>
      </c>
      <c r="G47" s="88">
        <v>23.731425709433712</v>
      </c>
      <c r="H47" s="86">
        <v>21.73087128614436</v>
      </c>
      <c r="I47" s="88">
        <v>33.537646821540676</v>
      </c>
      <c r="J47" s="86">
        <v>9.542327231796726</v>
      </c>
      <c r="K47" s="86">
        <v>10.179414491333585</v>
      </c>
      <c r="L47" s="86">
        <v>7.1900027306309937</v>
      </c>
      <c r="M47" s="88">
        <v>13.418816409772957</v>
      </c>
      <c r="N47" s="86">
        <v>6.0355605376456314</v>
      </c>
      <c r="O47" s="86">
        <v>1.6960306309928859</v>
      </c>
      <c r="P47" s="86">
        <v>1.6960306309928859</v>
      </c>
      <c r="Q47" s="86">
        <v>0</v>
      </c>
    </row>
    <row r="48" spans="2:17" x14ac:dyDescent="0.3">
      <c r="B48" s="292"/>
      <c r="C48" s="9" t="s">
        <v>220</v>
      </c>
      <c r="D48" s="86">
        <v>6.5227392814815097</v>
      </c>
      <c r="E48" s="86">
        <v>20.009231723788567</v>
      </c>
      <c r="F48" s="88">
        <v>19.225333201888411</v>
      </c>
      <c r="G48" s="88">
        <v>18.719097089468345</v>
      </c>
      <c r="H48" s="86">
        <v>16.361770104938657</v>
      </c>
      <c r="I48" s="88">
        <v>30.411329500070135</v>
      </c>
      <c r="J48" s="86">
        <v>11.511487866720534</v>
      </c>
      <c r="K48" s="86">
        <v>12.825472074937394</v>
      </c>
      <c r="L48" s="86">
        <v>8.3579424308717982</v>
      </c>
      <c r="M48" s="88">
        <v>21.550455976213492</v>
      </c>
      <c r="N48" s="86">
        <v>5.836495730591051</v>
      </c>
      <c r="O48" s="86">
        <v>1.6036735417300927</v>
      </c>
      <c r="P48" s="86">
        <v>0.34321235850224285</v>
      </c>
      <c r="Q48" s="86">
        <v>1.8292768679877762</v>
      </c>
    </row>
    <row r="49" spans="2:17" x14ac:dyDescent="0.3">
      <c r="B49" s="295"/>
      <c r="C49" s="9" t="s">
        <v>221</v>
      </c>
      <c r="D49" s="90">
        <v>10.538881059998669</v>
      </c>
      <c r="E49" s="90">
        <v>20.847350137194347</v>
      </c>
      <c r="F49" s="91">
        <v>15.999708978853134</v>
      </c>
      <c r="G49" s="91">
        <v>13.670862481643988</v>
      </c>
      <c r="H49" s="90">
        <v>14.261010283471972</v>
      </c>
      <c r="I49" s="91">
        <v>28.981952351700524</v>
      </c>
      <c r="J49" s="90">
        <v>13.808535504218048</v>
      </c>
      <c r="K49" s="90">
        <v>8.635669631443804</v>
      </c>
      <c r="L49" s="90">
        <v>7.8945577694551474</v>
      </c>
      <c r="M49" s="91">
        <v>18.86281736185666</v>
      </c>
      <c r="N49" s="90">
        <v>8.503518229292542</v>
      </c>
      <c r="O49" s="90">
        <v>0.50433306415377144</v>
      </c>
      <c r="P49" s="90">
        <v>0</v>
      </c>
      <c r="Q49" s="90">
        <v>1.6137149223777518</v>
      </c>
    </row>
    <row r="50" spans="2:17" ht="16.5" customHeight="1" x14ac:dyDescent="0.3">
      <c r="B50" s="291" t="s">
        <v>222</v>
      </c>
      <c r="C50" s="13" t="s">
        <v>226</v>
      </c>
      <c r="D50" s="84">
        <v>6.2847013408858565</v>
      </c>
      <c r="E50" s="84">
        <v>24.061135706840766</v>
      </c>
      <c r="F50" s="84">
        <v>27.320405003245014</v>
      </c>
      <c r="G50" s="84">
        <v>30.962377680625291</v>
      </c>
      <c r="H50" s="84">
        <v>21.865466339053082</v>
      </c>
      <c r="I50" s="84">
        <v>22.347751936952921</v>
      </c>
      <c r="J50" s="84">
        <v>13.341412503582054</v>
      </c>
      <c r="K50" s="84">
        <v>8.6234459557039855</v>
      </c>
      <c r="L50" s="84">
        <v>6.1432197569189455</v>
      </c>
      <c r="M50" s="84">
        <v>8.0294229368133987</v>
      </c>
      <c r="N50" s="84">
        <v>4.0460871864859103</v>
      </c>
      <c r="O50" s="84">
        <v>1.9394284142796894</v>
      </c>
      <c r="P50" s="84">
        <v>2.8475642980206475</v>
      </c>
      <c r="Q50" s="84">
        <v>1.7299787948286349</v>
      </c>
    </row>
    <row r="51" spans="2:17" x14ac:dyDescent="0.3">
      <c r="B51" s="294"/>
      <c r="C51" s="9" t="s">
        <v>227</v>
      </c>
      <c r="D51" s="86">
        <v>8.0460498727253729</v>
      </c>
      <c r="E51" s="86">
        <v>16.865668805479807</v>
      </c>
      <c r="F51" s="86">
        <v>27.079698532074691</v>
      </c>
      <c r="G51" s="86">
        <v>23.89187180785353</v>
      </c>
      <c r="H51" s="86">
        <v>18.170995297544348</v>
      </c>
      <c r="I51" s="86">
        <v>27.550979027105722</v>
      </c>
      <c r="J51" s="86">
        <v>13.823455310557971</v>
      </c>
      <c r="K51" s="86">
        <v>9.6837564940738758</v>
      </c>
      <c r="L51" s="86">
        <v>6.6496076786409706</v>
      </c>
      <c r="M51" s="86">
        <v>14.113159903517285</v>
      </c>
      <c r="N51" s="86">
        <v>3.8948507813365438</v>
      </c>
      <c r="O51" s="86">
        <v>0.66920384730598925</v>
      </c>
      <c r="P51" s="86">
        <v>0.99096360042270293</v>
      </c>
      <c r="Q51" s="86">
        <v>0.17174098296175155</v>
      </c>
    </row>
    <row r="52" spans="2:17" x14ac:dyDescent="0.3">
      <c r="B52" s="292"/>
      <c r="C52" s="9" t="s">
        <v>228</v>
      </c>
      <c r="D52" s="86">
        <v>7.6221819973117553</v>
      </c>
      <c r="E52" s="86">
        <v>21.87344062474688</v>
      </c>
      <c r="F52" s="86">
        <v>23.91307900604593</v>
      </c>
      <c r="G52" s="86">
        <v>24.265129358639896</v>
      </c>
      <c r="H52" s="86">
        <v>17.947464308450229</v>
      </c>
      <c r="I52" s="86">
        <v>26.080579603098244</v>
      </c>
      <c r="J52" s="86">
        <v>17.979067913643636</v>
      </c>
      <c r="K52" s="86">
        <v>14.545440040450547</v>
      </c>
      <c r="L52" s="86">
        <v>9.5315536317139813</v>
      </c>
      <c r="M52" s="86">
        <v>17.663676238163539</v>
      </c>
      <c r="N52" s="86">
        <v>4.4137785637695854</v>
      </c>
      <c r="O52" s="86">
        <v>1.3765520784997261</v>
      </c>
      <c r="P52" s="86">
        <v>1.4946693254672492</v>
      </c>
      <c r="Q52" s="86">
        <v>0.91523987224271774</v>
      </c>
    </row>
    <row r="53" spans="2:17" x14ac:dyDescent="0.3">
      <c r="B53" s="295"/>
      <c r="C53" s="12" t="s">
        <v>229</v>
      </c>
      <c r="D53" s="90">
        <v>6.6475541887471357</v>
      </c>
      <c r="E53" s="90">
        <v>18.946737787027416</v>
      </c>
      <c r="F53" s="90">
        <v>25.221738819943766</v>
      </c>
      <c r="G53" s="90">
        <v>15.519164300701796</v>
      </c>
      <c r="H53" s="90">
        <v>15.870681502439385</v>
      </c>
      <c r="I53" s="90">
        <v>31.725897660759227</v>
      </c>
      <c r="J53" s="90">
        <v>17.270980304115387</v>
      </c>
      <c r="K53" s="90">
        <v>10.620798207941974</v>
      </c>
      <c r="L53" s="90">
        <v>6.3064939580249249</v>
      </c>
      <c r="M53" s="90">
        <v>21.486520577048857</v>
      </c>
      <c r="N53" s="90">
        <v>5.4289050441631996</v>
      </c>
      <c r="O53" s="90">
        <v>1.2629600230230424</v>
      </c>
      <c r="P53" s="90">
        <v>1.1333927589057526</v>
      </c>
      <c r="Q53" s="90">
        <v>0.2106513011612807</v>
      </c>
    </row>
    <row r="54" spans="2:17" x14ac:dyDescent="0.3">
      <c r="B54" s="296" t="s">
        <v>199</v>
      </c>
      <c r="C54" s="13" t="s">
        <v>192</v>
      </c>
      <c r="D54" s="84">
        <v>6.5749857875706139</v>
      </c>
      <c r="E54" s="84">
        <v>19.326453288645993</v>
      </c>
      <c r="F54" s="84">
        <v>24.760035353505241</v>
      </c>
      <c r="G54" s="84">
        <v>23.15690790109354</v>
      </c>
      <c r="H54" s="84">
        <v>19.700257213216325</v>
      </c>
      <c r="I54" s="84">
        <v>25.775000850475159</v>
      </c>
      <c r="J54" s="84">
        <v>16.806609520807715</v>
      </c>
      <c r="K54" s="84">
        <v>12.143428200695753</v>
      </c>
      <c r="L54" s="84">
        <v>8.1372562058795701</v>
      </c>
      <c r="M54" s="84">
        <v>16.651166031115601</v>
      </c>
      <c r="N54" s="84">
        <v>5.1381501969193524</v>
      </c>
      <c r="O54" s="84">
        <v>1.2713379986219691</v>
      </c>
      <c r="P54" s="84">
        <v>1.1462691967241505</v>
      </c>
      <c r="Q54" s="84">
        <v>0.55222144657740313</v>
      </c>
    </row>
    <row r="55" spans="2:17" ht="16.5" customHeight="1" x14ac:dyDescent="0.3">
      <c r="B55" s="292"/>
      <c r="C55" s="9" t="s">
        <v>200</v>
      </c>
      <c r="D55" s="86">
        <v>8.502416035507947</v>
      </c>
      <c r="E55" s="86">
        <v>16.321719801696709</v>
      </c>
      <c r="F55" s="86">
        <v>34.497743547687257</v>
      </c>
      <c r="G55" s="86">
        <v>19.122741163567685</v>
      </c>
      <c r="H55" s="86">
        <v>13.494585696484629</v>
      </c>
      <c r="I55" s="86">
        <v>29.039041185717185</v>
      </c>
      <c r="J55" s="86">
        <v>11.105356544029423</v>
      </c>
      <c r="K55" s="86">
        <v>11.887747780472219</v>
      </c>
      <c r="L55" s="86">
        <v>3.4348874292677882</v>
      </c>
      <c r="M55" s="86">
        <v>15.652205637895952</v>
      </c>
      <c r="N55" s="86">
        <v>0.8024242132016598</v>
      </c>
      <c r="O55" s="86">
        <v>1.6278335846744147</v>
      </c>
      <c r="P55" s="86">
        <v>2.7726195485573704</v>
      </c>
      <c r="Q55" s="86">
        <v>0.83093860437693512</v>
      </c>
    </row>
    <row r="56" spans="2:17" x14ac:dyDescent="0.3">
      <c r="B56" s="292"/>
      <c r="C56" s="9" t="s">
        <v>201</v>
      </c>
      <c r="D56" s="86">
        <v>8.9891060551127779</v>
      </c>
      <c r="E56" s="86">
        <v>21.194697639878996</v>
      </c>
      <c r="F56" s="86">
        <v>28.414367477183699</v>
      </c>
      <c r="G56" s="86">
        <v>18.925099063050261</v>
      </c>
      <c r="H56" s="86">
        <v>15.366828512106171</v>
      </c>
      <c r="I56" s="86">
        <v>33.000228584913984</v>
      </c>
      <c r="J56" s="86">
        <v>15.223400329746935</v>
      </c>
      <c r="K56" s="86">
        <v>8.8563915749231601</v>
      </c>
      <c r="L56" s="86">
        <v>5.3260096165643551</v>
      </c>
      <c r="M56" s="86">
        <v>11.506796279484201</v>
      </c>
      <c r="N56" s="86">
        <v>4.9345335994725641</v>
      </c>
      <c r="O56" s="86">
        <v>1.2088204529452065</v>
      </c>
      <c r="P56" s="86">
        <v>0.63554256455448521</v>
      </c>
      <c r="Q56" s="86">
        <v>0</v>
      </c>
    </row>
    <row r="57" spans="2:17" x14ac:dyDescent="0.3">
      <c r="B57" s="292"/>
      <c r="C57" s="9" t="s">
        <v>202</v>
      </c>
      <c r="D57" s="86">
        <v>5.1165047199524754</v>
      </c>
      <c r="E57" s="86">
        <v>21.413337379221943</v>
      </c>
      <c r="F57" s="86">
        <v>29.82934406913899</v>
      </c>
      <c r="G57" s="86">
        <v>20.628008450769496</v>
      </c>
      <c r="H57" s="86">
        <v>18.543486922400241</v>
      </c>
      <c r="I57" s="86">
        <v>34.751100242456474</v>
      </c>
      <c r="J57" s="86">
        <v>18.528000847865115</v>
      </c>
      <c r="K57" s="86">
        <v>5.7721685489238039</v>
      </c>
      <c r="L57" s="86">
        <v>9.4583390212326375</v>
      </c>
      <c r="M57" s="86">
        <v>20.962866005194904</v>
      </c>
      <c r="N57" s="86">
        <v>3.1923087020376189</v>
      </c>
      <c r="O57" s="86">
        <v>2.2014464734187897</v>
      </c>
      <c r="P57" s="86">
        <v>1.409834020002122</v>
      </c>
      <c r="Q57" s="86">
        <v>0.698562126314066</v>
      </c>
    </row>
    <row r="58" spans="2:17" x14ac:dyDescent="0.3">
      <c r="B58" s="295"/>
      <c r="C58" s="12" t="s">
        <v>203</v>
      </c>
      <c r="D58" s="90">
        <v>8.3694262359893692</v>
      </c>
      <c r="E58" s="90">
        <v>21.518872512658724</v>
      </c>
      <c r="F58" s="90">
        <v>23.189043565554737</v>
      </c>
      <c r="G58" s="90">
        <v>21.954003938033168</v>
      </c>
      <c r="H58" s="90">
        <v>14.837486597863601</v>
      </c>
      <c r="I58" s="90">
        <v>28.227859249409875</v>
      </c>
      <c r="J58" s="90">
        <v>14.34281639755339</v>
      </c>
      <c r="K58" s="90">
        <v>10.883911675220942</v>
      </c>
      <c r="L58" s="90">
        <v>5.2850448568133706</v>
      </c>
      <c r="M58" s="90">
        <v>17.725587491743667</v>
      </c>
      <c r="N58" s="90">
        <v>4.3994532023464421</v>
      </c>
      <c r="O58" s="90">
        <v>0.78889779478740463</v>
      </c>
      <c r="P58" s="90">
        <v>2.4231668880092379</v>
      </c>
      <c r="Q58" s="90">
        <v>0.9959768680418204</v>
      </c>
    </row>
    <row r="59" spans="2:17" x14ac:dyDescent="0.3">
      <c r="B59" s="291" t="s">
        <v>204</v>
      </c>
      <c r="C59" s="13" t="s">
        <v>192</v>
      </c>
      <c r="D59" s="84">
        <v>6.5749857875706139</v>
      </c>
      <c r="E59" s="84">
        <v>19.326453288645993</v>
      </c>
      <c r="F59" s="84">
        <v>24.760035353505241</v>
      </c>
      <c r="G59" s="84">
        <v>23.15690790109354</v>
      </c>
      <c r="H59" s="84">
        <v>19.700257213216325</v>
      </c>
      <c r="I59" s="84">
        <v>25.775000850475159</v>
      </c>
      <c r="J59" s="84">
        <v>16.806609520807715</v>
      </c>
      <c r="K59" s="84">
        <v>12.143428200695753</v>
      </c>
      <c r="L59" s="84">
        <v>8.1372562058795701</v>
      </c>
      <c r="M59" s="84">
        <v>16.651166031115601</v>
      </c>
      <c r="N59" s="84">
        <v>5.1381501969193524</v>
      </c>
      <c r="O59" s="84">
        <v>1.2713379986219691</v>
      </c>
      <c r="P59" s="84">
        <v>1.1462691967241505</v>
      </c>
      <c r="Q59" s="84">
        <v>0.55222144657740313</v>
      </c>
    </row>
    <row r="60" spans="2:17" x14ac:dyDescent="0.3">
      <c r="B60" s="295"/>
      <c r="C60" s="12" t="s">
        <v>193</v>
      </c>
      <c r="D60" s="90">
        <v>7.9232241479379057</v>
      </c>
      <c r="E60" s="90">
        <v>20.838702739794506</v>
      </c>
      <c r="F60" s="90">
        <v>26.874920466570213</v>
      </c>
      <c r="G60" s="90">
        <v>20.704699237182293</v>
      </c>
      <c r="H60" s="90">
        <v>15.490228886317114</v>
      </c>
      <c r="I60" s="90">
        <v>30.603244447619932</v>
      </c>
      <c r="J60" s="90">
        <v>14.949324196663019</v>
      </c>
      <c r="K60" s="90">
        <v>9.5946011906706072</v>
      </c>
      <c r="L60" s="90">
        <v>5.8564971752284709</v>
      </c>
      <c r="M60" s="90">
        <v>16.684769638853581</v>
      </c>
      <c r="N60" s="90">
        <v>3.8906432217916018</v>
      </c>
      <c r="O60" s="90">
        <v>1.2396529118991326</v>
      </c>
      <c r="P60" s="90">
        <v>1.871564335339114</v>
      </c>
      <c r="Q60" s="90">
        <v>0.69736813563094535</v>
      </c>
    </row>
    <row r="61" spans="2:17" x14ac:dyDescent="0.3">
      <c r="B61" s="291" t="s">
        <v>209</v>
      </c>
      <c r="C61" s="13" t="s">
        <v>205</v>
      </c>
      <c r="D61" s="84">
        <v>7.4717667224630606</v>
      </c>
      <c r="E61" s="84">
        <v>20.737961171299908</v>
      </c>
      <c r="F61" s="84">
        <v>28.82591395528976</v>
      </c>
      <c r="G61" s="84">
        <v>22.431261665629798</v>
      </c>
      <c r="H61" s="84">
        <v>26.10999737852881</v>
      </c>
      <c r="I61" s="84">
        <v>26.667102913019487</v>
      </c>
      <c r="J61" s="84">
        <v>8.3115494789663646</v>
      </c>
      <c r="K61" s="84">
        <v>14.299585358774269</v>
      </c>
      <c r="L61" s="84">
        <v>10.173793810809535</v>
      </c>
      <c r="M61" s="84">
        <v>13.938048332119477</v>
      </c>
      <c r="N61" s="84">
        <v>2.1818382524911533</v>
      </c>
      <c r="O61" s="84">
        <v>1.7454354847624882</v>
      </c>
      <c r="P61" s="84">
        <v>1.0309290991810465</v>
      </c>
      <c r="Q61" s="84">
        <v>2.8213173188940939</v>
      </c>
    </row>
    <row r="62" spans="2:17" x14ac:dyDescent="0.3">
      <c r="B62" s="292"/>
      <c r="C62" s="9" t="s">
        <v>206</v>
      </c>
      <c r="D62" s="86">
        <v>6.6475929649010101</v>
      </c>
      <c r="E62" s="86">
        <v>18.540113150611447</v>
      </c>
      <c r="F62" s="86">
        <v>21.418926617907228</v>
      </c>
      <c r="G62" s="86">
        <v>20.359377461941598</v>
      </c>
      <c r="H62" s="86">
        <v>19.506021614522208</v>
      </c>
      <c r="I62" s="86">
        <v>25.800780481143843</v>
      </c>
      <c r="J62" s="86">
        <v>11.845827543796338</v>
      </c>
      <c r="K62" s="86">
        <v>12.369873479442486</v>
      </c>
      <c r="L62" s="86">
        <v>6.8705804931010084</v>
      </c>
      <c r="M62" s="86">
        <v>17.507137175819125</v>
      </c>
      <c r="N62" s="86">
        <v>5.0299284177248049</v>
      </c>
      <c r="O62" s="86">
        <v>0.49245600645317589</v>
      </c>
      <c r="P62" s="86">
        <v>0.79492550573020826</v>
      </c>
      <c r="Q62" s="86">
        <v>0.76029530559503034</v>
      </c>
    </row>
    <row r="63" spans="2:17" x14ac:dyDescent="0.3">
      <c r="B63" s="292"/>
      <c r="C63" s="9" t="s">
        <v>207</v>
      </c>
      <c r="D63" s="86">
        <v>5.5718965184582476</v>
      </c>
      <c r="E63" s="86">
        <v>15.830850014131453</v>
      </c>
      <c r="F63" s="86">
        <v>24.087453538758517</v>
      </c>
      <c r="G63" s="86">
        <v>22.379868619998298</v>
      </c>
      <c r="H63" s="86">
        <v>18.599506046226189</v>
      </c>
      <c r="I63" s="86">
        <v>28.759998127786059</v>
      </c>
      <c r="J63" s="86">
        <v>15.983236459654989</v>
      </c>
      <c r="K63" s="86">
        <v>10.107186207045077</v>
      </c>
      <c r="L63" s="86">
        <v>6.1375871593430862</v>
      </c>
      <c r="M63" s="86">
        <v>15.743017368233803</v>
      </c>
      <c r="N63" s="86">
        <v>4.1435680216568809</v>
      </c>
      <c r="O63" s="86">
        <v>1.1233884700980177</v>
      </c>
      <c r="P63" s="86">
        <v>0.76449834677864392</v>
      </c>
      <c r="Q63" s="86">
        <v>0.49926847886463166</v>
      </c>
    </row>
    <row r="64" spans="2:17" x14ac:dyDescent="0.3">
      <c r="B64" s="293"/>
      <c r="C64" s="25" t="s">
        <v>208</v>
      </c>
      <c r="D64" s="87">
        <v>9.0308796259908135</v>
      </c>
      <c r="E64" s="87">
        <v>24.935513507479278</v>
      </c>
      <c r="F64" s="87">
        <v>28.604293881217295</v>
      </c>
      <c r="G64" s="87">
        <v>22.482680624252534</v>
      </c>
      <c r="H64" s="87">
        <v>14.626356978294346</v>
      </c>
      <c r="I64" s="87">
        <v>28.072321334740568</v>
      </c>
      <c r="J64" s="87">
        <v>19.49406033112848</v>
      </c>
      <c r="K64" s="87">
        <v>10.763112933858404</v>
      </c>
      <c r="L64" s="87">
        <v>7.7208484171368603</v>
      </c>
      <c r="M64" s="87">
        <v>17.868076906795597</v>
      </c>
      <c r="N64" s="87">
        <v>5.4093456951663779</v>
      </c>
      <c r="O64" s="87">
        <v>1.6372324944465995</v>
      </c>
      <c r="P64" s="87">
        <v>2.5968548300558383</v>
      </c>
      <c r="Q64" s="87">
        <v>0.20721130715386157</v>
      </c>
    </row>
    <row r="67" spans="2:51" ht="18.75" customHeight="1" x14ac:dyDescent="0.3">
      <c r="B67" s="1" t="s">
        <v>136</v>
      </c>
      <c r="F67" s="304"/>
      <c r="G67" s="304"/>
      <c r="H67" s="304"/>
      <c r="I67" s="304"/>
      <c r="J67" s="304"/>
      <c r="K67" s="304"/>
      <c r="L67" s="304"/>
      <c r="M67" s="304"/>
      <c r="N67" s="304"/>
      <c r="O67" s="304"/>
      <c r="P67" s="304"/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304"/>
      <c r="AB67" s="304"/>
      <c r="AC67" s="304"/>
      <c r="AD67" s="304"/>
      <c r="AE67" s="304"/>
      <c r="AF67" s="304"/>
      <c r="AG67" s="304"/>
      <c r="AH67" s="304"/>
      <c r="AI67" s="304"/>
      <c r="AJ67" s="304"/>
      <c r="AK67" s="304"/>
      <c r="AL67" s="304"/>
      <c r="AM67" s="304"/>
      <c r="AN67" s="304"/>
      <c r="AO67" s="304"/>
      <c r="AP67" s="304"/>
      <c r="AQ67" s="304"/>
      <c r="AR67" s="304"/>
      <c r="AS67" s="304"/>
      <c r="AT67" s="304"/>
      <c r="AU67" s="304"/>
      <c r="AV67" s="304"/>
      <c r="AW67" s="304"/>
      <c r="AX67" s="304"/>
      <c r="AY67" s="304"/>
    </row>
    <row r="68" spans="2:51" ht="13.5" customHeight="1" x14ac:dyDescent="0.3">
      <c r="M68" s="30"/>
      <c r="N68" s="30"/>
      <c r="P68" s="30"/>
      <c r="Q68" s="30" t="s">
        <v>53</v>
      </c>
    </row>
    <row r="69" spans="2:51" ht="28.5" customHeight="1" x14ac:dyDescent="0.3">
      <c r="B69" s="305"/>
      <c r="C69" s="306"/>
      <c r="D69" s="226" t="s">
        <v>35</v>
      </c>
      <c r="E69" s="226" t="s">
        <v>280</v>
      </c>
      <c r="F69" s="226" t="s">
        <v>70</v>
      </c>
      <c r="G69" s="226" t="s">
        <v>16</v>
      </c>
      <c r="H69" s="226" t="s">
        <v>232</v>
      </c>
      <c r="I69" s="226" t="s">
        <v>287</v>
      </c>
      <c r="J69" s="226" t="s">
        <v>32</v>
      </c>
      <c r="K69" s="226" t="s">
        <v>284</v>
      </c>
      <c r="L69" s="226" t="s">
        <v>285</v>
      </c>
      <c r="M69" s="226" t="s">
        <v>288</v>
      </c>
      <c r="N69" s="227" t="s">
        <v>37</v>
      </c>
      <c r="O69" s="227" t="s">
        <v>19</v>
      </c>
      <c r="P69" s="227" t="s">
        <v>233</v>
      </c>
      <c r="Q69" s="227" t="s">
        <v>12</v>
      </c>
    </row>
    <row r="70" spans="2:51" x14ac:dyDescent="0.3">
      <c r="B70" s="292" t="s">
        <v>20</v>
      </c>
      <c r="C70" s="292"/>
      <c r="D70" s="72">
        <v>1.1089162131233019</v>
      </c>
      <c r="E70" s="72">
        <v>1.0932355876773676</v>
      </c>
      <c r="F70" s="73">
        <v>1.104153125933754</v>
      </c>
      <c r="G70" s="72">
        <v>1.1420031264723243</v>
      </c>
      <c r="H70" s="73">
        <v>1.1950677562707588</v>
      </c>
      <c r="I70" s="72">
        <v>1.4043839834196981</v>
      </c>
      <c r="J70" s="72">
        <v>1.2806481413271282</v>
      </c>
      <c r="K70" s="72">
        <v>1.2866925039554908</v>
      </c>
      <c r="L70" s="73">
        <v>1.1598866815260669</v>
      </c>
      <c r="M70" s="72">
        <v>1.2966437141842653</v>
      </c>
      <c r="N70" s="72">
        <v>1.2045956945223284</v>
      </c>
      <c r="O70" s="72">
        <v>1.27139962288522</v>
      </c>
      <c r="P70" s="72">
        <v>1.1040124278584194</v>
      </c>
      <c r="Q70" s="72">
        <v>1.1967577011259849</v>
      </c>
    </row>
    <row r="71" spans="2:51" x14ac:dyDescent="0.3">
      <c r="B71" s="296" t="s">
        <v>5</v>
      </c>
      <c r="C71" s="13" t="s">
        <v>0</v>
      </c>
      <c r="D71" s="74">
        <v>1.1307044952189529</v>
      </c>
      <c r="E71" s="74">
        <v>1.0852555029393967</v>
      </c>
      <c r="F71" s="75">
        <v>1.0846229265641625</v>
      </c>
      <c r="G71" s="74">
        <v>1.1218100495194241</v>
      </c>
      <c r="H71" s="75">
        <v>1.1609901885038911</v>
      </c>
      <c r="I71" s="74">
        <v>1.3880045389940843</v>
      </c>
      <c r="J71" s="74">
        <v>1.2727543271803887</v>
      </c>
      <c r="K71" s="74">
        <v>1.1858223266574488</v>
      </c>
      <c r="L71" s="75">
        <v>1.1847155098817355</v>
      </c>
      <c r="M71" s="74">
        <v>1.2797186838666652</v>
      </c>
      <c r="N71" s="74">
        <v>1.4976248447987885</v>
      </c>
      <c r="O71" s="74">
        <v>1.0970262418814485</v>
      </c>
      <c r="P71" s="74">
        <v>1</v>
      </c>
      <c r="Q71" s="74">
        <v>1.434740746788203</v>
      </c>
    </row>
    <row r="72" spans="2:51" x14ac:dyDescent="0.3">
      <c r="B72" s="295"/>
      <c r="C72" s="12" t="s">
        <v>1</v>
      </c>
      <c r="D72" s="76">
        <v>1.0769490739175449</v>
      </c>
      <c r="E72" s="76">
        <v>1.1041345335987187</v>
      </c>
      <c r="F72" s="76">
        <v>1.1346112121553833</v>
      </c>
      <c r="G72" s="76">
        <v>1.1734484847685651</v>
      </c>
      <c r="H72" s="76">
        <v>1.2356514111220556</v>
      </c>
      <c r="I72" s="76">
        <v>1.4270865808098225</v>
      </c>
      <c r="J72" s="76">
        <v>1.2954526009424838</v>
      </c>
      <c r="K72" s="76">
        <v>1.3930037437588365</v>
      </c>
      <c r="L72" s="76">
        <v>1.1356153072804618</v>
      </c>
      <c r="M72" s="76">
        <v>1.3161382842687026</v>
      </c>
      <c r="N72" s="76">
        <v>1.0872028054492953</v>
      </c>
      <c r="O72" s="76">
        <v>1.3248770316858578</v>
      </c>
      <c r="P72" s="76">
        <v>1.1669189304222898</v>
      </c>
      <c r="Q72" s="76">
        <v>1.0777366488052196</v>
      </c>
    </row>
    <row r="73" spans="2:51" x14ac:dyDescent="0.3">
      <c r="B73" s="296" t="s">
        <v>4</v>
      </c>
      <c r="C73" s="9" t="s">
        <v>175</v>
      </c>
      <c r="D73" s="72">
        <v>1.318423135391555</v>
      </c>
      <c r="E73" s="72">
        <v>1</v>
      </c>
      <c r="F73" s="73">
        <v>1.0815219837337238</v>
      </c>
      <c r="G73" s="72">
        <v>1.4308219486007325</v>
      </c>
      <c r="H73" s="73">
        <v>1.3192725823487308</v>
      </c>
      <c r="I73" s="72">
        <v>1.1801219190491654</v>
      </c>
      <c r="J73" s="72">
        <v>1.1278178905825798</v>
      </c>
      <c r="K73" s="72">
        <v>1.2817395741844542</v>
      </c>
      <c r="L73" s="73">
        <v>1.2329885623079786</v>
      </c>
      <c r="M73" s="72">
        <v>1.1148903075410872</v>
      </c>
      <c r="N73" s="72">
        <v>1.4434605362678008</v>
      </c>
      <c r="O73" s="72">
        <v>1</v>
      </c>
      <c r="P73" s="72">
        <v>0</v>
      </c>
      <c r="Q73" s="72">
        <v>0</v>
      </c>
    </row>
    <row r="74" spans="2:51" x14ac:dyDescent="0.3">
      <c r="B74" s="292"/>
      <c r="C74" s="9" t="s">
        <v>176</v>
      </c>
      <c r="D74" s="72">
        <v>1.1969949502096489</v>
      </c>
      <c r="E74" s="72">
        <v>1.1585796860285</v>
      </c>
      <c r="F74" s="73">
        <v>1.1525475592675516</v>
      </c>
      <c r="G74" s="72">
        <v>1.1765359952819452</v>
      </c>
      <c r="H74" s="73">
        <v>1.2025485135279421</v>
      </c>
      <c r="I74" s="72">
        <v>1.4270756635442798</v>
      </c>
      <c r="J74" s="72">
        <v>1.3343390436048386</v>
      </c>
      <c r="K74" s="72">
        <v>1.380323313912726</v>
      </c>
      <c r="L74" s="73">
        <v>1.1541634161557848</v>
      </c>
      <c r="M74" s="72">
        <v>1.1650297963926519</v>
      </c>
      <c r="N74" s="72">
        <v>1.1335710978229445</v>
      </c>
      <c r="O74" s="72">
        <v>1.3650559865272989</v>
      </c>
      <c r="P74" s="72">
        <v>1.3628774840880069</v>
      </c>
      <c r="Q74" s="72">
        <v>1</v>
      </c>
    </row>
    <row r="75" spans="2:51" x14ac:dyDescent="0.3">
      <c r="B75" s="292"/>
      <c r="C75" s="9" t="s">
        <v>177</v>
      </c>
      <c r="D75" s="72">
        <v>1.1333917510475016</v>
      </c>
      <c r="E75" s="72">
        <v>1.0801761624112851</v>
      </c>
      <c r="F75" s="73">
        <v>1.1931237566654589</v>
      </c>
      <c r="G75" s="72">
        <v>1.2219641773008172</v>
      </c>
      <c r="H75" s="73">
        <v>1.2081558441031346</v>
      </c>
      <c r="I75" s="72">
        <v>1.3895585310326335</v>
      </c>
      <c r="J75" s="72">
        <v>1.3737270770414034</v>
      </c>
      <c r="K75" s="72">
        <v>1.2952102994261374</v>
      </c>
      <c r="L75" s="73">
        <v>1.1600371784325527</v>
      </c>
      <c r="M75" s="72">
        <v>1.362156613846365</v>
      </c>
      <c r="N75" s="72">
        <v>1.2983034920859506</v>
      </c>
      <c r="O75" s="72">
        <v>1.8401019441431659</v>
      </c>
      <c r="P75" s="72">
        <v>1</v>
      </c>
      <c r="Q75" s="72">
        <v>1.3306713419794596</v>
      </c>
    </row>
    <row r="76" spans="2:51" x14ac:dyDescent="0.3">
      <c r="B76" s="292"/>
      <c r="C76" s="9" t="s">
        <v>178</v>
      </c>
      <c r="D76" s="72">
        <v>1.0660058102057255</v>
      </c>
      <c r="E76" s="72">
        <v>1.1044018634856321</v>
      </c>
      <c r="F76" s="73">
        <v>1.0872328733082368</v>
      </c>
      <c r="G76" s="72">
        <v>1.0993196829522496</v>
      </c>
      <c r="H76" s="73">
        <v>1.2156435590188013</v>
      </c>
      <c r="I76" s="72">
        <v>1.501036070323521</v>
      </c>
      <c r="J76" s="72">
        <v>1.3314946881131691</v>
      </c>
      <c r="K76" s="72">
        <v>1.2702936764069703</v>
      </c>
      <c r="L76" s="73">
        <v>1.0202533279710864</v>
      </c>
      <c r="M76" s="72">
        <v>1.2346194381576803</v>
      </c>
      <c r="N76" s="72">
        <v>1.1582347575792578</v>
      </c>
      <c r="O76" s="72">
        <v>1</v>
      </c>
      <c r="P76" s="72">
        <v>1.0601186709356298</v>
      </c>
      <c r="Q76" s="72">
        <v>1</v>
      </c>
    </row>
    <row r="77" spans="2:51" x14ac:dyDescent="0.3">
      <c r="B77" s="292"/>
      <c r="C77" s="9" t="s">
        <v>179</v>
      </c>
      <c r="D77" s="72">
        <v>1.1176920111608786</v>
      </c>
      <c r="E77" s="72">
        <v>1.0995776356521556</v>
      </c>
      <c r="F77" s="73">
        <v>1.0669318355557151</v>
      </c>
      <c r="G77" s="72">
        <v>1.1602070298073259</v>
      </c>
      <c r="H77" s="73">
        <v>1.1724696997979618</v>
      </c>
      <c r="I77" s="72">
        <v>1.3819827349405907</v>
      </c>
      <c r="J77" s="72">
        <v>1.2561266685129922</v>
      </c>
      <c r="K77" s="72">
        <v>1.2121680429314234</v>
      </c>
      <c r="L77" s="73">
        <v>1.20469428564697</v>
      </c>
      <c r="M77" s="72">
        <v>1.3340847628153047</v>
      </c>
      <c r="N77" s="72">
        <v>1.6095595340715489</v>
      </c>
      <c r="O77" s="72">
        <v>1.1225384804491687</v>
      </c>
      <c r="P77" s="72">
        <v>1</v>
      </c>
      <c r="Q77" s="72">
        <v>1</v>
      </c>
    </row>
    <row r="78" spans="2:51" x14ac:dyDescent="0.3">
      <c r="B78" s="298"/>
      <c r="C78" s="12" t="s">
        <v>180</v>
      </c>
      <c r="D78" s="76">
        <v>1.0466821568133686</v>
      </c>
      <c r="E78" s="76">
        <v>1.064432227301253</v>
      </c>
      <c r="F78" s="77">
        <v>1.0686039221179779</v>
      </c>
      <c r="G78" s="76">
        <v>1.0445799990333067</v>
      </c>
      <c r="H78" s="77">
        <v>1.1522843187214575</v>
      </c>
      <c r="I78" s="76">
        <v>1.3600424937842595</v>
      </c>
      <c r="J78" s="76">
        <v>1.1967478487584606</v>
      </c>
      <c r="K78" s="76">
        <v>1.2784486581092247</v>
      </c>
      <c r="L78" s="77">
        <v>1.2197740345153656</v>
      </c>
      <c r="M78" s="76">
        <v>1.3312858342015439</v>
      </c>
      <c r="N78" s="76">
        <v>1</v>
      </c>
      <c r="O78" s="76">
        <v>1</v>
      </c>
      <c r="P78" s="76">
        <v>1</v>
      </c>
      <c r="Q78" s="76">
        <v>1.3417964578419321</v>
      </c>
    </row>
    <row r="79" spans="2:51" x14ac:dyDescent="0.3">
      <c r="B79" s="292" t="s">
        <v>223</v>
      </c>
      <c r="C79" s="9" t="s">
        <v>210</v>
      </c>
      <c r="D79" s="72">
        <v>1.3771878270946205</v>
      </c>
      <c r="E79" s="72">
        <v>1</v>
      </c>
      <c r="F79" s="73">
        <v>1.1050910949275783</v>
      </c>
      <c r="G79" s="72">
        <v>1.6452445407541496</v>
      </c>
      <c r="H79" s="73">
        <v>1.4225540956277807</v>
      </c>
      <c r="I79" s="72">
        <v>1.2477024352959083</v>
      </c>
      <c r="J79" s="72">
        <v>1</v>
      </c>
      <c r="K79" s="72">
        <v>1.5101242480455122</v>
      </c>
      <c r="L79" s="73">
        <v>1.678540259978871</v>
      </c>
      <c r="M79" s="72">
        <v>1.1995793676255659</v>
      </c>
      <c r="N79" s="72">
        <v>1.5259558767007455</v>
      </c>
      <c r="O79" s="72">
        <v>0</v>
      </c>
      <c r="P79" s="72">
        <v>0</v>
      </c>
      <c r="Q79" s="72">
        <v>0</v>
      </c>
    </row>
    <row r="80" spans="2:51" x14ac:dyDescent="0.3">
      <c r="B80" s="292"/>
      <c r="C80" s="9" t="s">
        <v>211</v>
      </c>
      <c r="D80" s="72">
        <v>1.2492307663357229</v>
      </c>
      <c r="E80" s="72">
        <v>1.1358164633877239</v>
      </c>
      <c r="F80" s="73">
        <v>1.1276595392069437</v>
      </c>
      <c r="G80" s="72">
        <v>1.180405259475495</v>
      </c>
      <c r="H80" s="73">
        <v>1.1441266897154341</v>
      </c>
      <c r="I80" s="72">
        <v>1.3441605299334252</v>
      </c>
      <c r="J80" s="72">
        <v>1.2950158301188226</v>
      </c>
      <c r="K80" s="72">
        <v>1.1899039749208504</v>
      </c>
      <c r="L80" s="73">
        <v>1.1477673984201964</v>
      </c>
      <c r="M80" s="72">
        <v>1.0750908914785611</v>
      </c>
      <c r="N80" s="72">
        <v>1.1838784512129377</v>
      </c>
      <c r="O80" s="72">
        <v>1.4658683473268712</v>
      </c>
      <c r="P80" s="72">
        <v>1</v>
      </c>
      <c r="Q80" s="72">
        <v>1</v>
      </c>
    </row>
    <row r="81" spans="2:17" x14ac:dyDescent="0.3">
      <c r="B81" s="292"/>
      <c r="C81" s="9" t="s">
        <v>212</v>
      </c>
      <c r="D81" s="72">
        <v>1.0968689221159156</v>
      </c>
      <c r="E81" s="72">
        <v>1.0175758115746838</v>
      </c>
      <c r="F81" s="73">
        <v>1.0885174065108263</v>
      </c>
      <c r="G81" s="72">
        <v>1.1226818634073477</v>
      </c>
      <c r="H81" s="73">
        <v>1.1558392992923936</v>
      </c>
      <c r="I81" s="72">
        <v>1.3487053255413568</v>
      </c>
      <c r="J81" s="72">
        <v>1.3699039838795302</v>
      </c>
      <c r="K81" s="72">
        <v>1.0738532912091774</v>
      </c>
      <c r="L81" s="73">
        <v>1.1627979059801941</v>
      </c>
      <c r="M81" s="72">
        <v>1.3195278959579388</v>
      </c>
      <c r="N81" s="72">
        <v>1.6612998498161242</v>
      </c>
      <c r="O81" s="72">
        <v>1</v>
      </c>
      <c r="P81" s="72">
        <v>1</v>
      </c>
      <c r="Q81" s="72">
        <v>0</v>
      </c>
    </row>
    <row r="82" spans="2:17" x14ac:dyDescent="0.3">
      <c r="B82" s="292"/>
      <c r="C82" s="9" t="s">
        <v>213</v>
      </c>
      <c r="D82" s="72">
        <v>1.1053801938351029</v>
      </c>
      <c r="E82" s="72">
        <v>1.1406933631714899</v>
      </c>
      <c r="F82" s="73">
        <v>1.0789246704541242</v>
      </c>
      <c r="G82" s="72">
        <v>1.0817202479584636</v>
      </c>
      <c r="H82" s="73">
        <v>1.1772426118442272</v>
      </c>
      <c r="I82" s="72">
        <v>1.6323426174676945</v>
      </c>
      <c r="J82" s="72">
        <v>1.3126734670932043</v>
      </c>
      <c r="K82" s="72">
        <v>1.4265529620844755</v>
      </c>
      <c r="L82" s="73">
        <v>1</v>
      </c>
      <c r="M82" s="72">
        <v>1.2776979577441632</v>
      </c>
      <c r="N82" s="72">
        <v>1.4488357169926085</v>
      </c>
      <c r="O82" s="72">
        <v>1</v>
      </c>
      <c r="P82" s="72">
        <v>1</v>
      </c>
      <c r="Q82" s="72">
        <v>0</v>
      </c>
    </row>
    <row r="83" spans="2:17" x14ac:dyDescent="0.3">
      <c r="B83" s="292"/>
      <c r="C83" s="9" t="s">
        <v>214</v>
      </c>
      <c r="D83" s="72">
        <v>1.1312575972597192</v>
      </c>
      <c r="E83" s="72">
        <v>1.0641717309695389</v>
      </c>
      <c r="F83" s="73">
        <v>1.0765661236160322</v>
      </c>
      <c r="G83" s="72">
        <v>1.1448865651595124</v>
      </c>
      <c r="H83" s="73">
        <v>1.144647129044245</v>
      </c>
      <c r="I83" s="72">
        <v>1.2456041943223966</v>
      </c>
      <c r="J83" s="72">
        <v>1.2528758511368498</v>
      </c>
      <c r="K83" s="72">
        <v>1.127418761043032</v>
      </c>
      <c r="L83" s="73">
        <v>1.317855377446282</v>
      </c>
      <c r="M83" s="72">
        <v>1.3821064957994265</v>
      </c>
      <c r="N83" s="72">
        <v>1.9043593576585487</v>
      </c>
      <c r="O83" s="72">
        <v>1</v>
      </c>
      <c r="P83" s="72">
        <v>1</v>
      </c>
      <c r="Q83" s="72">
        <v>1</v>
      </c>
    </row>
    <row r="84" spans="2:17" x14ac:dyDescent="0.3">
      <c r="B84" s="292"/>
      <c r="C84" s="12" t="s">
        <v>215</v>
      </c>
      <c r="D84" s="76">
        <v>1.0690152799427082</v>
      </c>
      <c r="E84" s="76">
        <v>1.0814135903094102</v>
      </c>
      <c r="F84" s="77">
        <v>1.0724840347295364</v>
      </c>
      <c r="G84" s="76">
        <v>1.0261583271805657</v>
      </c>
      <c r="H84" s="77">
        <v>1.1097406827647578</v>
      </c>
      <c r="I84" s="76">
        <v>1.3139311237608373</v>
      </c>
      <c r="J84" s="76">
        <v>1.2021713930855087</v>
      </c>
      <c r="K84" s="76">
        <v>1.1270381600951256</v>
      </c>
      <c r="L84" s="77">
        <v>1.2162095499080057</v>
      </c>
      <c r="M84" s="76">
        <v>1.2452967518496443</v>
      </c>
      <c r="N84" s="76">
        <v>1</v>
      </c>
      <c r="O84" s="76">
        <v>1</v>
      </c>
      <c r="P84" s="76">
        <v>1</v>
      </c>
      <c r="Q84" s="76">
        <v>1.8519169446797059</v>
      </c>
    </row>
    <row r="85" spans="2:17" x14ac:dyDescent="0.3">
      <c r="B85" s="292"/>
      <c r="C85" s="9" t="s">
        <v>216</v>
      </c>
      <c r="D85" s="72">
        <v>1</v>
      </c>
      <c r="E85" s="72">
        <v>1</v>
      </c>
      <c r="F85" s="73">
        <v>1</v>
      </c>
      <c r="G85" s="72">
        <v>1</v>
      </c>
      <c r="H85" s="73">
        <v>1.1873689976447543</v>
      </c>
      <c r="I85" s="72">
        <v>1.0889725052986092</v>
      </c>
      <c r="J85" s="72">
        <v>1.2143632005009868</v>
      </c>
      <c r="K85" s="72">
        <v>1</v>
      </c>
      <c r="L85" s="73">
        <v>1</v>
      </c>
      <c r="M85" s="72">
        <v>1</v>
      </c>
      <c r="N85" s="72">
        <v>1.3333333333333333</v>
      </c>
      <c r="O85" s="72">
        <v>1</v>
      </c>
      <c r="P85" s="72">
        <v>0</v>
      </c>
      <c r="Q85" s="72">
        <v>0</v>
      </c>
    </row>
    <row r="86" spans="2:17" x14ac:dyDescent="0.3">
      <c r="B86" s="292"/>
      <c r="C86" s="9" t="s">
        <v>217</v>
      </c>
      <c r="D86" s="72">
        <v>1.1203154552898564</v>
      </c>
      <c r="E86" s="72">
        <v>1.1909711392207103</v>
      </c>
      <c r="F86" s="73">
        <v>1.1853396259764437</v>
      </c>
      <c r="G86" s="72">
        <v>1.1689925732810982</v>
      </c>
      <c r="H86" s="73">
        <v>1.2833355435104752</v>
      </c>
      <c r="I86" s="72">
        <v>1.5322803394720492</v>
      </c>
      <c r="J86" s="72">
        <v>1.3872346008195955</v>
      </c>
      <c r="K86" s="72">
        <v>1.6262691369002185</v>
      </c>
      <c r="L86" s="73">
        <v>1.1582488279763066</v>
      </c>
      <c r="M86" s="72">
        <v>1.271674837588376</v>
      </c>
      <c r="N86" s="72">
        <v>1.1181049788712305</v>
      </c>
      <c r="O86" s="72">
        <v>1.3466453709080066</v>
      </c>
      <c r="P86" s="72">
        <v>1.4693187030789059</v>
      </c>
      <c r="Q86" s="72">
        <v>0</v>
      </c>
    </row>
    <row r="87" spans="2:17" x14ac:dyDescent="0.3">
      <c r="B87" s="292"/>
      <c r="C87" s="9" t="s">
        <v>218</v>
      </c>
      <c r="D87" s="72">
        <v>1.2179401729719757</v>
      </c>
      <c r="E87" s="72">
        <v>1.1779296613875347</v>
      </c>
      <c r="F87" s="73">
        <v>1.3395651477015507</v>
      </c>
      <c r="G87" s="72">
        <v>1.3372245999253272</v>
      </c>
      <c r="H87" s="73">
        <v>1.2783952927668909</v>
      </c>
      <c r="I87" s="72">
        <v>1.453961535723838</v>
      </c>
      <c r="J87" s="72">
        <v>1.3834190022699253</v>
      </c>
      <c r="K87" s="72">
        <v>1.5443255523256101</v>
      </c>
      <c r="L87" s="73">
        <v>1.1561366959234558</v>
      </c>
      <c r="M87" s="72">
        <v>1.4178085693427585</v>
      </c>
      <c r="N87" s="72">
        <v>1.1349982194906487</v>
      </c>
      <c r="O87" s="72">
        <v>2.2785419401537101</v>
      </c>
      <c r="P87" s="72">
        <v>0</v>
      </c>
      <c r="Q87" s="72">
        <v>1.3306713419794596</v>
      </c>
    </row>
    <row r="88" spans="2:17" x14ac:dyDescent="0.3">
      <c r="B88" s="292"/>
      <c r="C88" s="9" t="s">
        <v>219</v>
      </c>
      <c r="D88" s="72">
        <v>1</v>
      </c>
      <c r="E88" s="72">
        <v>1.0579849675956292</v>
      </c>
      <c r="F88" s="73">
        <v>1.1068089426225984</v>
      </c>
      <c r="G88" s="72">
        <v>1.1269496688959308</v>
      </c>
      <c r="H88" s="73">
        <v>1.2604651231021582</v>
      </c>
      <c r="I88" s="72">
        <v>1.2515682792409601</v>
      </c>
      <c r="J88" s="72">
        <v>1.3711083210268218</v>
      </c>
      <c r="K88" s="72">
        <v>1.0834595915821026</v>
      </c>
      <c r="L88" s="73">
        <v>1.0443366099055327</v>
      </c>
      <c r="M88" s="72">
        <v>1.1816251976394458</v>
      </c>
      <c r="N88" s="72">
        <v>1</v>
      </c>
      <c r="O88" s="72">
        <v>1</v>
      </c>
      <c r="P88" s="72">
        <v>1.0837897017567766</v>
      </c>
      <c r="Q88" s="72">
        <v>1</v>
      </c>
    </row>
    <row r="89" spans="2:17" x14ac:dyDescent="0.3">
      <c r="B89" s="292"/>
      <c r="C89" s="9" t="s">
        <v>220</v>
      </c>
      <c r="D89" s="72">
        <v>1.0963786964417392</v>
      </c>
      <c r="E89" s="72">
        <v>1.1464604781536392</v>
      </c>
      <c r="F89" s="73">
        <v>1.0531639958876138</v>
      </c>
      <c r="G89" s="72">
        <v>1.1792426288008873</v>
      </c>
      <c r="H89" s="73">
        <v>1.2017471359583989</v>
      </c>
      <c r="I89" s="72">
        <v>1.538884854874311</v>
      </c>
      <c r="J89" s="72">
        <v>1.2644395267509358</v>
      </c>
      <c r="K89" s="72">
        <v>1.3045017735418112</v>
      </c>
      <c r="L89" s="73">
        <v>1.0932623867367219</v>
      </c>
      <c r="M89" s="72">
        <v>1.2899956875811913</v>
      </c>
      <c r="N89" s="72">
        <v>1.1773684809769047</v>
      </c>
      <c r="O89" s="72">
        <v>1.1795853033682009</v>
      </c>
      <c r="P89" s="72">
        <v>1</v>
      </c>
      <c r="Q89" s="72">
        <v>1</v>
      </c>
    </row>
    <row r="90" spans="2:17" x14ac:dyDescent="0.3">
      <c r="B90" s="295"/>
      <c r="C90" s="9" t="s">
        <v>221</v>
      </c>
      <c r="D90" s="76">
        <v>1.0250237332228751</v>
      </c>
      <c r="E90" s="76">
        <v>1.0418471336444068</v>
      </c>
      <c r="F90" s="77">
        <v>1.0635058639788544</v>
      </c>
      <c r="G90" s="76">
        <v>1.0819151997035734</v>
      </c>
      <c r="H90" s="77">
        <v>1.2004901618874588</v>
      </c>
      <c r="I90" s="76">
        <v>1.41655893889161</v>
      </c>
      <c r="J90" s="76">
        <v>1.1886408912249298</v>
      </c>
      <c r="K90" s="76">
        <v>1.3860254206970755</v>
      </c>
      <c r="L90" s="77">
        <v>1.2232939763385731</v>
      </c>
      <c r="M90" s="76">
        <v>1.4441378139822736</v>
      </c>
      <c r="N90" s="76">
        <v>1</v>
      </c>
      <c r="O90" s="76">
        <v>1</v>
      </c>
      <c r="P90" s="76">
        <v>1</v>
      </c>
      <c r="Q90" s="76">
        <v>1</v>
      </c>
    </row>
    <row r="91" spans="2:17" ht="16.5" customHeight="1" x14ac:dyDescent="0.3">
      <c r="B91" s="291" t="s">
        <v>222</v>
      </c>
      <c r="C91" s="13" t="s">
        <v>226</v>
      </c>
      <c r="D91" s="74">
        <v>1.2002332973816223</v>
      </c>
      <c r="E91" s="74">
        <v>1.1430825567296736</v>
      </c>
      <c r="F91" s="74">
        <v>1.2287667749612259</v>
      </c>
      <c r="G91" s="74">
        <v>1.294661480860176</v>
      </c>
      <c r="H91" s="74">
        <v>1.2143575062749512</v>
      </c>
      <c r="I91" s="74">
        <v>1.4794576591477409</v>
      </c>
      <c r="J91" s="74">
        <v>1.3284843135698363</v>
      </c>
      <c r="K91" s="74">
        <v>1.2813628402485877</v>
      </c>
      <c r="L91" s="74">
        <v>1.2430252625783731</v>
      </c>
      <c r="M91" s="74">
        <v>1.4697301130837268</v>
      </c>
      <c r="N91" s="74">
        <v>1.1972151254042989</v>
      </c>
      <c r="O91" s="74">
        <v>1.2985720791308597</v>
      </c>
      <c r="P91" s="74">
        <v>1</v>
      </c>
      <c r="Q91" s="74">
        <v>1</v>
      </c>
    </row>
    <row r="92" spans="2:17" x14ac:dyDescent="0.3">
      <c r="B92" s="294"/>
      <c r="C92" s="9" t="s">
        <v>227</v>
      </c>
      <c r="D92" s="72">
        <v>1.1614870100282206</v>
      </c>
      <c r="E92" s="72">
        <v>1.0858041472656967</v>
      </c>
      <c r="F92" s="72">
        <v>1.1086097806670441</v>
      </c>
      <c r="G92" s="72">
        <v>1.0889919586988233</v>
      </c>
      <c r="H92" s="72">
        <v>1.1850624993699665</v>
      </c>
      <c r="I92" s="72">
        <v>1.4040331588323234</v>
      </c>
      <c r="J92" s="72">
        <v>1.2834365123514742</v>
      </c>
      <c r="K92" s="72">
        <v>1.2364979356490704</v>
      </c>
      <c r="L92" s="72">
        <v>1.1823984978775706</v>
      </c>
      <c r="M92" s="72">
        <v>1.2622938768528451</v>
      </c>
      <c r="N92" s="72">
        <v>1.223678296227348</v>
      </c>
      <c r="O92" s="72">
        <v>1.5030229806912607</v>
      </c>
      <c r="P92" s="72">
        <v>1.2399601293949014</v>
      </c>
      <c r="Q92" s="72">
        <v>1.1598901927818535</v>
      </c>
    </row>
    <row r="93" spans="2:17" x14ac:dyDescent="0.3">
      <c r="B93" s="292"/>
      <c r="C93" s="9" t="s">
        <v>228</v>
      </c>
      <c r="D93" s="72">
        <v>1.0247285464506353</v>
      </c>
      <c r="E93" s="72">
        <v>1.0791231492209234</v>
      </c>
      <c r="F93" s="72">
        <v>1.0436861431152571</v>
      </c>
      <c r="G93" s="72">
        <v>1.0953115138143623</v>
      </c>
      <c r="H93" s="72">
        <v>1.2079445331048519</v>
      </c>
      <c r="I93" s="72">
        <v>1.3909170263359938</v>
      </c>
      <c r="J93" s="72">
        <v>1.2662070675670467</v>
      </c>
      <c r="K93" s="72">
        <v>1.2781316587368439</v>
      </c>
      <c r="L93" s="72">
        <v>1.0854965276211113</v>
      </c>
      <c r="M93" s="72">
        <v>1.2818229939449723</v>
      </c>
      <c r="N93" s="72">
        <v>1.4106264933957384</v>
      </c>
      <c r="O93" s="72">
        <v>1</v>
      </c>
      <c r="P93" s="72">
        <v>1.0573447677062757</v>
      </c>
      <c r="Q93" s="72">
        <v>1</v>
      </c>
    </row>
    <row r="94" spans="2:17" x14ac:dyDescent="0.3">
      <c r="B94" s="295"/>
      <c r="C94" s="12" t="s">
        <v>229</v>
      </c>
      <c r="D94" s="76">
        <v>1.0596589545186446</v>
      </c>
      <c r="E94" s="76">
        <v>1.0814800821114396</v>
      </c>
      <c r="F94" s="76">
        <v>1.0655028931161894</v>
      </c>
      <c r="G94" s="76">
        <v>1.1142392076779488</v>
      </c>
      <c r="H94" s="76">
        <v>1.1801786749760526</v>
      </c>
      <c r="I94" s="76">
        <v>1.3491990283373758</v>
      </c>
      <c r="J94" s="76">
        <v>1.2534875014587725</v>
      </c>
      <c r="K94" s="76">
        <v>1.3508224676996388</v>
      </c>
      <c r="L94" s="76">
        <v>1.1177382471255675</v>
      </c>
      <c r="M94" s="76">
        <v>1.217084787509449</v>
      </c>
      <c r="N94" s="76">
        <v>1.0830939136960851</v>
      </c>
      <c r="O94" s="76">
        <v>1.2063748818612572</v>
      </c>
      <c r="P94" s="76">
        <v>1.0905137095537387</v>
      </c>
      <c r="Q94" s="76">
        <v>1.4089809058044307</v>
      </c>
    </row>
    <row r="95" spans="2:17" x14ac:dyDescent="0.3">
      <c r="B95" s="296" t="s">
        <v>199</v>
      </c>
      <c r="C95" s="13" t="s">
        <v>192</v>
      </c>
      <c r="D95" s="74">
        <v>1.0672659861233065</v>
      </c>
      <c r="E95" s="74">
        <v>1.0874248484881255</v>
      </c>
      <c r="F95" s="74">
        <v>1.0823082550376446</v>
      </c>
      <c r="G95" s="74">
        <v>1.1170496257252225</v>
      </c>
      <c r="H95" s="74">
        <v>1.2110961617352729</v>
      </c>
      <c r="I95" s="74">
        <v>1.4272412435465769</v>
      </c>
      <c r="J95" s="74">
        <v>1.2856529059937525</v>
      </c>
      <c r="K95" s="74">
        <v>1.3445634891331715</v>
      </c>
      <c r="L95" s="74">
        <v>1.1304949599464034</v>
      </c>
      <c r="M95" s="74">
        <v>1.296497722967521</v>
      </c>
      <c r="N95" s="74">
        <v>1.2022906469536281</v>
      </c>
      <c r="O95" s="74">
        <v>1.3315025720749645</v>
      </c>
      <c r="P95" s="74">
        <v>1.1888708229363139</v>
      </c>
      <c r="Q95" s="74">
        <v>1.0929453000216736</v>
      </c>
    </row>
    <row r="96" spans="2:17" ht="16.5" customHeight="1" x14ac:dyDescent="0.3">
      <c r="B96" s="292"/>
      <c r="C96" s="9" t="s">
        <v>200</v>
      </c>
      <c r="D96" s="72">
        <v>1.0669736004042769</v>
      </c>
      <c r="E96" s="72">
        <v>1.0947388987891771</v>
      </c>
      <c r="F96" s="72">
        <v>1.1107525059087755</v>
      </c>
      <c r="G96" s="72">
        <v>1.2472913731141304</v>
      </c>
      <c r="H96" s="72">
        <v>1.1021961352100615</v>
      </c>
      <c r="I96" s="72">
        <v>1.269778619774967</v>
      </c>
      <c r="J96" s="72">
        <v>1.6567261370563346</v>
      </c>
      <c r="K96" s="72">
        <v>1</v>
      </c>
      <c r="L96" s="72">
        <v>1.3269734222462253</v>
      </c>
      <c r="M96" s="72">
        <v>1.3325263383833643</v>
      </c>
      <c r="N96" s="72">
        <v>1.1260723830154376</v>
      </c>
      <c r="O96" s="72">
        <v>1</v>
      </c>
      <c r="P96" s="72">
        <v>1</v>
      </c>
      <c r="Q96" s="72">
        <v>1</v>
      </c>
    </row>
    <row r="97" spans="2:51" ht="16.5" customHeight="1" x14ac:dyDescent="0.3">
      <c r="B97" s="292"/>
      <c r="C97" s="9" t="s">
        <v>201</v>
      </c>
      <c r="D97" s="72">
        <v>1.2004207362354153</v>
      </c>
      <c r="E97" s="72">
        <v>1.112490280038166</v>
      </c>
      <c r="F97" s="72">
        <v>1.1006763346779822</v>
      </c>
      <c r="G97" s="72">
        <v>1.1045091971781253</v>
      </c>
      <c r="H97" s="72">
        <v>1.2335831917766278</v>
      </c>
      <c r="I97" s="72">
        <v>1.3173188936644589</v>
      </c>
      <c r="J97" s="72">
        <v>1.2530136060573971</v>
      </c>
      <c r="K97" s="72">
        <v>1.3000985422967009</v>
      </c>
      <c r="L97" s="72">
        <v>1.0471825639258994</v>
      </c>
      <c r="M97" s="72">
        <v>1.136334587322803</v>
      </c>
      <c r="N97" s="72">
        <v>1</v>
      </c>
      <c r="O97" s="72">
        <v>1</v>
      </c>
      <c r="P97" s="72">
        <v>1</v>
      </c>
      <c r="Q97" s="72">
        <v>5</v>
      </c>
    </row>
    <row r="98" spans="2:51" ht="16.5" customHeight="1" x14ac:dyDescent="0.3">
      <c r="B98" s="292"/>
      <c r="C98" s="9" t="s">
        <v>202</v>
      </c>
      <c r="D98" s="72">
        <v>1.0878126777209634</v>
      </c>
      <c r="E98" s="72">
        <v>1.0870455153204566</v>
      </c>
      <c r="F98" s="72">
        <v>1.1244008229708529</v>
      </c>
      <c r="G98" s="72">
        <v>1.1211997035629142</v>
      </c>
      <c r="H98" s="72">
        <v>1.2171702266117819</v>
      </c>
      <c r="I98" s="72">
        <v>1.4470096406002546</v>
      </c>
      <c r="J98" s="72">
        <v>1.2236659829350971</v>
      </c>
      <c r="K98" s="72">
        <v>1.3269890759334169</v>
      </c>
      <c r="L98" s="72">
        <v>1.1862873744817872</v>
      </c>
      <c r="M98" s="72">
        <v>1.5773300358494604</v>
      </c>
      <c r="N98" s="72">
        <v>1.2778453326669112</v>
      </c>
      <c r="O98" s="72">
        <v>1.127600796672001</v>
      </c>
      <c r="P98" s="72">
        <v>1</v>
      </c>
      <c r="Q98" s="72">
        <v>1</v>
      </c>
    </row>
    <row r="99" spans="2:51" x14ac:dyDescent="0.3">
      <c r="B99" s="295"/>
      <c r="C99" s="12" t="s">
        <v>203</v>
      </c>
      <c r="D99" s="76">
        <v>1.1783116099555173</v>
      </c>
      <c r="E99" s="76">
        <v>1.0989420953068902</v>
      </c>
      <c r="F99" s="76">
        <v>1.1474201676308047</v>
      </c>
      <c r="G99" s="76">
        <v>1.2134641141823008</v>
      </c>
      <c r="H99" s="76">
        <v>1.1433430961907924</v>
      </c>
      <c r="I99" s="76">
        <v>1.3973396734930175</v>
      </c>
      <c r="J99" s="76">
        <v>1.2274118835616139</v>
      </c>
      <c r="K99" s="76">
        <v>1.1734138370762128</v>
      </c>
      <c r="L99" s="76">
        <v>1.2460596389761023</v>
      </c>
      <c r="M99" s="76">
        <v>1.2516347558245229</v>
      </c>
      <c r="N99" s="76">
        <v>1.2277511573171795</v>
      </c>
      <c r="O99" s="76">
        <v>1.2942580573422737</v>
      </c>
      <c r="P99" s="76">
        <v>1.0644382966509693</v>
      </c>
      <c r="Q99" s="76">
        <v>1</v>
      </c>
    </row>
    <row r="100" spans="2:51" x14ac:dyDescent="0.3">
      <c r="B100" s="291" t="s">
        <v>204</v>
      </c>
      <c r="C100" s="13" t="s">
        <v>192</v>
      </c>
      <c r="D100" s="74">
        <v>1.0672659861233065</v>
      </c>
      <c r="E100" s="74">
        <v>1.0874248484881255</v>
      </c>
      <c r="F100" s="74">
        <v>1.0823082550376446</v>
      </c>
      <c r="G100" s="74">
        <v>1.1170496257252225</v>
      </c>
      <c r="H100" s="74">
        <v>1.2110961617352729</v>
      </c>
      <c r="I100" s="74">
        <v>1.4272412435465769</v>
      </c>
      <c r="J100" s="74">
        <v>1.2856529059937525</v>
      </c>
      <c r="K100" s="74">
        <v>1.3445634891331715</v>
      </c>
      <c r="L100" s="74">
        <v>1.1304949599464034</v>
      </c>
      <c r="M100" s="74">
        <v>1.296497722967521</v>
      </c>
      <c r="N100" s="74">
        <v>1.2022906469536281</v>
      </c>
      <c r="O100" s="74">
        <v>1.3315025720749645</v>
      </c>
      <c r="P100" s="74">
        <v>1.1888708229363139</v>
      </c>
      <c r="Q100" s="74">
        <v>1.0929453000216736</v>
      </c>
    </row>
    <row r="101" spans="2:51" x14ac:dyDescent="0.3">
      <c r="B101" s="295"/>
      <c r="C101" s="12" t="s">
        <v>193</v>
      </c>
      <c r="D101" s="76">
        <v>1.1592367549071725</v>
      </c>
      <c r="E101" s="76">
        <v>1.0995470012498287</v>
      </c>
      <c r="F101" s="76">
        <v>1.1292595461536565</v>
      </c>
      <c r="G101" s="76">
        <v>1.1702594090191651</v>
      </c>
      <c r="H101" s="76">
        <v>1.1756139098491674</v>
      </c>
      <c r="I101" s="76">
        <v>1.3784213036476138</v>
      </c>
      <c r="J101" s="76">
        <v>1.2753244545938209</v>
      </c>
      <c r="K101" s="76">
        <v>1.224703691723942</v>
      </c>
      <c r="L101" s="76">
        <v>1.1979856817557937</v>
      </c>
      <c r="M101" s="76">
        <v>1.2968308531736807</v>
      </c>
      <c r="N101" s="76">
        <v>1.2071971027586028</v>
      </c>
      <c r="O101" s="76">
        <v>1.1832936667853504</v>
      </c>
      <c r="P101" s="76">
        <v>1.031453649193216</v>
      </c>
      <c r="Q101" s="76">
        <v>1.3275675153368951</v>
      </c>
    </row>
    <row r="102" spans="2:51" x14ac:dyDescent="0.3">
      <c r="B102" s="291" t="s">
        <v>209</v>
      </c>
      <c r="C102" s="13" t="s">
        <v>205</v>
      </c>
      <c r="D102" s="74">
        <v>1.0891921547841981</v>
      </c>
      <c r="E102" s="74">
        <v>1.0727427924932595</v>
      </c>
      <c r="F102" s="74">
        <v>1.0767561100032026</v>
      </c>
      <c r="G102" s="74">
        <v>1.0875650971232651</v>
      </c>
      <c r="H102" s="74">
        <v>1.1671210943131898</v>
      </c>
      <c r="I102" s="74">
        <v>1.3676599859740313</v>
      </c>
      <c r="J102" s="74">
        <v>1.3168710747979</v>
      </c>
      <c r="K102" s="74">
        <v>1.0777724300571327</v>
      </c>
      <c r="L102" s="74">
        <v>1.3101044270393327</v>
      </c>
      <c r="M102" s="74">
        <v>1.4495566388297125</v>
      </c>
      <c r="N102" s="74">
        <v>1.1241483605950351</v>
      </c>
      <c r="O102" s="74">
        <v>1.5665247763405625</v>
      </c>
      <c r="P102" s="74">
        <v>1.2542563334287091</v>
      </c>
      <c r="Q102" s="74">
        <v>0.69014814165126559</v>
      </c>
    </row>
    <row r="103" spans="2:51" x14ac:dyDescent="0.3">
      <c r="B103" s="292"/>
      <c r="C103" s="9" t="s">
        <v>206</v>
      </c>
      <c r="D103" s="72">
        <v>1.1339552252617005</v>
      </c>
      <c r="E103" s="72">
        <v>1.1307035257236306</v>
      </c>
      <c r="F103" s="72">
        <v>1.1724013006754193</v>
      </c>
      <c r="G103" s="72">
        <v>1.2075416786415551</v>
      </c>
      <c r="H103" s="72">
        <v>1.200854005638671</v>
      </c>
      <c r="I103" s="72">
        <v>1.5130080002104085</v>
      </c>
      <c r="J103" s="72">
        <v>1.2309977264380567</v>
      </c>
      <c r="K103" s="72">
        <v>1.2732277729573303</v>
      </c>
      <c r="L103" s="72">
        <v>1.154191530457813</v>
      </c>
      <c r="M103" s="72">
        <v>1.2872540917016533</v>
      </c>
      <c r="N103" s="72">
        <v>1.1498419396193988</v>
      </c>
      <c r="O103" s="72">
        <v>1.3224893018152688</v>
      </c>
      <c r="P103" s="72">
        <v>1.1346758911104817</v>
      </c>
      <c r="Q103" s="72">
        <v>1</v>
      </c>
    </row>
    <row r="104" spans="2:51" x14ac:dyDescent="0.3">
      <c r="B104" s="292"/>
      <c r="C104" s="9" t="s">
        <v>207</v>
      </c>
      <c r="D104" s="72">
        <v>1.1194843377032941</v>
      </c>
      <c r="E104" s="72">
        <v>1.0865560714312024</v>
      </c>
      <c r="F104" s="72">
        <v>1.0877874147109663</v>
      </c>
      <c r="G104" s="72">
        <v>1.1394028264958076</v>
      </c>
      <c r="H104" s="72">
        <v>1.1243205557970402</v>
      </c>
      <c r="I104" s="72">
        <v>1.3547235270927243</v>
      </c>
      <c r="J104" s="72">
        <v>1.3084369599753083</v>
      </c>
      <c r="K104" s="72">
        <v>1.359423675985983</v>
      </c>
      <c r="L104" s="72">
        <v>1.1584575728790816</v>
      </c>
      <c r="M104" s="72">
        <v>1.282394560194605</v>
      </c>
      <c r="N104" s="72">
        <v>1.3519146369251547</v>
      </c>
      <c r="O104" s="72">
        <v>1.1126580747746906</v>
      </c>
      <c r="P104" s="72">
        <v>1</v>
      </c>
      <c r="Q104" s="72">
        <v>1.5233351294176984</v>
      </c>
    </row>
    <row r="105" spans="2:51" x14ac:dyDescent="0.3">
      <c r="B105" s="293"/>
      <c r="C105" s="25" t="s">
        <v>208</v>
      </c>
      <c r="D105" s="78">
        <v>1.0942087606143858</v>
      </c>
      <c r="E105" s="78">
        <v>1.0833909232001175</v>
      </c>
      <c r="F105" s="78">
        <v>1.0876791844174472</v>
      </c>
      <c r="G105" s="78">
        <v>1.1285939780030283</v>
      </c>
      <c r="H105" s="78">
        <v>1.2474986910438206</v>
      </c>
      <c r="I105" s="78">
        <v>1.398287208622107</v>
      </c>
      <c r="J105" s="78">
        <v>1.2702905436384542</v>
      </c>
      <c r="K105" s="78">
        <v>1.3056529611657801</v>
      </c>
      <c r="L105" s="78">
        <v>1.1232662499740993</v>
      </c>
      <c r="M105" s="78">
        <v>1.2490905548191447</v>
      </c>
      <c r="N105" s="78">
        <v>1.1307000369225761</v>
      </c>
      <c r="O105" s="78">
        <v>1.1742284802407703</v>
      </c>
      <c r="P105" s="78">
        <v>1.0698560962615618</v>
      </c>
      <c r="Q105" s="78">
        <v>1.4055445919724741</v>
      </c>
    </row>
    <row r="106" spans="2:51" x14ac:dyDescent="0.3">
      <c r="B106" s="60"/>
      <c r="C106" s="9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</row>
    <row r="107" spans="2:51" x14ac:dyDescent="0.3">
      <c r="B107" s="60"/>
      <c r="C107" s="9"/>
      <c r="D107" s="58"/>
      <c r="E107" s="58"/>
      <c r="F107" s="65"/>
      <c r="G107" s="58"/>
      <c r="H107" s="65"/>
      <c r="I107" s="58"/>
      <c r="J107" s="58"/>
      <c r="K107" s="58"/>
      <c r="L107" s="65"/>
      <c r="M107" s="58"/>
      <c r="N107" s="58"/>
    </row>
    <row r="108" spans="2:51" ht="18.75" customHeight="1" x14ac:dyDescent="0.3">
      <c r="B108" s="1" t="s">
        <v>135</v>
      </c>
      <c r="F108" s="304"/>
      <c r="G108" s="304"/>
      <c r="H108" s="304"/>
      <c r="I108" s="304"/>
      <c r="J108" s="304"/>
      <c r="K108" s="304"/>
      <c r="L108" s="304"/>
      <c r="M108" s="304"/>
      <c r="N108" s="304"/>
      <c r="O108" s="304"/>
      <c r="P108" s="304"/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  <c r="AA108" s="304"/>
      <c r="AB108" s="304"/>
      <c r="AC108" s="304"/>
      <c r="AD108" s="304"/>
      <c r="AE108" s="304"/>
      <c r="AF108" s="304"/>
      <c r="AG108" s="304"/>
      <c r="AH108" s="304"/>
      <c r="AI108" s="304"/>
      <c r="AJ108" s="304"/>
      <c r="AK108" s="304"/>
      <c r="AL108" s="304"/>
      <c r="AM108" s="304"/>
      <c r="AN108" s="304"/>
      <c r="AO108" s="304"/>
      <c r="AP108" s="304"/>
      <c r="AQ108" s="304"/>
      <c r="AR108" s="304"/>
      <c r="AS108" s="304"/>
      <c r="AT108" s="304"/>
      <c r="AU108" s="304"/>
      <c r="AV108" s="304"/>
      <c r="AW108" s="304"/>
      <c r="AX108" s="304"/>
      <c r="AY108" s="304"/>
    </row>
    <row r="109" spans="2:51" ht="13.5" customHeight="1" x14ac:dyDescent="0.3">
      <c r="M109" s="30"/>
      <c r="N109" s="30"/>
      <c r="O109" s="30"/>
      <c r="P109" s="30"/>
      <c r="Q109" s="30" t="s">
        <v>225</v>
      </c>
    </row>
    <row r="110" spans="2:51" ht="28.5" customHeight="1" x14ac:dyDescent="0.3">
      <c r="B110" s="305"/>
      <c r="C110" s="306"/>
      <c r="D110" s="226" t="s">
        <v>35</v>
      </c>
      <c r="E110" s="226" t="s">
        <v>280</v>
      </c>
      <c r="F110" s="226" t="s">
        <v>70</v>
      </c>
      <c r="G110" s="226" t="s">
        <v>16</v>
      </c>
      <c r="H110" s="226" t="s">
        <v>232</v>
      </c>
      <c r="I110" s="226" t="s">
        <v>287</v>
      </c>
      <c r="J110" s="226" t="s">
        <v>32</v>
      </c>
      <c r="K110" s="226" t="s">
        <v>284</v>
      </c>
      <c r="L110" s="226" t="s">
        <v>285</v>
      </c>
      <c r="M110" s="226" t="s">
        <v>288</v>
      </c>
      <c r="N110" s="227" t="s">
        <v>37</v>
      </c>
      <c r="O110" s="227" t="s">
        <v>19</v>
      </c>
      <c r="P110" s="227" t="s">
        <v>233</v>
      </c>
      <c r="Q110" s="227" t="s">
        <v>12</v>
      </c>
    </row>
    <row r="111" spans="2:51" x14ac:dyDescent="0.3">
      <c r="B111" s="292" t="s">
        <v>20</v>
      </c>
      <c r="C111" s="292"/>
      <c r="D111" s="86">
        <v>22.363331177809179</v>
      </c>
      <c r="E111" s="86">
        <v>19.820020477046679</v>
      </c>
      <c r="F111" s="88">
        <v>11.993916882675496</v>
      </c>
      <c r="G111" s="86">
        <v>12.86883533498213</v>
      </c>
      <c r="H111" s="88">
        <v>9.3649134116935535</v>
      </c>
      <c r="I111" s="86">
        <v>6.9230254592553742</v>
      </c>
      <c r="J111" s="86">
        <v>7.777503763164896</v>
      </c>
      <c r="K111" s="86">
        <v>6.9634382010513596</v>
      </c>
      <c r="L111" s="88">
        <v>7.3874166919036366</v>
      </c>
      <c r="M111" s="86">
        <v>7.0743175053445242</v>
      </c>
      <c r="N111" s="86">
        <v>6.1028792165729104</v>
      </c>
      <c r="O111" s="86">
        <v>8.6294805990076657</v>
      </c>
      <c r="P111" s="86">
        <v>8.2170258122335955</v>
      </c>
      <c r="Q111" s="86">
        <v>7.2846011264658159</v>
      </c>
    </row>
    <row r="112" spans="2:51" x14ac:dyDescent="0.3">
      <c r="B112" s="296" t="s">
        <v>5</v>
      </c>
      <c r="C112" s="13" t="s">
        <v>0</v>
      </c>
      <c r="D112" s="84">
        <v>22.38892380525435</v>
      </c>
      <c r="E112" s="84">
        <v>20.606102567679141</v>
      </c>
      <c r="F112" s="89">
        <v>11.179508526102232</v>
      </c>
      <c r="G112" s="84">
        <v>13.449669456446836</v>
      </c>
      <c r="H112" s="89">
        <v>9.3352058540445721</v>
      </c>
      <c r="I112" s="84">
        <v>7.025927774800568</v>
      </c>
      <c r="J112" s="84">
        <v>7.8122118594374674</v>
      </c>
      <c r="K112" s="84">
        <v>7.5869272369121461</v>
      </c>
      <c r="L112" s="89">
        <v>8.8075683312472925</v>
      </c>
      <c r="M112" s="84">
        <v>7.7273900100371415</v>
      </c>
      <c r="N112" s="84">
        <v>9.4354525712408677</v>
      </c>
      <c r="O112" s="84">
        <v>9.8898150463322931</v>
      </c>
      <c r="P112" s="84">
        <v>7.7496448371934052</v>
      </c>
      <c r="Q112" s="84">
        <v>4.2842085661614613</v>
      </c>
    </row>
    <row r="113" spans="2:17" x14ac:dyDescent="0.3">
      <c r="B113" s="295"/>
      <c r="C113" s="12" t="s">
        <v>1</v>
      </c>
      <c r="D113" s="90">
        <v>22.325782412808426</v>
      </c>
      <c r="E113" s="90">
        <v>18.746414559708462</v>
      </c>
      <c r="F113" s="90">
        <v>13.264017585423394</v>
      </c>
      <c r="G113" s="90">
        <v>11.964340338863318</v>
      </c>
      <c r="H113" s="90">
        <v>9.4002927343714191</v>
      </c>
      <c r="I113" s="90">
        <v>6.7803985312821338</v>
      </c>
      <c r="J113" s="90">
        <v>7.7124104381839116</v>
      </c>
      <c r="K113" s="90">
        <v>6.3063173930815086</v>
      </c>
      <c r="L113" s="90">
        <v>5.9991501402059022</v>
      </c>
      <c r="M113" s="90">
        <v>6.3220962405051768</v>
      </c>
      <c r="N113" s="90">
        <v>4.7677887868897786</v>
      </c>
      <c r="O113" s="90">
        <v>8.2429570363106368</v>
      </c>
      <c r="P113" s="90">
        <v>8.4996968652032514</v>
      </c>
      <c r="Q113" s="90">
        <v>8.7851697023032891</v>
      </c>
    </row>
    <row r="114" spans="2:17" x14ac:dyDescent="0.3">
      <c r="B114" s="296" t="s">
        <v>4</v>
      </c>
      <c r="C114" s="9" t="s">
        <v>175</v>
      </c>
      <c r="D114" s="86">
        <v>13.413771872133555</v>
      </c>
      <c r="E114" s="86">
        <v>13.433072945385298</v>
      </c>
      <c r="F114" s="88">
        <v>4.8796673355511659</v>
      </c>
      <c r="G114" s="86">
        <v>13.149647541328513</v>
      </c>
      <c r="H114" s="88">
        <v>7.7640460969529999</v>
      </c>
      <c r="I114" s="86">
        <v>3.9568316155787313</v>
      </c>
      <c r="J114" s="86">
        <v>2.5832427156717475</v>
      </c>
      <c r="K114" s="86">
        <v>4.2040075714953398</v>
      </c>
      <c r="L114" s="88">
        <v>4.9246254203178328</v>
      </c>
      <c r="M114" s="86">
        <v>3.1840374951007253</v>
      </c>
      <c r="N114" s="86">
        <v>2.8757517053098081</v>
      </c>
      <c r="O114" s="86">
        <v>2.4</v>
      </c>
      <c r="P114" s="86">
        <v>0</v>
      </c>
      <c r="Q114" s="86">
        <v>0</v>
      </c>
    </row>
    <row r="115" spans="2:17" x14ac:dyDescent="0.3">
      <c r="B115" s="292"/>
      <c r="C115" s="9" t="s">
        <v>176</v>
      </c>
      <c r="D115" s="86">
        <v>14.196164870365822</v>
      </c>
      <c r="E115" s="86">
        <v>18.857267481623111</v>
      </c>
      <c r="F115" s="88">
        <v>16.346992383021103</v>
      </c>
      <c r="G115" s="86">
        <v>10.837193644769348</v>
      </c>
      <c r="H115" s="88">
        <v>8.9743309044254076</v>
      </c>
      <c r="I115" s="86">
        <v>6.5164917072404691</v>
      </c>
      <c r="J115" s="86">
        <v>6.986630986113699</v>
      </c>
      <c r="K115" s="86">
        <v>4.7381392593906106</v>
      </c>
      <c r="L115" s="88">
        <v>5.4969514035523366</v>
      </c>
      <c r="M115" s="86">
        <v>4.1868910527079084</v>
      </c>
      <c r="N115" s="86">
        <v>5.8216770598896099</v>
      </c>
      <c r="O115" s="86">
        <v>8.3407181782915227</v>
      </c>
      <c r="P115" s="86">
        <v>8.419858990938268</v>
      </c>
      <c r="Q115" s="86">
        <v>4.3664699938425784</v>
      </c>
    </row>
    <row r="116" spans="2:17" x14ac:dyDescent="0.3">
      <c r="B116" s="292"/>
      <c r="C116" s="9" t="s">
        <v>177</v>
      </c>
      <c r="D116" s="86">
        <v>22.042613563513516</v>
      </c>
      <c r="E116" s="86">
        <v>19.177941130697683</v>
      </c>
      <c r="F116" s="88">
        <v>11.589061891147489</v>
      </c>
      <c r="G116" s="86">
        <v>11.070155599872537</v>
      </c>
      <c r="H116" s="88">
        <v>8.0828543214199442</v>
      </c>
      <c r="I116" s="86">
        <v>7.1228220046010815</v>
      </c>
      <c r="J116" s="86">
        <v>10.006108724389421</v>
      </c>
      <c r="K116" s="86">
        <v>6.2006137353939712</v>
      </c>
      <c r="L116" s="88">
        <v>8.5779237080481252</v>
      </c>
      <c r="M116" s="86">
        <v>6.7156996420535311</v>
      </c>
      <c r="N116" s="86">
        <v>7.0250682521091816</v>
      </c>
      <c r="O116" s="86">
        <v>13.606360545136093</v>
      </c>
      <c r="P116" s="86">
        <v>6.4010098186402322</v>
      </c>
      <c r="Q116" s="86">
        <v>1.2683354151608126</v>
      </c>
    </row>
    <row r="117" spans="2:17" x14ac:dyDescent="0.3">
      <c r="B117" s="292"/>
      <c r="C117" s="9" t="s">
        <v>178</v>
      </c>
      <c r="D117" s="86">
        <v>24.515699079099036</v>
      </c>
      <c r="E117" s="86">
        <v>21.928657677983129</v>
      </c>
      <c r="F117" s="88">
        <v>12.285181286411824</v>
      </c>
      <c r="G117" s="86">
        <v>13.201080448664618</v>
      </c>
      <c r="H117" s="88">
        <v>11.397481770842839</v>
      </c>
      <c r="I117" s="86">
        <v>7.2952636613581623</v>
      </c>
      <c r="J117" s="86">
        <v>8.4845483170771114</v>
      </c>
      <c r="K117" s="86">
        <v>7.8498227066929038</v>
      </c>
      <c r="L117" s="88">
        <v>7.3189089787578192</v>
      </c>
      <c r="M117" s="86">
        <v>6.6155476102220856</v>
      </c>
      <c r="N117" s="86">
        <v>5.4905701792063244</v>
      </c>
      <c r="O117" s="86">
        <v>5.9274837565056062</v>
      </c>
      <c r="P117" s="86">
        <v>10.6480991083424</v>
      </c>
      <c r="Q117" s="86">
        <v>11.867150043250218</v>
      </c>
    </row>
    <row r="118" spans="2:17" x14ac:dyDescent="0.3">
      <c r="B118" s="292"/>
      <c r="C118" s="9" t="s">
        <v>179</v>
      </c>
      <c r="D118" s="86">
        <v>29.079266845357331</v>
      </c>
      <c r="E118" s="86">
        <v>20.097188263669825</v>
      </c>
      <c r="F118" s="88">
        <v>12.392420391948455</v>
      </c>
      <c r="G118" s="86">
        <v>14.705227795671824</v>
      </c>
      <c r="H118" s="88">
        <v>10.061691386089697</v>
      </c>
      <c r="I118" s="86">
        <v>7.0910209524790586</v>
      </c>
      <c r="J118" s="86">
        <v>7.8943851766156499</v>
      </c>
      <c r="K118" s="86">
        <v>7.7078541555110265</v>
      </c>
      <c r="L118" s="88">
        <v>9.6732941392674086</v>
      </c>
      <c r="M118" s="86">
        <v>7.8871416121793887</v>
      </c>
      <c r="N118" s="86">
        <v>11.51182898828459</v>
      </c>
      <c r="O118" s="86">
        <v>5.8423032073170331</v>
      </c>
      <c r="P118" s="86">
        <v>7.466024120500582</v>
      </c>
      <c r="Q118" s="86">
        <v>8.4480267376860247</v>
      </c>
    </row>
    <row r="119" spans="2:17" x14ac:dyDescent="0.3">
      <c r="B119" s="298"/>
      <c r="C119" s="12" t="s">
        <v>180</v>
      </c>
      <c r="D119" s="90">
        <v>20.664493760514784</v>
      </c>
      <c r="E119" s="90">
        <v>18.917596569132321</v>
      </c>
      <c r="F119" s="91">
        <v>9.7494888150324215</v>
      </c>
      <c r="G119" s="90">
        <v>13.365852172080105</v>
      </c>
      <c r="H119" s="91">
        <v>8.0078218131317023</v>
      </c>
      <c r="I119" s="90">
        <v>6.8811005584430971</v>
      </c>
      <c r="J119" s="90">
        <v>6.8401801617493971</v>
      </c>
      <c r="K119" s="90">
        <v>9.3048182305473315</v>
      </c>
      <c r="L119" s="91">
        <v>6.4537849984627504</v>
      </c>
      <c r="M119" s="90">
        <v>7.7044733811475012</v>
      </c>
      <c r="N119" s="90">
        <v>4.1334865061507848</v>
      </c>
      <c r="O119" s="90">
        <v>11.781848080850061</v>
      </c>
      <c r="P119" s="90">
        <v>5.266788871995165</v>
      </c>
      <c r="Q119" s="90">
        <v>8.0424028547872286</v>
      </c>
    </row>
    <row r="120" spans="2:17" x14ac:dyDescent="0.3">
      <c r="B120" s="292" t="s">
        <v>223</v>
      </c>
      <c r="C120" s="9" t="s">
        <v>210</v>
      </c>
      <c r="D120" s="86">
        <v>14.966525598767973</v>
      </c>
      <c r="E120" s="86">
        <v>14.428847283611397</v>
      </c>
      <c r="F120" s="88">
        <v>5.7529366137766322</v>
      </c>
      <c r="G120" s="86">
        <v>17.351851665566329</v>
      </c>
      <c r="H120" s="88">
        <v>10.166631929440667</v>
      </c>
      <c r="I120" s="86">
        <v>4.2311454559946409</v>
      </c>
      <c r="J120" s="86">
        <v>2.7743319430526152</v>
      </c>
      <c r="K120" s="86">
        <v>5.3493505161096353</v>
      </c>
      <c r="L120" s="88">
        <v>9.7854025997887106</v>
      </c>
      <c r="M120" s="86">
        <v>3.7203785691369911</v>
      </c>
      <c r="N120" s="86">
        <v>3.2571029287416402</v>
      </c>
      <c r="O120" s="86">
        <v>0</v>
      </c>
      <c r="P120" s="86">
        <v>0</v>
      </c>
      <c r="Q120" s="86">
        <v>0</v>
      </c>
    </row>
    <row r="121" spans="2:17" x14ac:dyDescent="0.3">
      <c r="B121" s="292"/>
      <c r="C121" s="9" t="s">
        <v>211</v>
      </c>
      <c r="D121" s="86">
        <v>13.792615237590679</v>
      </c>
      <c r="E121" s="86">
        <v>17.805776860306416</v>
      </c>
      <c r="F121" s="88">
        <v>10.219123499531278</v>
      </c>
      <c r="G121" s="86">
        <v>10.282173400313594</v>
      </c>
      <c r="H121" s="88">
        <v>8.7205696209616459</v>
      </c>
      <c r="I121" s="86">
        <v>5.7809822647036517</v>
      </c>
      <c r="J121" s="86">
        <v>7.1297650693295305</v>
      </c>
      <c r="K121" s="86">
        <v>4.2009509935488376</v>
      </c>
      <c r="L121" s="88">
        <v>5.6755256100375311</v>
      </c>
      <c r="M121" s="86">
        <v>4.6059753847933518</v>
      </c>
      <c r="N121" s="86">
        <v>5.3017477687998227</v>
      </c>
      <c r="O121" s="86">
        <v>5.1928151259418422</v>
      </c>
      <c r="P121" s="86">
        <v>1.5407851956598224</v>
      </c>
      <c r="Q121" s="86">
        <v>4.3664699938425784</v>
      </c>
    </row>
    <row r="122" spans="2:17" x14ac:dyDescent="0.3">
      <c r="B122" s="292"/>
      <c r="C122" s="9" t="s">
        <v>212</v>
      </c>
      <c r="D122" s="86">
        <v>20.313865686131766</v>
      </c>
      <c r="E122" s="86">
        <v>18.917643737055066</v>
      </c>
      <c r="F122" s="88">
        <v>12.254991637824928</v>
      </c>
      <c r="G122" s="86">
        <v>10.910092111583706</v>
      </c>
      <c r="H122" s="88">
        <v>7.6121272854031314</v>
      </c>
      <c r="I122" s="86">
        <v>7.2155543114720091</v>
      </c>
      <c r="J122" s="86">
        <v>8.5407406621355104</v>
      </c>
      <c r="K122" s="86">
        <v>7.0230217172548262</v>
      </c>
      <c r="L122" s="88">
        <v>11.593265246028203</v>
      </c>
      <c r="M122" s="86">
        <v>7.2379779834113034</v>
      </c>
      <c r="N122" s="86">
        <v>12.52508059175103</v>
      </c>
      <c r="O122" s="86">
        <v>12.819938080262059</v>
      </c>
      <c r="P122" s="86">
        <v>6.4010098186402322</v>
      </c>
      <c r="Q122" s="86">
        <v>0</v>
      </c>
    </row>
    <row r="123" spans="2:17" x14ac:dyDescent="0.3">
      <c r="B123" s="292"/>
      <c r="C123" s="9" t="s">
        <v>213</v>
      </c>
      <c r="D123" s="86">
        <v>21.66021168546478</v>
      </c>
      <c r="E123" s="86">
        <v>22.695951063721925</v>
      </c>
      <c r="F123" s="88">
        <v>11.893347080354946</v>
      </c>
      <c r="G123" s="86">
        <v>14.523427213161781</v>
      </c>
      <c r="H123" s="88">
        <v>10.363885226746364</v>
      </c>
      <c r="I123" s="86">
        <v>7.8549062197372175</v>
      </c>
      <c r="J123" s="86">
        <v>7.2973933057286269</v>
      </c>
      <c r="K123" s="86">
        <v>8.6027846537068342</v>
      </c>
      <c r="L123" s="88">
        <v>6.1920509005594386</v>
      </c>
      <c r="M123" s="86">
        <v>5.8464008995216741</v>
      </c>
      <c r="N123" s="86">
        <v>8.6534928490221734</v>
      </c>
      <c r="O123" s="86">
        <v>10</v>
      </c>
      <c r="P123" s="86">
        <v>11.862780655553472</v>
      </c>
      <c r="Q123" s="86">
        <v>0</v>
      </c>
    </row>
    <row r="124" spans="2:17" x14ac:dyDescent="0.3">
      <c r="B124" s="292"/>
      <c r="C124" s="9" t="s">
        <v>214</v>
      </c>
      <c r="D124" s="86">
        <v>29.523251438673107</v>
      </c>
      <c r="E124" s="86">
        <v>20.346521556657034</v>
      </c>
      <c r="F124" s="88">
        <v>12.11608092849797</v>
      </c>
      <c r="G124" s="86">
        <v>15.132413907559846</v>
      </c>
      <c r="H124" s="88">
        <v>10.150843280495634</v>
      </c>
      <c r="I124" s="86">
        <v>7.4950365617190426</v>
      </c>
      <c r="J124" s="86">
        <v>8.6321322720087075</v>
      </c>
      <c r="K124" s="86">
        <v>9.2136352032804378</v>
      </c>
      <c r="L124" s="88">
        <v>11.75179780495213</v>
      </c>
      <c r="M124" s="86">
        <v>9.0141349425537918</v>
      </c>
      <c r="N124" s="86">
        <v>15.956440173823371</v>
      </c>
      <c r="O124" s="86">
        <v>6.5031195177658301</v>
      </c>
      <c r="P124" s="86">
        <v>10.180213760404989</v>
      </c>
      <c r="Q124" s="86">
        <v>0.1</v>
      </c>
    </row>
    <row r="125" spans="2:17" x14ac:dyDescent="0.3">
      <c r="B125" s="292"/>
      <c r="C125" s="12" t="s">
        <v>215</v>
      </c>
      <c r="D125" s="90">
        <v>23.06239702440849</v>
      </c>
      <c r="E125" s="90">
        <v>21.622017472240668</v>
      </c>
      <c r="F125" s="91">
        <v>9.3897427151624182</v>
      </c>
      <c r="G125" s="90">
        <v>14.494320615159232</v>
      </c>
      <c r="H125" s="91">
        <v>9.0304914829599028</v>
      </c>
      <c r="I125" s="90">
        <v>6.5921544107224559</v>
      </c>
      <c r="J125" s="90">
        <v>7.467251712469241</v>
      </c>
      <c r="K125" s="90">
        <v>10.554485221203059</v>
      </c>
      <c r="L125" s="91">
        <v>7.8441643768517357</v>
      </c>
      <c r="M125" s="90">
        <v>9.1391304041047228</v>
      </c>
      <c r="N125" s="90">
        <v>6.0307978424377167</v>
      </c>
      <c r="O125" s="90">
        <v>18.011481486744934</v>
      </c>
      <c r="P125" s="90">
        <v>1.7</v>
      </c>
      <c r="Q125" s="90">
        <v>5.2631157863463915</v>
      </c>
    </row>
    <row r="126" spans="2:17" x14ac:dyDescent="0.3">
      <c r="B126" s="292"/>
      <c r="C126" s="9" t="s">
        <v>216</v>
      </c>
      <c r="D126" s="86">
        <v>5</v>
      </c>
      <c r="E126" s="86">
        <v>11.147956198358226</v>
      </c>
      <c r="F126" s="88">
        <v>1.8591612456473285</v>
      </c>
      <c r="G126" s="86">
        <v>4.7064991256669293</v>
      </c>
      <c r="H126" s="88">
        <v>4.695639430525957</v>
      </c>
      <c r="I126" s="86">
        <v>3.5868500420985399</v>
      </c>
      <c r="J126" s="86">
        <v>2.4538564745879037</v>
      </c>
      <c r="K126" s="86">
        <v>2.7910912489792614</v>
      </c>
      <c r="L126" s="88">
        <v>2.3828205239062865</v>
      </c>
      <c r="M126" s="86">
        <v>2.456430046376223</v>
      </c>
      <c r="N126" s="86">
        <v>2.3666666666666667</v>
      </c>
      <c r="O126" s="86">
        <v>2.4</v>
      </c>
      <c r="P126" s="86">
        <v>0</v>
      </c>
      <c r="Q126" s="86">
        <v>0</v>
      </c>
    </row>
    <row r="127" spans="2:17" x14ac:dyDescent="0.3">
      <c r="B127" s="292"/>
      <c r="C127" s="9" t="s">
        <v>217</v>
      </c>
      <c r="D127" s="86">
        <v>14.788555002484733</v>
      </c>
      <c r="E127" s="86">
        <v>20.353510337035743</v>
      </c>
      <c r="F127" s="88">
        <v>24.420976762710378</v>
      </c>
      <c r="G127" s="86">
        <v>11.919247418694264</v>
      </c>
      <c r="H127" s="88">
        <v>9.3252377929433745</v>
      </c>
      <c r="I127" s="86">
        <v>7.4497234247103314</v>
      </c>
      <c r="J127" s="86">
        <v>6.7940944048697176</v>
      </c>
      <c r="K127" s="86">
        <v>5.4319722011556033</v>
      </c>
      <c r="L127" s="88">
        <v>5.3828883718075264</v>
      </c>
      <c r="M127" s="86">
        <v>3.6899618772590186</v>
      </c>
      <c r="N127" s="86">
        <v>5.9815202581619813</v>
      </c>
      <c r="O127" s="86">
        <v>8.9155964238157033</v>
      </c>
      <c r="P127" s="86">
        <v>10.437666742604128</v>
      </c>
      <c r="Q127" s="86">
        <v>0</v>
      </c>
    </row>
    <row r="128" spans="2:17" x14ac:dyDescent="0.3">
      <c r="B128" s="292"/>
      <c r="C128" s="9" t="s">
        <v>218</v>
      </c>
      <c r="D128" s="86">
        <v>26.044573685816779</v>
      </c>
      <c r="E128" s="86">
        <v>19.584408197781336</v>
      </c>
      <c r="F128" s="88">
        <v>10.656807985991627</v>
      </c>
      <c r="G128" s="86">
        <v>11.255979082257522</v>
      </c>
      <c r="H128" s="88">
        <v>8.7148457421178307</v>
      </c>
      <c r="I128" s="86">
        <v>6.9766342300405322</v>
      </c>
      <c r="J128" s="86">
        <v>13.720963971252079</v>
      </c>
      <c r="K128" s="86">
        <v>5.275075510794335</v>
      </c>
      <c r="L128" s="88">
        <v>4.3177108746975401</v>
      </c>
      <c r="M128" s="86">
        <v>6.0338632545260378</v>
      </c>
      <c r="N128" s="86">
        <v>4.5507155615778299</v>
      </c>
      <c r="O128" s="86">
        <v>14.016785809314761</v>
      </c>
      <c r="P128" s="86">
        <v>0</v>
      </c>
      <c r="Q128" s="86">
        <v>1.2683354151608126</v>
      </c>
    </row>
    <row r="129" spans="2:17" x14ac:dyDescent="0.3">
      <c r="B129" s="292"/>
      <c r="C129" s="9" t="s">
        <v>219</v>
      </c>
      <c r="D129" s="86">
        <v>29.302536143602119</v>
      </c>
      <c r="E129" s="86">
        <v>20.947288004334627</v>
      </c>
      <c r="F129" s="88">
        <v>13.208434330686091</v>
      </c>
      <c r="G129" s="86">
        <v>11.12508070613714</v>
      </c>
      <c r="H129" s="88">
        <v>12.603895079528829</v>
      </c>
      <c r="I129" s="86">
        <v>6.2320052338760821</v>
      </c>
      <c r="J129" s="86">
        <v>10.983191884424686</v>
      </c>
      <c r="K129" s="86">
        <v>6.9495308893564411</v>
      </c>
      <c r="L129" s="88">
        <v>8.6588586816462865</v>
      </c>
      <c r="M129" s="86">
        <v>7.561734855557618</v>
      </c>
      <c r="N129" s="86">
        <v>3.7683311924163307</v>
      </c>
      <c r="O129" s="86">
        <v>5.1291900654581806</v>
      </c>
      <c r="P129" s="86">
        <v>10.169832308786944</v>
      </c>
      <c r="Q129" s="86">
        <v>11.867150043250218</v>
      </c>
    </row>
    <row r="130" spans="2:17" x14ac:dyDescent="0.3">
      <c r="B130" s="292"/>
      <c r="C130" s="9" t="s">
        <v>220</v>
      </c>
      <c r="D130" s="86">
        <v>28.381708826201915</v>
      </c>
      <c r="E130" s="86">
        <v>19.767032782252819</v>
      </c>
      <c r="F130" s="88">
        <v>12.787322163925372</v>
      </c>
      <c r="G130" s="86">
        <v>14.174451235792446</v>
      </c>
      <c r="H130" s="88">
        <v>9.9678776648431278</v>
      </c>
      <c r="I130" s="86">
        <v>6.6262051149673731</v>
      </c>
      <c r="J130" s="86">
        <v>6.0078482507138498</v>
      </c>
      <c r="K130" s="86">
        <v>6.0673165777877252</v>
      </c>
      <c r="L130" s="88">
        <v>7.626551688514823</v>
      </c>
      <c r="M130" s="86">
        <v>6.852441474480254</v>
      </c>
      <c r="N130" s="86">
        <v>4.9958102013623886</v>
      </c>
      <c r="O130" s="86">
        <v>5.5346653868870836</v>
      </c>
      <c r="P130" s="86">
        <v>5.164437248439655</v>
      </c>
      <c r="Q130" s="86">
        <v>13.31575326825511</v>
      </c>
    </row>
    <row r="131" spans="2:17" x14ac:dyDescent="0.3">
      <c r="B131" s="295"/>
      <c r="C131" s="9" t="s">
        <v>221</v>
      </c>
      <c r="D131" s="90">
        <v>18.339032860234003</v>
      </c>
      <c r="E131" s="90">
        <v>15.32073574265492</v>
      </c>
      <c r="F131" s="91">
        <v>10.222157192490576</v>
      </c>
      <c r="G131" s="90">
        <v>11.07878528101762</v>
      </c>
      <c r="H131" s="91">
        <v>6.8490432413015929</v>
      </c>
      <c r="I131" s="90">
        <v>7.2352476828581622</v>
      </c>
      <c r="J131" s="90">
        <v>5.9028517053709875</v>
      </c>
      <c r="K131" s="90">
        <v>8.4169331041466062</v>
      </c>
      <c r="L131" s="91">
        <v>5.0807801848043441</v>
      </c>
      <c r="M131" s="90">
        <v>5.8216310374592517</v>
      </c>
      <c r="N131" s="90">
        <v>3.9205156503278777</v>
      </c>
      <c r="O131" s="90">
        <v>9.5081933074727516</v>
      </c>
      <c r="P131" s="90">
        <v>6.0529510728114815</v>
      </c>
      <c r="Q131" s="90">
        <v>9.9046109013757633</v>
      </c>
    </row>
    <row r="132" spans="2:17" ht="16.5" customHeight="1" x14ac:dyDescent="0.3">
      <c r="B132" s="291" t="s">
        <v>222</v>
      </c>
      <c r="C132" s="13" t="s">
        <v>226</v>
      </c>
      <c r="D132" s="80">
        <v>13.421122417775916</v>
      </c>
      <c r="E132" s="80">
        <v>14.437365317538001</v>
      </c>
      <c r="F132" s="80">
        <v>8.3148633859308774</v>
      </c>
      <c r="G132" s="80">
        <v>9.8659794861301879</v>
      </c>
      <c r="H132" s="80">
        <v>6.4332544747555378</v>
      </c>
      <c r="I132" s="80">
        <v>5.4831847575323467</v>
      </c>
      <c r="J132" s="80">
        <v>7.224383291452301</v>
      </c>
      <c r="K132" s="80">
        <v>5.2276332616097294</v>
      </c>
      <c r="L132" s="80">
        <v>6.7971663585082762</v>
      </c>
      <c r="M132" s="80">
        <v>6.104570612691572</v>
      </c>
      <c r="N132" s="80">
        <v>6.3843046636056595</v>
      </c>
      <c r="O132" s="80">
        <v>5.43862237203252</v>
      </c>
      <c r="P132" s="80">
        <v>5.1564442110482949</v>
      </c>
      <c r="Q132" s="80">
        <v>5.3229089525855855</v>
      </c>
    </row>
    <row r="133" spans="2:17" ht="16.5" customHeight="1" x14ac:dyDescent="0.3">
      <c r="B133" s="294"/>
      <c r="C133" s="9" t="s">
        <v>227</v>
      </c>
      <c r="D133" s="79">
        <v>21.174140159250669</v>
      </c>
      <c r="E133" s="79">
        <v>17.55436452830029</v>
      </c>
      <c r="F133" s="79">
        <v>12.638391633304606</v>
      </c>
      <c r="G133" s="79">
        <v>12.290085294110897</v>
      </c>
      <c r="H133" s="79">
        <v>10.279017082828627</v>
      </c>
      <c r="I133" s="79">
        <v>6.6727240643847887</v>
      </c>
      <c r="J133" s="79">
        <v>7.2596523756577982</v>
      </c>
      <c r="K133" s="79">
        <v>6.0534271164305666</v>
      </c>
      <c r="L133" s="79">
        <v>7.069417679242437</v>
      </c>
      <c r="M133" s="79">
        <v>6.3178870678485763</v>
      </c>
      <c r="N133" s="79">
        <v>7.2908706815125335</v>
      </c>
      <c r="O133" s="79">
        <v>13.563522502099239</v>
      </c>
      <c r="P133" s="79">
        <v>5.8830245422841969</v>
      </c>
      <c r="Q133" s="79">
        <v>5.1023730879927331</v>
      </c>
    </row>
    <row r="134" spans="2:17" ht="16.5" customHeight="1" x14ac:dyDescent="0.3">
      <c r="B134" s="292"/>
      <c r="C134" s="9" t="s">
        <v>228</v>
      </c>
      <c r="D134" s="79">
        <v>23.994972825646087</v>
      </c>
      <c r="E134" s="79">
        <v>20.596366013029112</v>
      </c>
      <c r="F134" s="79">
        <v>12.743816194593194</v>
      </c>
      <c r="G134" s="79">
        <v>11.556152483059643</v>
      </c>
      <c r="H134" s="79">
        <v>9.2386238489753403</v>
      </c>
      <c r="I134" s="79">
        <v>7.8236576304865384</v>
      </c>
      <c r="J134" s="79">
        <v>7.5903429569188985</v>
      </c>
      <c r="K134" s="79">
        <v>7.6742032795492126</v>
      </c>
      <c r="L134" s="79">
        <v>7.962110112629798</v>
      </c>
      <c r="M134" s="79">
        <v>6.8715608276560154</v>
      </c>
      <c r="N134" s="79">
        <v>5.1692163976722139</v>
      </c>
      <c r="O134" s="79">
        <v>4.2457111332478403</v>
      </c>
      <c r="P134" s="79">
        <v>6.8186454012589284</v>
      </c>
      <c r="Q134" s="79">
        <v>12.318803127567813</v>
      </c>
    </row>
    <row r="135" spans="2:17" ht="16.5" customHeight="1" x14ac:dyDescent="0.3">
      <c r="B135" s="295"/>
      <c r="C135" s="12" t="s">
        <v>229</v>
      </c>
      <c r="D135" s="81">
        <v>27.737123333763684</v>
      </c>
      <c r="E135" s="81">
        <v>24.684903314041492</v>
      </c>
      <c r="F135" s="81">
        <v>13.295098835012624</v>
      </c>
      <c r="G135" s="81">
        <v>17.738877141527976</v>
      </c>
      <c r="H135" s="81">
        <v>10.812059222079894</v>
      </c>
      <c r="I135" s="81">
        <v>7.7479117917885079</v>
      </c>
      <c r="J135" s="81">
        <v>8.9770763723634026</v>
      </c>
      <c r="K135" s="81">
        <v>8.8801874468167004</v>
      </c>
      <c r="L135" s="81">
        <v>7.8225089985802683</v>
      </c>
      <c r="M135" s="81">
        <v>8.6972300972695571</v>
      </c>
      <c r="N135" s="81">
        <v>5.7417366226747362</v>
      </c>
      <c r="O135" s="81">
        <v>10.168809931916281</v>
      </c>
      <c r="P135" s="81">
        <v>12.456748590804828</v>
      </c>
      <c r="Q135" s="81">
        <v>7.889761272758772</v>
      </c>
    </row>
    <row r="136" spans="2:17" x14ac:dyDescent="0.3">
      <c r="B136" s="296" t="s">
        <v>199</v>
      </c>
      <c r="C136" s="13" t="s">
        <v>192</v>
      </c>
      <c r="D136" s="80">
        <v>22.396176165397051</v>
      </c>
      <c r="E136" s="80">
        <v>20.065818520042498</v>
      </c>
      <c r="F136" s="80">
        <v>12.2654855413834</v>
      </c>
      <c r="G136" s="80">
        <v>12.221641507464732</v>
      </c>
      <c r="H136" s="80">
        <v>9.5917908403146104</v>
      </c>
      <c r="I136" s="80">
        <v>6.7045260877078725</v>
      </c>
      <c r="J136" s="80">
        <v>7.6045359785694808</v>
      </c>
      <c r="K136" s="80">
        <v>6.4262631117735936</v>
      </c>
      <c r="L136" s="80">
        <v>6.6106869394078105</v>
      </c>
      <c r="M136" s="80">
        <v>6.7920134920349913</v>
      </c>
      <c r="N136" s="80">
        <v>5.6608359997526607</v>
      </c>
      <c r="O136" s="80">
        <v>9.6971053473306945</v>
      </c>
      <c r="P136" s="80">
        <v>9.5734173639084439</v>
      </c>
      <c r="Q136" s="80">
        <v>7.5559577497334978</v>
      </c>
    </row>
    <row r="137" spans="2:17" x14ac:dyDescent="0.3">
      <c r="B137" s="292"/>
      <c r="C137" s="9" t="s">
        <v>200</v>
      </c>
      <c r="D137" s="79">
        <v>20.039376503822353</v>
      </c>
      <c r="E137" s="79">
        <v>20.169323558132064</v>
      </c>
      <c r="F137" s="79">
        <v>14.681401380241001</v>
      </c>
      <c r="G137" s="79">
        <v>12.594945121507484</v>
      </c>
      <c r="H137" s="79">
        <v>8.2634672902268012</v>
      </c>
      <c r="I137" s="79">
        <v>6.289260779372853</v>
      </c>
      <c r="J137" s="79">
        <v>6.7568589840990709</v>
      </c>
      <c r="K137" s="79">
        <v>7.0329252323603875</v>
      </c>
      <c r="L137" s="79">
        <v>10.829477301124532</v>
      </c>
      <c r="M137" s="79">
        <v>7.1414482640850805</v>
      </c>
      <c r="N137" s="79">
        <v>6.1462378087647407</v>
      </c>
      <c r="O137" s="79">
        <v>3.5365979381443298</v>
      </c>
      <c r="P137" s="79">
        <v>6</v>
      </c>
      <c r="Q137" s="79">
        <v>9.1946606528467534</v>
      </c>
    </row>
    <row r="138" spans="2:17" x14ac:dyDescent="0.3">
      <c r="B138" s="292"/>
      <c r="C138" s="9" t="s">
        <v>201</v>
      </c>
      <c r="D138" s="79">
        <v>19.665660823954397</v>
      </c>
      <c r="E138" s="79">
        <v>22.243869366916588</v>
      </c>
      <c r="F138" s="79">
        <v>11.466385423470554</v>
      </c>
      <c r="G138" s="79">
        <v>16.487260744791676</v>
      </c>
      <c r="H138" s="79">
        <v>8.3557868869556042</v>
      </c>
      <c r="I138" s="79">
        <v>6.9486745539799202</v>
      </c>
      <c r="J138" s="79">
        <v>6.2535487619732475</v>
      </c>
      <c r="K138" s="79">
        <v>9.4211278130788916</v>
      </c>
      <c r="L138" s="79">
        <v>7.6256549476949482</v>
      </c>
      <c r="M138" s="79">
        <v>7.7401031925123274</v>
      </c>
      <c r="N138" s="79">
        <v>4.3279296018706033</v>
      </c>
      <c r="O138" s="79">
        <v>6.7303778856775907</v>
      </c>
      <c r="P138" s="79">
        <v>7.7530516017548887</v>
      </c>
      <c r="Q138" s="79">
        <v>6</v>
      </c>
    </row>
    <row r="139" spans="2:17" x14ac:dyDescent="0.3">
      <c r="B139" s="292"/>
      <c r="C139" s="9" t="s">
        <v>202</v>
      </c>
      <c r="D139" s="79">
        <v>14.912296423856796</v>
      </c>
      <c r="E139" s="79">
        <v>17.765452030444678</v>
      </c>
      <c r="F139" s="79">
        <v>12.637678125082534</v>
      </c>
      <c r="G139" s="79">
        <v>12.46078955725352</v>
      </c>
      <c r="H139" s="79">
        <v>9.2057884646448542</v>
      </c>
      <c r="I139" s="79">
        <v>7.5631638957035028</v>
      </c>
      <c r="J139" s="79">
        <v>8.5903814535766188</v>
      </c>
      <c r="K139" s="79">
        <v>8.2304670295887199</v>
      </c>
      <c r="L139" s="79">
        <v>9.6324384377320875</v>
      </c>
      <c r="M139" s="79">
        <v>7.8868409893516693</v>
      </c>
      <c r="N139" s="79">
        <v>9.6481318570981536</v>
      </c>
      <c r="O139" s="79">
        <v>10.782741393416913</v>
      </c>
      <c r="P139" s="79">
        <v>11.435400343726174</v>
      </c>
      <c r="Q139" s="79">
        <v>1.3402828271651508</v>
      </c>
    </row>
    <row r="140" spans="2:17" ht="16.5" customHeight="1" x14ac:dyDescent="0.3">
      <c r="B140" s="295"/>
      <c r="C140" s="12" t="s">
        <v>203</v>
      </c>
      <c r="D140" s="81">
        <v>25.667867245089383</v>
      </c>
      <c r="E140" s="81">
        <v>18.814091081660159</v>
      </c>
      <c r="F140" s="81">
        <v>10.924931094507135</v>
      </c>
      <c r="G140" s="81">
        <v>12.976351157576657</v>
      </c>
      <c r="H140" s="81">
        <v>9.5684842304658275</v>
      </c>
      <c r="I140" s="81">
        <v>7.2879210417116544</v>
      </c>
      <c r="J140" s="81">
        <v>8.5895733891455261</v>
      </c>
      <c r="K140" s="81">
        <v>6.2174650038859767</v>
      </c>
      <c r="L140" s="81">
        <v>7.6276835263293403</v>
      </c>
      <c r="M140" s="81">
        <v>7.1559441210837491</v>
      </c>
      <c r="N140" s="81">
        <v>6.4495813886232982</v>
      </c>
      <c r="O140" s="81">
        <v>5.4205755227379981</v>
      </c>
      <c r="P140" s="81">
        <v>4.9361118418978949</v>
      </c>
      <c r="Q140" s="81">
        <v>10.055840033233572</v>
      </c>
    </row>
    <row r="141" spans="2:17" x14ac:dyDescent="0.3">
      <c r="B141" s="291" t="s">
        <v>204</v>
      </c>
      <c r="C141" s="13" t="s">
        <v>192</v>
      </c>
      <c r="D141" s="80">
        <v>22.396176165397051</v>
      </c>
      <c r="E141" s="80">
        <v>20.065818520042498</v>
      </c>
      <c r="F141" s="80">
        <v>12.2654855413834</v>
      </c>
      <c r="G141" s="80">
        <v>12.221641507464732</v>
      </c>
      <c r="H141" s="80">
        <v>9.5917908403146104</v>
      </c>
      <c r="I141" s="80">
        <v>6.7045260877078725</v>
      </c>
      <c r="J141" s="80">
        <v>7.6045359785694808</v>
      </c>
      <c r="K141" s="80">
        <v>6.4262631117735936</v>
      </c>
      <c r="L141" s="80">
        <v>6.6106869394078105</v>
      </c>
      <c r="M141" s="80">
        <v>6.7920134920349913</v>
      </c>
      <c r="N141" s="80">
        <v>5.6608359997526607</v>
      </c>
      <c r="O141" s="80">
        <v>9.6971053473306945</v>
      </c>
      <c r="P141" s="80">
        <v>9.5734173639084439</v>
      </c>
      <c r="Q141" s="80">
        <v>7.5559577497334978</v>
      </c>
    </row>
    <row r="142" spans="2:17" x14ac:dyDescent="0.3">
      <c r="B142" s="295"/>
      <c r="C142" s="12" t="s">
        <v>193</v>
      </c>
      <c r="D142" s="81">
        <v>22.323648859383752</v>
      </c>
      <c r="E142" s="81">
        <v>19.553043582347907</v>
      </c>
      <c r="F142" s="81">
        <v>11.681801654505891</v>
      </c>
      <c r="G142" s="81">
        <v>13.601690089040122</v>
      </c>
      <c r="H142" s="81">
        <v>9.0895498602354277</v>
      </c>
      <c r="I142" s="81">
        <v>7.1712104640372605</v>
      </c>
      <c r="J142" s="81">
        <v>7.9614936930573643</v>
      </c>
      <c r="K142" s="81">
        <v>7.5388361425667529</v>
      </c>
      <c r="L142" s="81">
        <v>8.3942521349574264</v>
      </c>
      <c r="M142" s="81">
        <v>7.4361891914418017</v>
      </c>
      <c r="N142" s="81">
        <v>6.6017560643393169</v>
      </c>
      <c r="O142" s="81">
        <v>7.0644309554382252</v>
      </c>
      <c r="P142" s="81">
        <v>7.0572334983324678</v>
      </c>
      <c r="Q142" s="81">
        <v>6.9426756041105575</v>
      </c>
    </row>
    <row r="143" spans="2:17" x14ac:dyDescent="0.3">
      <c r="B143" s="291" t="s">
        <v>209</v>
      </c>
      <c r="C143" s="13" t="s">
        <v>205</v>
      </c>
      <c r="D143" s="80">
        <v>15.412369390615025</v>
      </c>
      <c r="E143" s="80">
        <v>15.988928647372337</v>
      </c>
      <c r="F143" s="80">
        <v>8.967064459048828</v>
      </c>
      <c r="G143" s="80">
        <v>10.766418220226646</v>
      </c>
      <c r="H143" s="80">
        <v>8.1574308583620656</v>
      </c>
      <c r="I143" s="80">
        <v>6.0232405497509722</v>
      </c>
      <c r="J143" s="80">
        <v>7.1123913210069549</v>
      </c>
      <c r="K143" s="80">
        <v>6.3941762696429931</v>
      </c>
      <c r="L143" s="80">
        <v>10.874419451475736</v>
      </c>
      <c r="M143" s="80">
        <v>6.1785420089516894</v>
      </c>
      <c r="N143" s="80">
        <v>11.390909925615647</v>
      </c>
      <c r="O143" s="80">
        <v>11.246542876615695</v>
      </c>
      <c r="P143" s="80">
        <v>5.1311014114855231</v>
      </c>
      <c r="Q143" s="80">
        <v>3.1836285925207672</v>
      </c>
    </row>
    <row r="144" spans="2:17" x14ac:dyDescent="0.3">
      <c r="B144" s="292"/>
      <c r="C144" s="9" t="s">
        <v>206</v>
      </c>
      <c r="D144" s="79">
        <v>24.335697396035123</v>
      </c>
      <c r="E144" s="79">
        <v>17.982696947696862</v>
      </c>
      <c r="F144" s="79">
        <v>10.366331609871009</v>
      </c>
      <c r="G144" s="79">
        <v>12.823562750103411</v>
      </c>
      <c r="H144" s="79">
        <v>8.756210811568927</v>
      </c>
      <c r="I144" s="79">
        <v>7.2959535648540319</v>
      </c>
      <c r="J144" s="79">
        <v>9.0042888574741085</v>
      </c>
      <c r="K144" s="79">
        <v>8.3565375455262441</v>
      </c>
      <c r="L144" s="79">
        <v>5.0994124531690233</v>
      </c>
      <c r="M144" s="79">
        <v>7.5789012771397664</v>
      </c>
      <c r="N144" s="79">
        <v>5.3312458704529204</v>
      </c>
      <c r="O144" s="79">
        <v>8.1325012760476643</v>
      </c>
      <c r="P144" s="79">
        <v>4.6200898727973874</v>
      </c>
      <c r="Q144" s="79">
        <v>4.6325746855344905</v>
      </c>
    </row>
    <row r="145" spans="2:21" x14ac:dyDescent="0.3">
      <c r="B145" s="292"/>
      <c r="C145" s="9" t="s">
        <v>207</v>
      </c>
      <c r="D145" s="79">
        <v>23.500050327941263</v>
      </c>
      <c r="E145" s="79">
        <v>21.439578767748174</v>
      </c>
      <c r="F145" s="79">
        <v>12.310051762522937</v>
      </c>
      <c r="G145" s="79">
        <v>13.185015807914173</v>
      </c>
      <c r="H145" s="79">
        <v>10.76959340750104</v>
      </c>
      <c r="I145" s="79">
        <v>7.0237723408585486</v>
      </c>
      <c r="J145" s="79">
        <v>7.8618480917152604</v>
      </c>
      <c r="K145" s="79">
        <v>6.9669216703325123</v>
      </c>
      <c r="L145" s="79">
        <v>7.8193004051870183</v>
      </c>
      <c r="M145" s="79">
        <v>7.1531455418427266</v>
      </c>
      <c r="N145" s="79">
        <v>6.6233860002248433</v>
      </c>
      <c r="O145" s="79">
        <v>7.5666577981386629</v>
      </c>
      <c r="P145" s="79">
        <v>9.5327321146969659</v>
      </c>
      <c r="Q145" s="79">
        <v>10.599904378107686</v>
      </c>
    </row>
    <row r="146" spans="2:21" x14ac:dyDescent="0.3">
      <c r="B146" s="293"/>
      <c r="C146" s="25" t="s">
        <v>208</v>
      </c>
      <c r="D146" s="82">
        <v>22.609905863823208</v>
      </c>
      <c r="E146" s="82">
        <v>20.471210838815228</v>
      </c>
      <c r="F146" s="82">
        <v>13.587877826102739</v>
      </c>
      <c r="G146" s="82">
        <v>13.197616825895356</v>
      </c>
      <c r="H146" s="82">
        <v>9.0862726884671794</v>
      </c>
      <c r="I146" s="82">
        <v>6.9326144976788342</v>
      </c>
      <c r="J146" s="82">
        <v>7.3542232842303319</v>
      </c>
      <c r="K146" s="82">
        <v>6.4230696941125949</v>
      </c>
      <c r="L146" s="82">
        <v>7.1662254394765181</v>
      </c>
      <c r="M146" s="82">
        <v>7.0104499371168165</v>
      </c>
      <c r="N146" s="82">
        <v>4.3736327749412487</v>
      </c>
      <c r="O146" s="82">
        <v>7.9276870615219641</v>
      </c>
      <c r="P146" s="82">
        <v>10.228328747356359</v>
      </c>
      <c r="Q146" s="82">
        <v>9.2714827544076446</v>
      </c>
    </row>
    <row r="147" spans="2:21" x14ac:dyDescent="0.3">
      <c r="B147" s="60"/>
      <c r="C147" s="9"/>
      <c r="D147" s="58"/>
      <c r="E147" s="58"/>
      <c r="F147" s="50"/>
      <c r="G147" s="58"/>
      <c r="H147" s="50"/>
      <c r="I147" s="58"/>
      <c r="J147" s="58"/>
      <c r="K147" s="58"/>
      <c r="L147" s="50"/>
      <c r="M147" s="58"/>
      <c r="N147" s="58"/>
    </row>
    <row r="148" spans="2:21" x14ac:dyDescent="0.3">
      <c r="B148" s="60"/>
      <c r="C148" s="9"/>
      <c r="D148" s="58"/>
      <c r="E148" s="58"/>
      <c r="F148" s="50"/>
      <c r="G148" s="58"/>
      <c r="H148" s="50"/>
      <c r="I148" s="58"/>
      <c r="J148" s="58"/>
      <c r="K148" s="58"/>
      <c r="L148" s="50"/>
      <c r="M148" s="58"/>
      <c r="N148" s="58"/>
    </row>
    <row r="149" spans="2:21" ht="17.25" customHeight="1" x14ac:dyDescent="0.3">
      <c r="B149" s="1" t="s">
        <v>487</v>
      </c>
      <c r="D149" s="59"/>
      <c r="E149" s="59"/>
      <c r="F149" s="304"/>
      <c r="G149" s="304"/>
      <c r="H149" s="304"/>
      <c r="I149" s="304"/>
      <c r="J149" s="304"/>
      <c r="K149" s="304"/>
      <c r="L149" s="304"/>
      <c r="M149" s="304"/>
      <c r="N149" s="304"/>
      <c r="O149" s="304"/>
      <c r="P149" s="304"/>
      <c r="Q149" s="304"/>
      <c r="R149" s="304"/>
      <c r="S149" s="304"/>
      <c r="T149" s="304"/>
      <c r="U149" s="304"/>
    </row>
    <row r="150" spans="2:21" ht="10.5" customHeight="1" x14ac:dyDescent="0.3"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30"/>
      <c r="P150" s="30"/>
      <c r="Q150" s="30" t="s">
        <v>52</v>
      </c>
    </row>
    <row r="151" spans="2:21" s="22" customFormat="1" ht="20.25" customHeight="1" x14ac:dyDescent="0.3">
      <c r="B151" s="307"/>
      <c r="C151" s="307"/>
      <c r="D151" s="300" t="s">
        <v>120</v>
      </c>
      <c r="E151" s="300"/>
      <c r="F151" s="300"/>
      <c r="G151" s="300"/>
      <c r="H151" s="300"/>
      <c r="I151" s="300"/>
      <c r="J151" s="301"/>
      <c r="K151" s="299" t="s">
        <v>125</v>
      </c>
      <c r="L151" s="300"/>
      <c r="M151" s="300"/>
      <c r="N151" s="300"/>
      <c r="O151" s="300"/>
      <c r="P151" s="301"/>
      <c r="Q151" s="212" t="s">
        <v>38</v>
      </c>
    </row>
    <row r="152" spans="2:21" s="22" customFormat="1" ht="27" x14ac:dyDescent="0.3">
      <c r="B152" s="300"/>
      <c r="C152" s="300"/>
      <c r="D152" s="202" t="s">
        <v>39</v>
      </c>
      <c r="E152" s="202" t="s">
        <v>40</v>
      </c>
      <c r="F152" s="202" t="s">
        <v>116</v>
      </c>
      <c r="G152" s="202" t="s">
        <v>117</v>
      </c>
      <c r="H152" s="202" t="s">
        <v>115</v>
      </c>
      <c r="I152" s="202" t="s">
        <v>119</v>
      </c>
      <c r="J152" s="202" t="s">
        <v>300</v>
      </c>
      <c r="K152" s="214" t="s">
        <v>298</v>
      </c>
      <c r="L152" s="202" t="s">
        <v>299</v>
      </c>
      <c r="M152" s="202" t="s">
        <v>121</v>
      </c>
      <c r="N152" s="202" t="s">
        <v>118</v>
      </c>
      <c r="O152" s="202" t="s">
        <v>122</v>
      </c>
      <c r="P152" s="202" t="s">
        <v>124</v>
      </c>
      <c r="Q152" s="214" t="s">
        <v>38</v>
      </c>
    </row>
    <row r="153" spans="2:21" ht="21.75" customHeight="1" x14ac:dyDescent="0.3">
      <c r="B153" s="292" t="s">
        <v>20</v>
      </c>
      <c r="C153" s="292"/>
      <c r="D153" s="86">
        <v>22.352187750177961</v>
      </c>
      <c r="E153" s="86">
        <v>10.914223396799699</v>
      </c>
      <c r="F153" s="88">
        <v>23.388449120879265</v>
      </c>
      <c r="G153" s="88">
        <v>8.2093547273324674</v>
      </c>
      <c r="H153" s="88">
        <v>19.167084497336276</v>
      </c>
      <c r="I153" s="86">
        <v>2.4876354733329173</v>
      </c>
      <c r="J153" s="86">
        <v>0.91690019851533633</v>
      </c>
      <c r="K153" s="92">
        <v>2.4385515908883173</v>
      </c>
      <c r="L153" s="86">
        <v>2.2820002728686712</v>
      </c>
      <c r="M153" s="88">
        <v>2.2957852384667787</v>
      </c>
      <c r="N153" s="86">
        <v>4.3933107229565831</v>
      </c>
      <c r="O153" s="86">
        <v>0.50283591021356988</v>
      </c>
      <c r="P153" s="86">
        <v>0.24394534906192833</v>
      </c>
      <c r="Q153" s="92">
        <v>0.40773575117019023</v>
      </c>
    </row>
    <row r="154" spans="2:21" x14ac:dyDescent="0.3">
      <c r="B154" s="296" t="s">
        <v>5</v>
      </c>
      <c r="C154" s="13" t="s">
        <v>0</v>
      </c>
      <c r="D154" s="84">
        <v>21.660406790765336</v>
      </c>
      <c r="E154" s="84">
        <v>11.849956939525788</v>
      </c>
      <c r="F154" s="89">
        <v>22.855331336102743</v>
      </c>
      <c r="G154" s="89">
        <v>9.0879514605891405</v>
      </c>
      <c r="H154" s="89">
        <v>17.964524297986312</v>
      </c>
      <c r="I154" s="84">
        <v>2.6608610236146264</v>
      </c>
      <c r="J154" s="84">
        <v>0.9939263505090622</v>
      </c>
      <c r="K154" s="93">
        <v>2.0793671652410781</v>
      </c>
      <c r="L154" s="84">
        <v>1.9960233780604291</v>
      </c>
      <c r="M154" s="89">
        <v>1.610498843629429</v>
      </c>
      <c r="N154" s="84">
        <v>5.9594435485216772</v>
      </c>
      <c r="O154" s="84">
        <v>0.55014472802956982</v>
      </c>
      <c r="P154" s="84">
        <v>0.2474186162477218</v>
      </c>
      <c r="Q154" s="93">
        <v>0.48414552117702458</v>
      </c>
    </row>
    <row r="155" spans="2:21" x14ac:dyDescent="0.3">
      <c r="B155" s="295"/>
      <c r="C155" s="12" t="s">
        <v>1</v>
      </c>
      <c r="D155" s="90">
        <v>23.385963452945013</v>
      </c>
      <c r="E155" s="90">
        <v>9.5158926281186904</v>
      </c>
      <c r="F155" s="91">
        <v>24.185123566910391</v>
      </c>
      <c r="G155" s="91">
        <v>6.8964074092356835</v>
      </c>
      <c r="H155" s="91">
        <v>20.964152627482857</v>
      </c>
      <c r="I155" s="90">
        <v>2.2287726605551184</v>
      </c>
      <c r="J155" s="90">
        <v>0.80179474016857433</v>
      </c>
      <c r="K155" s="94">
        <v>2.9753054968670525</v>
      </c>
      <c r="L155" s="90">
        <v>2.7093551478229334</v>
      </c>
      <c r="M155" s="91">
        <v>3.3198556682472873</v>
      </c>
      <c r="N155" s="90">
        <v>2.0529310979525506</v>
      </c>
      <c r="O155" s="90">
        <v>0.43213910117398974</v>
      </c>
      <c r="P155" s="90">
        <v>0.23875500784620615</v>
      </c>
      <c r="Q155" s="94">
        <v>0.29355139467366237</v>
      </c>
    </row>
    <row r="156" spans="2:21" x14ac:dyDescent="0.3">
      <c r="B156" s="296" t="s">
        <v>4</v>
      </c>
      <c r="C156" s="9" t="s">
        <v>175</v>
      </c>
      <c r="D156" s="86">
        <v>22.739263465490595</v>
      </c>
      <c r="E156" s="86">
        <v>8.4342793070802191</v>
      </c>
      <c r="F156" s="88">
        <v>18.675254784646018</v>
      </c>
      <c r="G156" s="88">
        <v>11.848533675340271</v>
      </c>
      <c r="H156" s="88">
        <v>6.3257235845676583</v>
      </c>
      <c r="I156" s="86">
        <v>13.494366833691446</v>
      </c>
      <c r="J156" s="86">
        <v>0</v>
      </c>
      <c r="K156" s="92">
        <v>4.87934138133798</v>
      </c>
      <c r="L156" s="86">
        <v>0</v>
      </c>
      <c r="M156" s="88">
        <v>0</v>
      </c>
      <c r="N156" s="86">
        <v>0</v>
      </c>
      <c r="O156" s="86">
        <v>0</v>
      </c>
      <c r="P156" s="86">
        <v>0</v>
      </c>
      <c r="Q156" s="92">
        <v>13.603236967845818</v>
      </c>
    </row>
    <row r="157" spans="2:21" x14ac:dyDescent="0.3">
      <c r="B157" s="292"/>
      <c r="C157" s="9" t="s">
        <v>176</v>
      </c>
      <c r="D157" s="86">
        <v>12.764802208127888</v>
      </c>
      <c r="E157" s="86">
        <v>10.17280132703303</v>
      </c>
      <c r="F157" s="88">
        <v>42.242708471305875</v>
      </c>
      <c r="G157" s="88">
        <v>8.7194148516386356</v>
      </c>
      <c r="H157" s="88">
        <v>8.4529458099105028</v>
      </c>
      <c r="I157" s="86">
        <v>7.3698886257440543</v>
      </c>
      <c r="J157" s="86">
        <v>2.5292690030043352</v>
      </c>
      <c r="K157" s="92">
        <v>1.1099626111619636</v>
      </c>
      <c r="L157" s="86">
        <v>0</v>
      </c>
      <c r="M157" s="88">
        <v>2.9391075900712598</v>
      </c>
      <c r="N157" s="86">
        <v>1.873528330419663</v>
      </c>
      <c r="O157" s="86">
        <v>0.66011042986276647</v>
      </c>
      <c r="P157" s="86">
        <v>1.165460741720062</v>
      </c>
      <c r="Q157" s="92">
        <v>0</v>
      </c>
    </row>
    <row r="158" spans="2:21" x14ac:dyDescent="0.3">
      <c r="B158" s="292"/>
      <c r="C158" s="9" t="s">
        <v>177</v>
      </c>
      <c r="D158" s="86">
        <v>17.204750938606349</v>
      </c>
      <c r="E158" s="86">
        <v>9.4649997356908369</v>
      </c>
      <c r="F158" s="88">
        <v>34.711120251311726</v>
      </c>
      <c r="G158" s="88">
        <v>13.776478970033057</v>
      </c>
      <c r="H158" s="88">
        <v>14.852797481906682</v>
      </c>
      <c r="I158" s="86">
        <v>2.4027001202305014</v>
      </c>
      <c r="J158" s="86">
        <v>0</v>
      </c>
      <c r="K158" s="92">
        <v>2.3336944965128001</v>
      </c>
      <c r="L158" s="86">
        <v>1.7202483325095865</v>
      </c>
      <c r="M158" s="88">
        <v>1.8559781286911787</v>
      </c>
      <c r="N158" s="86">
        <v>0.82148795783860695</v>
      </c>
      <c r="O158" s="86">
        <v>0.8557435866687424</v>
      </c>
      <c r="P158" s="86">
        <v>0</v>
      </c>
      <c r="Q158" s="92">
        <v>0</v>
      </c>
    </row>
    <row r="159" spans="2:21" x14ac:dyDescent="0.3">
      <c r="B159" s="292"/>
      <c r="C159" s="9" t="s">
        <v>178</v>
      </c>
      <c r="D159" s="86">
        <v>25.60758388232755</v>
      </c>
      <c r="E159" s="86">
        <v>13.794011691447983</v>
      </c>
      <c r="F159" s="88">
        <v>14.82150221303564</v>
      </c>
      <c r="G159" s="88">
        <v>10.586468252693216</v>
      </c>
      <c r="H159" s="88">
        <v>22.598174022865464</v>
      </c>
      <c r="I159" s="86">
        <v>1.0770864904137361</v>
      </c>
      <c r="J159" s="86">
        <v>0.5688245238671803</v>
      </c>
      <c r="K159" s="92">
        <v>1.7807620617138464</v>
      </c>
      <c r="L159" s="86">
        <v>0.78117334854380327</v>
      </c>
      <c r="M159" s="88">
        <v>1.4811451667358444</v>
      </c>
      <c r="N159" s="86">
        <v>5.7903705800281298</v>
      </c>
      <c r="O159" s="86">
        <v>1.1128977663276729</v>
      </c>
      <c r="P159" s="86">
        <v>0</v>
      </c>
      <c r="Q159" s="92">
        <v>0</v>
      </c>
    </row>
    <row r="160" spans="2:21" x14ac:dyDescent="0.3">
      <c r="B160" s="292"/>
      <c r="C160" s="9" t="s">
        <v>179</v>
      </c>
      <c r="D160" s="86">
        <v>26.630330753650622</v>
      </c>
      <c r="E160" s="86">
        <v>9.9226974155306849</v>
      </c>
      <c r="F160" s="88">
        <v>21.534950564688657</v>
      </c>
      <c r="G160" s="88">
        <v>3.7780974597330865</v>
      </c>
      <c r="H160" s="88">
        <v>20.274179286402578</v>
      </c>
      <c r="I160" s="86">
        <v>2.2877261999447707</v>
      </c>
      <c r="J160" s="86">
        <v>0.8357889266167734</v>
      </c>
      <c r="K160" s="92">
        <v>2.2710381963894117</v>
      </c>
      <c r="L160" s="86">
        <v>2.5852624350998599</v>
      </c>
      <c r="M160" s="88">
        <v>4.2816946320239531</v>
      </c>
      <c r="N160" s="86">
        <v>4.7080556951384755</v>
      </c>
      <c r="O160" s="86">
        <v>0</v>
      </c>
      <c r="P160" s="86">
        <v>0.35182446120402522</v>
      </c>
      <c r="Q160" s="92">
        <v>0.53835397357716619</v>
      </c>
    </row>
    <row r="161" spans="2:17" x14ac:dyDescent="0.3">
      <c r="B161" s="298"/>
      <c r="C161" s="12" t="s">
        <v>180</v>
      </c>
      <c r="D161" s="90">
        <v>23.48852918975885</v>
      </c>
      <c r="E161" s="90">
        <v>11.3865948181469</v>
      </c>
      <c r="F161" s="91">
        <v>14.832327445097995</v>
      </c>
      <c r="G161" s="91">
        <v>7.1291413609478198</v>
      </c>
      <c r="H161" s="91">
        <v>24.91285518721963</v>
      </c>
      <c r="I161" s="90">
        <v>0.36396018690781201</v>
      </c>
      <c r="J161" s="90">
        <v>1.1072878457592343</v>
      </c>
      <c r="K161" s="94">
        <v>3.7257807060059172</v>
      </c>
      <c r="L161" s="90">
        <v>4.8842155995890879</v>
      </c>
      <c r="M161" s="91">
        <v>0.79004952131619022</v>
      </c>
      <c r="N161" s="90">
        <v>7.0548747340427651</v>
      </c>
      <c r="O161" s="90">
        <v>0.32438340520778935</v>
      </c>
      <c r="P161" s="90">
        <v>0</v>
      </c>
      <c r="Q161" s="94">
        <v>0</v>
      </c>
    </row>
    <row r="162" spans="2:17" x14ac:dyDescent="0.3">
      <c r="B162" s="292" t="s">
        <v>223</v>
      </c>
      <c r="C162" s="9" t="s">
        <v>210</v>
      </c>
      <c r="D162" s="86">
        <v>30.936960654615238</v>
      </c>
      <c r="E162" s="86">
        <v>0</v>
      </c>
      <c r="F162" s="88">
        <v>11.433185898033621</v>
      </c>
      <c r="G162" s="88">
        <v>8.2948460415179035</v>
      </c>
      <c r="H162" s="88">
        <v>11.433185898033621</v>
      </c>
      <c r="I162" s="86">
        <v>24.389874537396246</v>
      </c>
      <c r="J162" s="86">
        <v>0</v>
      </c>
      <c r="K162" s="92">
        <v>0</v>
      </c>
      <c r="L162" s="86">
        <v>0</v>
      </c>
      <c r="M162" s="88">
        <v>0</v>
      </c>
      <c r="N162" s="86">
        <v>0</v>
      </c>
      <c r="O162" s="86">
        <v>0</v>
      </c>
      <c r="P162" s="86">
        <v>0</v>
      </c>
      <c r="Q162" s="92">
        <v>13.511946970403372</v>
      </c>
    </row>
    <row r="163" spans="2:17" x14ac:dyDescent="0.3">
      <c r="B163" s="292"/>
      <c r="C163" s="9" t="s">
        <v>211</v>
      </c>
      <c r="D163" s="86">
        <v>16.28081550600254</v>
      </c>
      <c r="E163" s="86">
        <v>8.860690267049355</v>
      </c>
      <c r="F163" s="88">
        <v>36.35914243560763</v>
      </c>
      <c r="G163" s="88">
        <v>12.956858927712627</v>
      </c>
      <c r="H163" s="88">
        <v>6.1519779553306417</v>
      </c>
      <c r="I163" s="86">
        <v>7.3897314311989648</v>
      </c>
      <c r="J163" s="86">
        <v>4.1362551212104508</v>
      </c>
      <c r="K163" s="92">
        <v>1.8151839639506024</v>
      </c>
      <c r="L163" s="86">
        <v>0</v>
      </c>
      <c r="M163" s="88">
        <v>0</v>
      </c>
      <c r="N163" s="86">
        <v>3.0638857085688627</v>
      </c>
      <c r="O163" s="86">
        <v>1.0795155212201919</v>
      </c>
      <c r="P163" s="86">
        <v>1.9059431621481326</v>
      </c>
      <c r="Q163" s="92">
        <v>0</v>
      </c>
    </row>
    <row r="164" spans="2:17" x14ac:dyDescent="0.3">
      <c r="B164" s="292"/>
      <c r="C164" s="9" t="s">
        <v>212</v>
      </c>
      <c r="D164" s="86">
        <v>14.779344614556287</v>
      </c>
      <c r="E164" s="86">
        <v>7.0951901861387459</v>
      </c>
      <c r="F164" s="88">
        <v>38.09686057998298</v>
      </c>
      <c r="G164" s="88">
        <v>14.214378031591554</v>
      </c>
      <c r="H164" s="88">
        <v>16.31966894024503</v>
      </c>
      <c r="I164" s="86">
        <v>2.8046829687957211</v>
      </c>
      <c r="J164" s="86">
        <v>0</v>
      </c>
      <c r="K164" s="92">
        <v>1.0933308635240231</v>
      </c>
      <c r="L164" s="86">
        <v>1.4027626220929335</v>
      </c>
      <c r="M164" s="88">
        <v>1.483191091439181</v>
      </c>
      <c r="N164" s="86">
        <v>1.3276146244808118</v>
      </c>
      <c r="O164" s="86">
        <v>1.38297547715275</v>
      </c>
      <c r="P164" s="86">
        <v>0</v>
      </c>
      <c r="Q164" s="92">
        <v>0</v>
      </c>
    </row>
    <row r="165" spans="2:17" x14ac:dyDescent="0.3">
      <c r="B165" s="292"/>
      <c r="C165" s="9" t="s">
        <v>213</v>
      </c>
      <c r="D165" s="86">
        <v>30.533995488720922</v>
      </c>
      <c r="E165" s="86">
        <v>14.703649526629517</v>
      </c>
      <c r="F165" s="88">
        <v>12.64528873852524</v>
      </c>
      <c r="G165" s="88">
        <v>9.7812621412018608</v>
      </c>
      <c r="H165" s="88">
        <v>19.466232547895423</v>
      </c>
      <c r="I165" s="86">
        <v>0.82405360529956528</v>
      </c>
      <c r="J165" s="86">
        <v>0.88009741791872587</v>
      </c>
      <c r="K165" s="92">
        <v>2.755232987823732</v>
      </c>
      <c r="L165" s="86">
        <v>1.2086480419765768</v>
      </c>
      <c r="M165" s="88">
        <v>0</v>
      </c>
      <c r="N165" s="86">
        <v>6.2870420392644384</v>
      </c>
      <c r="O165" s="86">
        <v>0.91449746474402471</v>
      </c>
      <c r="P165" s="86">
        <v>0</v>
      </c>
      <c r="Q165" s="92">
        <v>0</v>
      </c>
    </row>
    <row r="166" spans="2:17" x14ac:dyDescent="0.3">
      <c r="B166" s="292"/>
      <c r="C166" s="9" t="s">
        <v>214</v>
      </c>
      <c r="D166" s="86">
        <v>20.638524855303224</v>
      </c>
      <c r="E166" s="86">
        <v>13.170063966609838</v>
      </c>
      <c r="F166" s="88">
        <v>21.734625508776887</v>
      </c>
      <c r="G166" s="88">
        <v>5.7489451135487384</v>
      </c>
      <c r="H166" s="88">
        <v>19.871841313734169</v>
      </c>
      <c r="I166" s="86">
        <v>2.3586799902264746</v>
      </c>
      <c r="J166" s="86">
        <v>0</v>
      </c>
      <c r="K166" s="92">
        <v>3.2685542279419924</v>
      </c>
      <c r="L166" s="86">
        <v>2.5936078139959697</v>
      </c>
      <c r="M166" s="88">
        <v>4.3719268597462158</v>
      </c>
      <c r="N166" s="86">
        <v>5.345637591016783</v>
      </c>
      <c r="O166" s="86">
        <v>0</v>
      </c>
      <c r="P166" s="86">
        <v>0</v>
      </c>
      <c r="Q166" s="92">
        <v>0.89759275909976988</v>
      </c>
    </row>
    <row r="167" spans="2:17" x14ac:dyDescent="0.3">
      <c r="B167" s="292"/>
      <c r="C167" s="12" t="s">
        <v>215</v>
      </c>
      <c r="D167" s="90">
        <v>22.502761720613552</v>
      </c>
      <c r="E167" s="90">
        <v>13.955761421964299</v>
      </c>
      <c r="F167" s="91">
        <v>14.862432052539631</v>
      </c>
      <c r="G167" s="91">
        <v>6.4879777194334896</v>
      </c>
      <c r="H167" s="91">
        <v>23.062750502550802</v>
      </c>
      <c r="I167" s="90">
        <v>0</v>
      </c>
      <c r="J167" s="90">
        <v>1.3038120719837218</v>
      </c>
      <c r="K167" s="94">
        <v>1.0410912709566791</v>
      </c>
      <c r="L167" s="90">
        <v>3.7821386062820692</v>
      </c>
      <c r="M167" s="91">
        <v>0.80967724298054333</v>
      </c>
      <c r="N167" s="90">
        <v>12.191597390695229</v>
      </c>
      <c r="O167" s="90">
        <v>0</v>
      </c>
      <c r="P167" s="90">
        <v>0</v>
      </c>
      <c r="Q167" s="94">
        <v>0</v>
      </c>
    </row>
    <row r="168" spans="2:17" x14ac:dyDescent="0.3">
      <c r="B168" s="292"/>
      <c r="C168" s="9" t="s">
        <v>216</v>
      </c>
      <c r="D168" s="86">
        <v>12.586204418599722</v>
      </c>
      <c r="E168" s="86">
        <v>18.880351398686631</v>
      </c>
      <c r="F168" s="88">
        <v>27.644743572908816</v>
      </c>
      <c r="G168" s="88">
        <v>16.249867311848636</v>
      </c>
      <c r="H168" s="88">
        <v>0</v>
      </c>
      <c r="I168" s="86">
        <v>0</v>
      </c>
      <c r="J168" s="86">
        <v>0</v>
      </c>
      <c r="K168" s="92">
        <v>10.922531317700161</v>
      </c>
      <c r="L168" s="86">
        <v>0</v>
      </c>
      <c r="M168" s="88">
        <v>0</v>
      </c>
      <c r="N168" s="86">
        <v>0</v>
      </c>
      <c r="O168" s="86">
        <v>0</v>
      </c>
      <c r="P168" s="86">
        <v>0</v>
      </c>
      <c r="Q168" s="92">
        <v>13.716301980256047</v>
      </c>
    </row>
    <row r="169" spans="2:17" x14ac:dyDescent="0.3">
      <c r="B169" s="292"/>
      <c r="C169" s="9" t="s">
        <v>217</v>
      </c>
      <c r="D169" s="86">
        <v>7.2308754693003925</v>
      </c>
      <c r="E169" s="86">
        <v>12.237960319333785</v>
      </c>
      <c r="F169" s="88">
        <v>51.502975895291122</v>
      </c>
      <c r="G169" s="88">
        <v>2.0500131485657889</v>
      </c>
      <c r="H169" s="88">
        <v>12.074487157134351</v>
      </c>
      <c r="I169" s="86">
        <v>7.3386576199493136</v>
      </c>
      <c r="J169" s="86">
        <v>0</v>
      </c>
      <c r="K169" s="92">
        <v>0</v>
      </c>
      <c r="L169" s="86">
        <v>0</v>
      </c>
      <c r="M169" s="88">
        <v>7.5650303904252301</v>
      </c>
      <c r="N169" s="86">
        <v>0</v>
      </c>
      <c r="O169" s="86">
        <v>0</v>
      </c>
      <c r="P169" s="86">
        <v>0</v>
      </c>
      <c r="Q169" s="92">
        <v>0</v>
      </c>
    </row>
    <row r="170" spans="2:17" x14ac:dyDescent="0.3">
      <c r="B170" s="292"/>
      <c r="C170" s="9" t="s">
        <v>218</v>
      </c>
      <c r="D170" s="86">
        <v>21.141398065483031</v>
      </c>
      <c r="E170" s="86">
        <v>13.311408422756109</v>
      </c>
      <c r="F170" s="88">
        <v>29.215766831535905</v>
      </c>
      <c r="G170" s="88">
        <v>13.065730397535006</v>
      </c>
      <c r="H170" s="88">
        <v>12.471936487727957</v>
      </c>
      <c r="I170" s="86">
        <v>1.7502467106032342</v>
      </c>
      <c r="J170" s="86">
        <v>0</v>
      </c>
      <c r="K170" s="92">
        <v>4.3469134296332363</v>
      </c>
      <c r="L170" s="86">
        <v>2.2355554780970928</v>
      </c>
      <c r="M170" s="88">
        <v>2.4610441766284157</v>
      </c>
      <c r="N170" s="86">
        <v>0</v>
      </c>
      <c r="O170" s="86">
        <v>0</v>
      </c>
      <c r="P170" s="86">
        <v>0</v>
      </c>
      <c r="Q170" s="92">
        <v>0</v>
      </c>
    </row>
    <row r="171" spans="2:17" x14ac:dyDescent="0.3">
      <c r="B171" s="292"/>
      <c r="C171" s="9" t="s">
        <v>219</v>
      </c>
      <c r="D171" s="86">
        <v>16.604989085504595</v>
      </c>
      <c r="E171" s="86">
        <v>12.131726544309442</v>
      </c>
      <c r="F171" s="88">
        <v>18.798345738854259</v>
      </c>
      <c r="G171" s="88">
        <v>12.057913379258469</v>
      </c>
      <c r="H171" s="88">
        <v>28.321528520879298</v>
      </c>
      <c r="I171" s="86">
        <v>1.5394823917220333</v>
      </c>
      <c r="J171" s="86">
        <v>0</v>
      </c>
      <c r="K171" s="92">
        <v>0</v>
      </c>
      <c r="L171" s="86">
        <v>0</v>
      </c>
      <c r="M171" s="88">
        <v>4.1878109585447971</v>
      </c>
      <c r="N171" s="86">
        <v>4.8827460752367511</v>
      </c>
      <c r="O171" s="86">
        <v>1.4754573056903741</v>
      </c>
      <c r="P171" s="86">
        <v>0</v>
      </c>
      <c r="Q171" s="92">
        <v>0</v>
      </c>
    </row>
    <row r="172" spans="2:17" x14ac:dyDescent="0.3">
      <c r="B172" s="292"/>
      <c r="C172" s="9" t="s">
        <v>220</v>
      </c>
      <c r="D172" s="86">
        <v>35.6096298835756</v>
      </c>
      <c r="E172" s="86">
        <v>5.0562053860250362</v>
      </c>
      <c r="F172" s="88">
        <v>21.235718399605695</v>
      </c>
      <c r="G172" s="88">
        <v>0.8245921354029786</v>
      </c>
      <c r="H172" s="88">
        <v>20.877121549421073</v>
      </c>
      <c r="I172" s="86">
        <v>2.1813951007485977</v>
      </c>
      <c r="J172" s="86">
        <v>2.088299256372419</v>
      </c>
      <c r="K172" s="92">
        <v>0.77616419910643064</v>
      </c>
      <c r="L172" s="86">
        <v>2.57275607979863</v>
      </c>
      <c r="M172" s="88">
        <v>4.1464729346553497</v>
      </c>
      <c r="N172" s="86">
        <v>3.7525777207109279</v>
      </c>
      <c r="O172" s="86">
        <v>0</v>
      </c>
      <c r="P172" s="86">
        <v>0.8790673545772818</v>
      </c>
      <c r="Q172" s="92">
        <v>0</v>
      </c>
    </row>
    <row r="173" spans="2:17" x14ac:dyDescent="0.3">
      <c r="B173" s="295"/>
      <c r="C173" s="9" t="s">
        <v>221</v>
      </c>
      <c r="D173" s="86">
        <v>24.671658070327251</v>
      </c>
      <c r="E173" s="86">
        <v>8.3030530061983541</v>
      </c>
      <c r="F173" s="88">
        <v>14.796195566518902</v>
      </c>
      <c r="G173" s="88">
        <v>7.8986729646877318</v>
      </c>
      <c r="H173" s="88">
        <v>27.133371032000465</v>
      </c>
      <c r="I173" s="86">
        <v>0.80078917750238698</v>
      </c>
      <c r="J173" s="86">
        <v>0.87141732349585543</v>
      </c>
      <c r="K173" s="92">
        <v>6.9479742814519216</v>
      </c>
      <c r="L173" s="86">
        <v>6.2069404410997038</v>
      </c>
      <c r="M173" s="88">
        <v>0.76649211544948093</v>
      </c>
      <c r="N173" s="86">
        <v>0.88972411102109916</v>
      </c>
      <c r="O173" s="86">
        <v>0.71371191024683378</v>
      </c>
      <c r="P173" s="86">
        <v>0</v>
      </c>
      <c r="Q173" s="92">
        <v>0</v>
      </c>
    </row>
    <row r="174" spans="2:17" ht="16.5" customHeight="1" x14ac:dyDescent="0.3">
      <c r="B174" s="291" t="s">
        <v>222</v>
      </c>
      <c r="C174" s="13" t="s">
        <v>226</v>
      </c>
      <c r="D174" s="84">
        <v>13.306447349360134</v>
      </c>
      <c r="E174" s="84">
        <v>9.7618384968871119</v>
      </c>
      <c r="F174" s="89">
        <v>29.84442321178684</v>
      </c>
      <c r="G174" s="89">
        <v>12.16243168701042</v>
      </c>
      <c r="H174" s="89">
        <v>17.861575003693126</v>
      </c>
      <c r="I174" s="84">
        <v>2.6357276766140836</v>
      </c>
      <c r="J174" s="84">
        <v>2.0836882710375395</v>
      </c>
      <c r="K174" s="93">
        <v>0.71059183678527194</v>
      </c>
      <c r="L174" s="84">
        <v>1.5688716838465127</v>
      </c>
      <c r="M174" s="89">
        <v>2.393247048506332</v>
      </c>
      <c r="N174" s="84">
        <v>5.2371275889910045</v>
      </c>
      <c r="O174" s="84">
        <v>0.54381892897148554</v>
      </c>
      <c r="P174" s="84">
        <v>0.96014179393026855</v>
      </c>
      <c r="Q174" s="93">
        <v>0.93006942257987579</v>
      </c>
    </row>
    <row r="175" spans="2:17" ht="16.5" customHeight="1" x14ac:dyDescent="0.3">
      <c r="B175" s="294"/>
      <c r="C175" s="9" t="s">
        <v>227</v>
      </c>
      <c r="D175" s="86">
        <v>18.277543682043724</v>
      </c>
      <c r="E175" s="86">
        <v>8.4638889830091095</v>
      </c>
      <c r="F175" s="88">
        <v>29.260616357487613</v>
      </c>
      <c r="G175" s="88">
        <v>6.5368215853604639</v>
      </c>
      <c r="H175" s="88">
        <v>21.049474129566477</v>
      </c>
      <c r="I175" s="86">
        <v>0.61730565066171517</v>
      </c>
      <c r="J175" s="86">
        <v>2.3064309775714791</v>
      </c>
      <c r="K175" s="92">
        <v>4.2489976653750876</v>
      </c>
      <c r="L175" s="86">
        <v>3.0190204656365558</v>
      </c>
      <c r="M175" s="88">
        <v>1.8433286769562418</v>
      </c>
      <c r="N175" s="86">
        <v>3.7459496906394274</v>
      </c>
      <c r="O175" s="86">
        <v>0.63062213569209646</v>
      </c>
      <c r="P175" s="86">
        <v>0</v>
      </c>
      <c r="Q175" s="92">
        <v>0</v>
      </c>
    </row>
    <row r="176" spans="2:17" x14ac:dyDescent="0.3">
      <c r="B176" s="292"/>
      <c r="C176" s="9" t="s">
        <v>228</v>
      </c>
      <c r="D176" s="86">
        <v>21.295100129041636</v>
      </c>
      <c r="E176" s="86">
        <v>12.364627074497101</v>
      </c>
      <c r="F176" s="88">
        <v>24.329731712547975</v>
      </c>
      <c r="G176" s="88">
        <v>9.4816745849073012</v>
      </c>
      <c r="H176" s="88">
        <v>15.962155073842499</v>
      </c>
      <c r="I176" s="86">
        <v>4.8967047968744621</v>
      </c>
      <c r="J176" s="86">
        <v>0</v>
      </c>
      <c r="K176" s="92">
        <v>2.8975612165693976</v>
      </c>
      <c r="L176" s="86">
        <v>0.88720381111346025</v>
      </c>
      <c r="M176" s="88">
        <v>3.2556591049817452</v>
      </c>
      <c r="N176" s="86">
        <v>3.5076348981410419</v>
      </c>
      <c r="O176" s="86">
        <v>1.1219475974834137</v>
      </c>
      <c r="P176" s="86">
        <v>0</v>
      </c>
      <c r="Q176" s="92">
        <v>0</v>
      </c>
    </row>
    <row r="177" spans="2:21" x14ac:dyDescent="0.3">
      <c r="B177" s="295"/>
      <c r="C177" s="12" t="s">
        <v>229</v>
      </c>
      <c r="D177" s="90">
        <v>29.097388712140688</v>
      </c>
      <c r="E177" s="90">
        <v>11.826009719071637</v>
      </c>
      <c r="F177" s="91">
        <v>16.747658301450652</v>
      </c>
      <c r="G177" s="91">
        <v>6.70452674564494</v>
      </c>
      <c r="H177" s="91">
        <v>20.75650808218089</v>
      </c>
      <c r="I177" s="90">
        <v>1.895290533430583</v>
      </c>
      <c r="J177" s="90">
        <v>0.25278625672609761</v>
      </c>
      <c r="K177" s="94">
        <v>1.7998151777229454</v>
      </c>
      <c r="L177" s="90">
        <v>3.0802351768408309</v>
      </c>
      <c r="M177" s="91">
        <v>1.8759145172357168</v>
      </c>
      <c r="N177" s="90">
        <v>5.0102345643546782</v>
      </c>
      <c r="O177" s="90">
        <v>0</v>
      </c>
      <c r="P177" s="90">
        <v>0.25364672833488777</v>
      </c>
      <c r="Q177" s="94">
        <v>0.69998548486538426</v>
      </c>
    </row>
    <row r="178" spans="2:21" x14ac:dyDescent="0.3">
      <c r="B178" s="296" t="s">
        <v>199</v>
      </c>
      <c r="C178" s="13" t="s">
        <v>192</v>
      </c>
      <c r="D178" s="84">
        <v>21.211761003849546</v>
      </c>
      <c r="E178" s="84">
        <v>11.625479734643941</v>
      </c>
      <c r="F178" s="89">
        <v>24.384683878771334</v>
      </c>
      <c r="G178" s="89">
        <v>8.9001289801540544</v>
      </c>
      <c r="H178" s="89">
        <v>19.852944232009584</v>
      </c>
      <c r="I178" s="84">
        <v>2.5379662551520417</v>
      </c>
      <c r="J178" s="84">
        <v>0.39942933776708028</v>
      </c>
      <c r="K178" s="93">
        <v>2.0384833129730962</v>
      </c>
      <c r="L178" s="84">
        <v>2.0220828841656959</v>
      </c>
      <c r="M178" s="89">
        <v>2.3624347761130453</v>
      </c>
      <c r="N178" s="84">
        <v>3.49662622665844</v>
      </c>
      <c r="O178" s="84">
        <v>0.23045376187637626</v>
      </c>
      <c r="P178" s="84">
        <v>0.24995759847519244</v>
      </c>
      <c r="Q178" s="93">
        <v>0.68756801739052842</v>
      </c>
    </row>
    <row r="179" spans="2:21" x14ac:dyDescent="0.3">
      <c r="B179" s="292"/>
      <c r="C179" s="9" t="s">
        <v>200</v>
      </c>
      <c r="D179" s="86">
        <v>17.390424290793725</v>
      </c>
      <c r="E179" s="86">
        <v>11.289460893121346</v>
      </c>
      <c r="F179" s="88">
        <v>19.1910066108499</v>
      </c>
      <c r="G179" s="88">
        <v>10.913143470408695</v>
      </c>
      <c r="H179" s="88">
        <v>26.190234857428152</v>
      </c>
      <c r="I179" s="86">
        <v>2.3823431939846484</v>
      </c>
      <c r="J179" s="86">
        <v>0</v>
      </c>
      <c r="K179" s="92">
        <v>2.803168423128283</v>
      </c>
      <c r="L179" s="86">
        <v>3.5451199264411231</v>
      </c>
      <c r="M179" s="88">
        <v>1.5417426327205557</v>
      </c>
      <c r="N179" s="86">
        <v>4.7533557011236045</v>
      </c>
      <c r="O179" s="86">
        <v>0</v>
      </c>
      <c r="P179" s="86">
        <v>0</v>
      </c>
      <c r="Q179" s="92">
        <v>0</v>
      </c>
    </row>
    <row r="180" spans="2:21" x14ac:dyDescent="0.3">
      <c r="B180" s="292"/>
      <c r="C180" s="9" t="s">
        <v>201</v>
      </c>
      <c r="D180" s="86">
        <v>20.141634942284323</v>
      </c>
      <c r="E180" s="86">
        <v>13.556856747599937</v>
      </c>
      <c r="F180" s="88">
        <v>23.335444297510456</v>
      </c>
      <c r="G180" s="88">
        <v>4.6504296963078531</v>
      </c>
      <c r="H180" s="88">
        <v>17.255927164083445</v>
      </c>
      <c r="I180" s="86">
        <v>1.3391139338042184</v>
      </c>
      <c r="J180" s="86">
        <v>2.6341856901587559</v>
      </c>
      <c r="K180" s="92">
        <v>4.5629130586185962</v>
      </c>
      <c r="L180" s="86">
        <v>4.7006857440462468</v>
      </c>
      <c r="M180" s="88">
        <v>2.3150808974570185</v>
      </c>
      <c r="N180" s="86">
        <v>3.2435943033042633</v>
      </c>
      <c r="O180" s="86">
        <v>2.2641335248248771</v>
      </c>
      <c r="P180" s="86">
        <v>0</v>
      </c>
      <c r="Q180" s="92">
        <v>0</v>
      </c>
    </row>
    <row r="181" spans="2:21" x14ac:dyDescent="0.3">
      <c r="B181" s="292"/>
      <c r="C181" s="9" t="s">
        <v>202</v>
      </c>
      <c r="D181" s="86">
        <v>22.39734607095593</v>
      </c>
      <c r="E181" s="86">
        <v>9.2079355750673315</v>
      </c>
      <c r="F181" s="88">
        <v>17.15593876367484</v>
      </c>
      <c r="G181" s="88">
        <v>7.6406806723843239</v>
      </c>
      <c r="H181" s="88">
        <v>18.848893433757567</v>
      </c>
      <c r="I181" s="86">
        <v>3.417386463855828</v>
      </c>
      <c r="J181" s="86">
        <v>4.4372838856233843</v>
      </c>
      <c r="K181" s="92">
        <v>2.8767424852941419</v>
      </c>
      <c r="L181" s="86">
        <v>3.181965337680523</v>
      </c>
      <c r="M181" s="88">
        <v>3.4415905082321894</v>
      </c>
      <c r="N181" s="86">
        <v>6.4827721788617065</v>
      </c>
      <c r="O181" s="86">
        <v>0.91146462461223821</v>
      </c>
      <c r="P181" s="86">
        <v>0</v>
      </c>
      <c r="Q181" s="92">
        <v>0</v>
      </c>
    </row>
    <row r="182" spans="2:21" x14ac:dyDescent="0.3">
      <c r="B182" s="295"/>
      <c r="C182" s="12" t="s">
        <v>203</v>
      </c>
      <c r="D182" s="90">
        <v>27.567644628578407</v>
      </c>
      <c r="E182" s="90">
        <v>8.4200051262401328</v>
      </c>
      <c r="F182" s="91">
        <v>23.94735540284908</v>
      </c>
      <c r="G182" s="91">
        <v>7.2699977161953724</v>
      </c>
      <c r="H182" s="91">
        <v>16.607306750341234</v>
      </c>
      <c r="I182" s="90">
        <v>2.4246708514185551</v>
      </c>
      <c r="J182" s="90">
        <v>0.47275475116753185</v>
      </c>
      <c r="K182" s="94">
        <v>2.5187099676439528</v>
      </c>
      <c r="L182" s="90">
        <v>1.4577005603874129</v>
      </c>
      <c r="M182" s="91">
        <v>1.7660187859271113</v>
      </c>
      <c r="N182" s="90">
        <v>6.5334158974418024</v>
      </c>
      <c r="O182" s="90">
        <v>0.54005557742414811</v>
      </c>
      <c r="P182" s="90">
        <v>0.47436398438522642</v>
      </c>
      <c r="Q182" s="94">
        <v>0</v>
      </c>
    </row>
    <row r="183" spans="2:21" x14ac:dyDescent="0.3">
      <c r="B183" s="291" t="s">
        <v>204</v>
      </c>
      <c r="C183" s="13" t="s">
        <v>192</v>
      </c>
      <c r="D183" s="84">
        <v>21.211761003849546</v>
      </c>
      <c r="E183" s="84">
        <v>11.625479734643941</v>
      </c>
      <c r="F183" s="89">
        <v>24.384683878771334</v>
      </c>
      <c r="G183" s="89">
        <v>8.9001289801540544</v>
      </c>
      <c r="H183" s="89">
        <v>19.852944232009584</v>
      </c>
      <c r="I183" s="84">
        <v>2.5379662551520417</v>
      </c>
      <c r="J183" s="84">
        <v>0.39942933776708028</v>
      </c>
      <c r="K183" s="93">
        <v>2.0384833129730962</v>
      </c>
      <c r="L183" s="84">
        <v>2.0220828841656959</v>
      </c>
      <c r="M183" s="89">
        <v>2.3624347761130453</v>
      </c>
      <c r="N183" s="84">
        <v>3.49662622665844</v>
      </c>
      <c r="O183" s="84">
        <v>0.23045376187637626</v>
      </c>
      <c r="P183" s="84">
        <v>0.24995759847519244</v>
      </c>
      <c r="Q183" s="93">
        <v>0.68756801739052842</v>
      </c>
    </row>
    <row r="184" spans="2:21" x14ac:dyDescent="0.3">
      <c r="B184" s="295"/>
      <c r="C184" s="12" t="s">
        <v>193</v>
      </c>
      <c r="D184" s="90">
        <v>24.013871595109112</v>
      </c>
      <c r="E184" s="90">
        <v>9.8778717240546676</v>
      </c>
      <c r="F184" s="91">
        <v>21.936863380473135</v>
      </c>
      <c r="G184" s="91">
        <v>7.202846926543466</v>
      </c>
      <c r="H184" s="91">
        <v>18.167737503182963</v>
      </c>
      <c r="I184" s="90">
        <v>2.4142999019594438</v>
      </c>
      <c r="J184" s="90">
        <v>1.6708924845576567</v>
      </c>
      <c r="K184" s="94">
        <v>3.0214798643801504</v>
      </c>
      <c r="L184" s="90">
        <v>2.6607186142394896</v>
      </c>
      <c r="M184" s="91">
        <v>2.1986720654063605</v>
      </c>
      <c r="N184" s="90">
        <v>5.6998445676738019</v>
      </c>
      <c r="O184" s="90">
        <v>0.89971630344945397</v>
      </c>
      <c r="P184" s="90">
        <v>0.23518506897039154</v>
      </c>
      <c r="Q184" s="94">
        <v>0</v>
      </c>
    </row>
    <row r="185" spans="2:21" ht="16.5" customHeight="1" x14ac:dyDescent="0.3">
      <c r="B185" s="291" t="s">
        <v>209</v>
      </c>
      <c r="C185" s="13" t="s">
        <v>205</v>
      </c>
      <c r="D185" s="84">
        <v>21.871213982888708</v>
      </c>
      <c r="E185" s="84">
        <v>8.106984098350841</v>
      </c>
      <c r="F185" s="89">
        <v>29.445009194201521</v>
      </c>
      <c r="G185" s="89">
        <v>6.9525499296838298</v>
      </c>
      <c r="H185" s="89">
        <v>18.036480769800818</v>
      </c>
      <c r="I185" s="84">
        <v>4.9775524158623918</v>
      </c>
      <c r="J185" s="84">
        <v>4.6586010548833494</v>
      </c>
      <c r="K185" s="93">
        <v>1.9021284536918741</v>
      </c>
      <c r="L185" s="84">
        <v>0.72837314460820146</v>
      </c>
      <c r="M185" s="89">
        <v>0</v>
      </c>
      <c r="N185" s="84">
        <v>3.3211069560284829</v>
      </c>
      <c r="O185" s="84">
        <v>0</v>
      </c>
      <c r="P185" s="84">
        <v>0</v>
      </c>
      <c r="Q185" s="93">
        <v>0</v>
      </c>
    </row>
    <row r="186" spans="2:21" x14ac:dyDescent="0.3">
      <c r="B186" s="292"/>
      <c r="C186" s="9" t="s">
        <v>206</v>
      </c>
      <c r="D186" s="86">
        <v>21.516415667606683</v>
      </c>
      <c r="E186" s="86">
        <v>7.0076036485236814</v>
      </c>
      <c r="F186" s="88">
        <v>23.098571517263728</v>
      </c>
      <c r="G186" s="88">
        <v>8.1457757252454499</v>
      </c>
      <c r="H186" s="88">
        <v>31.146461893310239</v>
      </c>
      <c r="I186" s="86">
        <v>0</v>
      </c>
      <c r="J186" s="86">
        <v>0</v>
      </c>
      <c r="K186" s="92">
        <v>2.2799128114585385</v>
      </c>
      <c r="L186" s="86">
        <v>1.7002326754473793</v>
      </c>
      <c r="M186" s="88">
        <v>1.1021348799805457</v>
      </c>
      <c r="N186" s="86">
        <v>2.461129948209575</v>
      </c>
      <c r="O186" s="86">
        <v>0.53834272245441672</v>
      </c>
      <c r="P186" s="86">
        <v>0</v>
      </c>
      <c r="Q186" s="92">
        <v>1.0034185104998019</v>
      </c>
    </row>
    <row r="187" spans="2:21" x14ac:dyDescent="0.3">
      <c r="B187" s="292"/>
      <c r="C187" s="9" t="s">
        <v>207</v>
      </c>
      <c r="D187" s="86">
        <v>21.403215113156008</v>
      </c>
      <c r="E187" s="86">
        <v>11.709479823538116</v>
      </c>
      <c r="F187" s="88">
        <v>21.638601176453015</v>
      </c>
      <c r="G187" s="88">
        <v>10.21315732306369</v>
      </c>
      <c r="H187" s="88">
        <v>17.925518177100248</v>
      </c>
      <c r="I187" s="86">
        <v>3.1014371163051613</v>
      </c>
      <c r="J187" s="86">
        <v>0.53480957920303063</v>
      </c>
      <c r="K187" s="92">
        <v>2.3116078104017035</v>
      </c>
      <c r="L187" s="86">
        <v>1.994462781036934</v>
      </c>
      <c r="M187" s="88">
        <v>2.4043127585709732</v>
      </c>
      <c r="N187" s="86">
        <v>5.3928222551494462</v>
      </c>
      <c r="O187" s="86">
        <v>0.25927547520903205</v>
      </c>
      <c r="P187" s="86">
        <v>0.39945251416293964</v>
      </c>
      <c r="Q187" s="92">
        <v>0.71184809664967985</v>
      </c>
    </row>
    <row r="188" spans="2:21" x14ac:dyDescent="0.3">
      <c r="B188" s="293"/>
      <c r="C188" s="25" t="s">
        <v>208</v>
      </c>
      <c r="D188" s="87">
        <v>23.678210646021046</v>
      </c>
      <c r="E188" s="87">
        <v>12.276689824759027</v>
      </c>
      <c r="F188" s="95">
        <v>23.677155610060467</v>
      </c>
      <c r="G188" s="95">
        <v>6.6352193730574234</v>
      </c>
      <c r="H188" s="95">
        <v>16.23256284743286</v>
      </c>
      <c r="I188" s="87">
        <v>2.2072327213166592</v>
      </c>
      <c r="J188" s="87">
        <v>0.70131446318740931</v>
      </c>
      <c r="K188" s="96">
        <v>2.748531562592734</v>
      </c>
      <c r="L188" s="87">
        <v>3.1484540451817131</v>
      </c>
      <c r="M188" s="95">
        <v>3.191510835027509</v>
      </c>
      <c r="N188" s="87">
        <v>4.4136353805357711</v>
      </c>
      <c r="O188" s="87">
        <v>0.8442891496936068</v>
      </c>
      <c r="P188" s="87">
        <v>0.24519354113382652</v>
      </c>
      <c r="Q188" s="96">
        <v>0</v>
      </c>
    </row>
    <row r="189" spans="2:21" x14ac:dyDescent="0.3">
      <c r="B189" s="136"/>
    </row>
    <row r="190" spans="2:21" x14ac:dyDescent="0.3">
      <c r="B190" s="60"/>
      <c r="C190" s="9"/>
      <c r="D190" s="58"/>
      <c r="E190" s="58"/>
      <c r="F190" s="50"/>
      <c r="G190" s="58"/>
      <c r="H190" s="50"/>
      <c r="I190" s="58"/>
      <c r="J190" s="58"/>
      <c r="K190" s="58"/>
      <c r="L190" s="50"/>
      <c r="M190" s="58"/>
      <c r="N190" s="58"/>
    </row>
    <row r="191" spans="2:21" ht="17.25" customHeight="1" x14ac:dyDescent="0.3">
      <c r="B191" s="1" t="s">
        <v>488</v>
      </c>
      <c r="D191" s="59"/>
      <c r="E191" s="59"/>
      <c r="F191" s="304"/>
      <c r="G191" s="304"/>
      <c r="H191" s="304"/>
      <c r="I191" s="304"/>
      <c r="J191" s="304"/>
      <c r="K191" s="304"/>
      <c r="L191" s="304"/>
      <c r="M191" s="304"/>
      <c r="N191" s="304"/>
      <c r="O191" s="304"/>
      <c r="P191" s="304"/>
      <c r="Q191" s="304"/>
      <c r="R191" s="304"/>
      <c r="S191" s="304"/>
      <c r="T191" s="304"/>
      <c r="U191" s="304"/>
    </row>
    <row r="192" spans="2:21" ht="10.5" customHeight="1" x14ac:dyDescent="0.3"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30"/>
      <c r="P192" s="30"/>
      <c r="Q192" s="30" t="s">
        <v>157</v>
      </c>
    </row>
    <row r="193" spans="2:17" s="22" customFormat="1" ht="20.25" customHeight="1" x14ac:dyDescent="0.3">
      <c r="B193" s="307"/>
      <c r="C193" s="307"/>
      <c r="D193" s="300" t="s">
        <v>120</v>
      </c>
      <c r="E193" s="300"/>
      <c r="F193" s="300"/>
      <c r="G193" s="300"/>
      <c r="H193" s="300"/>
      <c r="I193" s="300"/>
      <c r="J193" s="301"/>
      <c r="K193" s="299" t="s">
        <v>125</v>
      </c>
      <c r="L193" s="300"/>
      <c r="M193" s="300"/>
      <c r="N193" s="300"/>
      <c r="O193" s="300"/>
      <c r="P193" s="301"/>
      <c r="Q193" s="212" t="s">
        <v>38</v>
      </c>
    </row>
    <row r="194" spans="2:17" s="22" customFormat="1" ht="27" x14ac:dyDescent="0.3">
      <c r="B194" s="300"/>
      <c r="C194" s="300"/>
      <c r="D194" s="202" t="s">
        <v>39</v>
      </c>
      <c r="E194" s="202" t="s">
        <v>40</v>
      </c>
      <c r="F194" s="202" t="s">
        <v>116</v>
      </c>
      <c r="G194" s="202" t="s">
        <v>117</v>
      </c>
      <c r="H194" s="202" t="s">
        <v>115</v>
      </c>
      <c r="I194" s="202" t="s">
        <v>119</v>
      </c>
      <c r="J194" s="202" t="s">
        <v>300</v>
      </c>
      <c r="K194" s="214" t="s">
        <v>298</v>
      </c>
      <c r="L194" s="202" t="s">
        <v>299</v>
      </c>
      <c r="M194" s="202" t="s">
        <v>121</v>
      </c>
      <c r="N194" s="202" t="s">
        <v>118</v>
      </c>
      <c r="O194" s="202" t="s">
        <v>122</v>
      </c>
      <c r="P194" s="202" t="s">
        <v>124</v>
      </c>
      <c r="Q194" s="214" t="s">
        <v>38</v>
      </c>
    </row>
    <row r="195" spans="2:17" ht="21.75" customHeight="1" x14ac:dyDescent="0.3">
      <c r="B195" s="292" t="s">
        <v>20</v>
      </c>
      <c r="C195" s="292"/>
      <c r="D195" s="86">
        <v>37.479693101687737</v>
      </c>
      <c r="E195" s="86">
        <v>33.854322418292917</v>
      </c>
      <c r="F195" s="88">
        <v>46.88613721947538</v>
      </c>
      <c r="G195" s="88">
        <v>29.263736310887428</v>
      </c>
      <c r="H195" s="88">
        <v>56.548326263672166</v>
      </c>
      <c r="I195" s="86">
        <v>13.179865733650239</v>
      </c>
      <c r="J195" s="86">
        <v>9.2730333406088139</v>
      </c>
      <c r="K195" s="92">
        <v>14.769847080106752</v>
      </c>
      <c r="L195" s="86">
        <v>13.959317172758762</v>
      </c>
      <c r="M195" s="88">
        <v>16.81388686681337</v>
      </c>
      <c r="N195" s="86">
        <v>18.46060764484746</v>
      </c>
      <c r="O195" s="86">
        <v>7.3452976121311266</v>
      </c>
      <c r="P195" s="86">
        <v>1.6011706950668503</v>
      </c>
      <c r="Q195" s="92">
        <v>0.56475854000071224</v>
      </c>
    </row>
    <row r="196" spans="2:17" x14ac:dyDescent="0.3">
      <c r="B196" s="296" t="s">
        <v>5</v>
      </c>
      <c r="C196" s="13" t="s">
        <v>0</v>
      </c>
      <c r="D196" s="84">
        <v>37.268161056502663</v>
      </c>
      <c r="E196" s="84">
        <v>35.463062980169468</v>
      </c>
      <c r="F196" s="89">
        <v>47.134220583655228</v>
      </c>
      <c r="G196" s="89">
        <v>31.558951469884388</v>
      </c>
      <c r="H196" s="89">
        <v>54.794264461811046</v>
      </c>
      <c r="I196" s="84">
        <v>12.656159518164214</v>
      </c>
      <c r="J196" s="84">
        <v>10.33532889512801</v>
      </c>
      <c r="K196" s="93">
        <v>13.111414823974025</v>
      </c>
      <c r="L196" s="84">
        <v>12.704183491441794</v>
      </c>
      <c r="M196" s="89">
        <v>15.589221128000846</v>
      </c>
      <c r="N196" s="84">
        <v>21.094671726951422</v>
      </c>
      <c r="O196" s="84">
        <v>6.5483132685848187</v>
      </c>
      <c r="P196" s="84">
        <v>1.1327468159900458</v>
      </c>
      <c r="Q196" s="93">
        <v>0.60929977974179961</v>
      </c>
    </row>
    <row r="197" spans="2:17" x14ac:dyDescent="0.3">
      <c r="B197" s="295"/>
      <c r="C197" s="12" t="s">
        <v>1</v>
      </c>
      <c r="D197" s="90">
        <v>37.795799935351766</v>
      </c>
      <c r="E197" s="90">
        <v>31.450271132556836</v>
      </c>
      <c r="F197" s="91">
        <v>46.515409244586422</v>
      </c>
      <c r="G197" s="91">
        <v>25.833838983259021</v>
      </c>
      <c r="H197" s="91">
        <v>59.169541038729655</v>
      </c>
      <c r="I197" s="90">
        <v>13.962475826615528</v>
      </c>
      <c r="J197" s="90">
        <v>7.6855722830628057</v>
      </c>
      <c r="K197" s="94">
        <v>17.248156070470998</v>
      </c>
      <c r="L197" s="90">
        <v>15.834949460429289</v>
      </c>
      <c r="M197" s="91">
        <v>18.643988819706898</v>
      </c>
      <c r="N197" s="90">
        <v>14.524345146494738</v>
      </c>
      <c r="O197" s="90">
        <v>8.536285942517468</v>
      </c>
      <c r="P197" s="90">
        <v>2.3011686036485473</v>
      </c>
      <c r="Q197" s="94">
        <v>0.49819751257007461</v>
      </c>
    </row>
    <row r="198" spans="2:17" x14ac:dyDescent="0.3">
      <c r="B198" s="296" t="s">
        <v>4</v>
      </c>
      <c r="C198" s="9" t="s">
        <v>175</v>
      </c>
      <c r="D198" s="86">
        <v>43.565620961287635</v>
      </c>
      <c r="E198" s="86">
        <v>19.935926889974677</v>
      </c>
      <c r="F198" s="88">
        <v>57.339563583761297</v>
      </c>
      <c r="G198" s="88">
        <v>33.452451597670439</v>
      </c>
      <c r="H198" s="88">
        <v>40.501297557652784</v>
      </c>
      <c r="I198" s="86">
        <v>20.735818078402332</v>
      </c>
      <c r="J198" s="86">
        <v>0</v>
      </c>
      <c r="K198" s="92">
        <v>27.340901761520243</v>
      </c>
      <c r="L198" s="86">
        <v>12.583935100765615</v>
      </c>
      <c r="M198" s="88">
        <v>6.127381822447675</v>
      </c>
      <c r="N198" s="86">
        <v>24.813865678671498</v>
      </c>
      <c r="O198" s="86">
        <v>0</v>
      </c>
      <c r="P198" s="86">
        <v>0</v>
      </c>
      <c r="Q198" s="92">
        <v>13.603236967845818</v>
      </c>
    </row>
    <row r="199" spans="2:17" x14ac:dyDescent="0.3">
      <c r="B199" s="292"/>
      <c r="C199" s="9" t="s">
        <v>176</v>
      </c>
      <c r="D199" s="86">
        <v>24.556470153288167</v>
      </c>
      <c r="E199" s="86">
        <v>39.009857731370332</v>
      </c>
      <c r="F199" s="88">
        <v>70.025395698302304</v>
      </c>
      <c r="G199" s="88">
        <v>40.777611480832206</v>
      </c>
      <c r="H199" s="88">
        <v>43.018259548523687</v>
      </c>
      <c r="I199" s="86">
        <v>23.255823134074735</v>
      </c>
      <c r="J199" s="86">
        <v>16.891740887301733</v>
      </c>
      <c r="K199" s="92">
        <v>10.555477551644337</v>
      </c>
      <c r="L199" s="86">
        <v>8.9215665760425953</v>
      </c>
      <c r="M199" s="88">
        <v>9.8458022104190501</v>
      </c>
      <c r="N199" s="86">
        <v>8.8500037185101874</v>
      </c>
      <c r="O199" s="86">
        <v>3.1265305679707103</v>
      </c>
      <c r="P199" s="86">
        <v>1.165460741720062</v>
      </c>
      <c r="Q199" s="92">
        <v>0</v>
      </c>
    </row>
    <row r="200" spans="2:17" x14ac:dyDescent="0.3">
      <c r="B200" s="292"/>
      <c r="C200" s="9" t="s">
        <v>177</v>
      </c>
      <c r="D200" s="86">
        <v>29.410213085312471</v>
      </c>
      <c r="E200" s="86">
        <v>40.155612198819071</v>
      </c>
      <c r="F200" s="88">
        <v>72.441954879479525</v>
      </c>
      <c r="G200" s="88">
        <v>34.667741497257047</v>
      </c>
      <c r="H200" s="88">
        <v>48.184992583644295</v>
      </c>
      <c r="I200" s="86">
        <v>16.752741229068906</v>
      </c>
      <c r="J200" s="86">
        <v>12.319599139187105</v>
      </c>
      <c r="K200" s="92">
        <v>11.858138496141768</v>
      </c>
      <c r="L200" s="86">
        <v>6.4239970121588872</v>
      </c>
      <c r="M200" s="88">
        <v>10.807946270647305</v>
      </c>
      <c r="N200" s="86">
        <v>12.938790086939116</v>
      </c>
      <c r="O200" s="86">
        <v>2.3487982872992301</v>
      </c>
      <c r="P200" s="86">
        <v>1.6894752340454369</v>
      </c>
      <c r="Q200" s="92">
        <v>0</v>
      </c>
    </row>
    <row r="201" spans="2:17" x14ac:dyDescent="0.3">
      <c r="B201" s="292"/>
      <c r="C201" s="9" t="s">
        <v>178</v>
      </c>
      <c r="D201" s="86">
        <v>40.337304090763723</v>
      </c>
      <c r="E201" s="86">
        <v>31.545336608910642</v>
      </c>
      <c r="F201" s="88">
        <v>39.098587855062242</v>
      </c>
      <c r="G201" s="88">
        <v>32.906315447818344</v>
      </c>
      <c r="H201" s="88">
        <v>60.143840577328398</v>
      </c>
      <c r="I201" s="86">
        <v>10.899093818068648</v>
      </c>
      <c r="J201" s="86">
        <v>7.7180103891306198</v>
      </c>
      <c r="K201" s="92">
        <v>11.483331617970252</v>
      </c>
      <c r="L201" s="86">
        <v>15.918980658283116</v>
      </c>
      <c r="M201" s="88">
        <v>18.426484619696971</v>
      </c>
      <c r="N201" s="86">
        <v>20.787285843943572</v>
      </c>
      <c r="O201" s="86">
        <v>8.1714433317812905</v>
      </c>
      <c r="P201" s="86">
        <v>2.1189909473361079</v>
      </c>
      <c r="Q201" s="92">
        <v>0.44499419390625045</v>
      </c>
    </row>
    <row r="202" spans="2:17" x14ac:dyDescent="0.3">
      <c r="B202" s="292"/>
      <c r="C202" s="9" t="s">
        <v>179</v>
      </c>
      <c r="D202" s="86">
        <v>45.619592900784134</v>
      </c>
      <c r="E202" s="86">
        <v>29.995319793344244</v>
      </c>
      <c r="F202" s="88">
        <v>37.588864300586053</v>
      </c>
      <c r="G202" s="88">
        <v>22.114593542182011</v>
      </c>
      <c r="H202" s="88">
        <v>56.31826889857858</v>
      </c>
      <c r="I202" s="86">
        <v>12.506089729988478</v>
      </c>
      <c r="J202" s="86">
        <v>8.6095253192889256</v>
      </c>
      <c r="K202" s="92">
        <v>16.599710248944199</v>
      </c>
      <c r="L202" s="86">
        <v>15.148458118986156</v>
      </c>
      <c r="M202" s="88">
        <v>22.350884460749761</v>
      </c>
      <c r="N202" s="86">
        <v>21.403304943790076</v>
      </c>
      <c r="O202" s="86">
        <v>9.6608027485293917</v>
      </c>
      <c r="P202" s="86">
        <v>1.2706324952208343</v>
      </c>
      <c r="Q202" s="92">
        <v>0.81395249902736322</v>
      </c>
    </row>
    <row r="203" spans="2:17" x14ac:dyDescent="0.3">
      <c r="B203" s="298"/>
      <c r="C203" s="12" t="s">
        <v>180</v>
      </c>
      <c r="D203" s="90">
        <v>37.791397602936286</v>
      </c>
      <c r="E203" s="90">
        <v>34.19498292373671</v>
      </c>
      <c r="F203" s="91">
        <v>33.159718172319828</v>
      </c>
      <c r="G203" s="91">
        <v>24.486816790144083</v>
      </c>
      <c r="H203" s="91">
        <v>68.188532053289634</v>
      </c>
      <c r="I203" s="90">
        <v>7.3124484774447298</v>
      </c>
      <c r="J203" s="90">
        <v>5.8614012927612755</v>
      </c>
      <c r="K203" s="94">
        <v>18.423413822512543</v>
      </c>
      <c r="L203" s="90">
        <v>18.952162704383262</v>
      </c>
      <c r="M203" s="91">
        <v>17.853594780480393</v>
      </c>
      <c r="N203" s="90">
        <v>21.629543764026891</v>
      </c>
      <c r="O203" s="90">
        <v>10.264699802587595</v>
      </c>
      <c r="P203" s="90">
        <v>1.8812878133767443</v>
      </c>
      <c r="Q203" s="94">
        <v>0</v>
      </c>
    </row>
    <row r="204" spans="2:17" x14ac:dyDescent="0.3">
      <c r="B204" s="292" t="s">
        <v>223</v>
      </c>
      <c r="C204" s="9" t="s">
        <v>210</v>
      </c>
      <c r="D204" s="86">
        <v>42.370146552648855</v>
      </c>
      <c r="E204" s="86">
        <v>10.625963862111847</v>
      </c>
      <c r="F204" s="88">
        <v>33.969735001885695</v>
      </c>
      <c r="G204" s="88">
        <v>32.09780304479419</v>
      </c>
      <c r="H204" s="88">
        <v>63.970110449291894</v>
      </c>
      <c r="I204" s="86">
        <v>24.389874537396246</v>
      </c>
      <c r="J204" s="86">
        <v>0</v>
      </c>
      <c r="K204" s="92">
        <v>29.522583060356418</v>
      </c>
      <c r="L204" s="86">
        <v>13.511946970403372</v>
      </c>
      <c r="M204" s="88">
        <v>0</v>
      </c>
      <c r="N204" s="86">
        <v>36.029889550708106</v>
      </c>
      <c r="O204" s="86">
        <v>0</v>
      </c>
      <c r="P204" s="86">
        <v>0</v>
      </c>
      <c r="Q204" s="92">
        <v>13.511946970403372</v>
      </c>
    </row>
    <row r="205" spans="2:17" x14ac:dyDescent="0.3">
      <c r="B205" s="292"/>
      <c r="C205" s="9" t="s">
        <v>211</v>
      </c>
      <c r="D205" s="86">
        <v>21.449994746898728</v>
      </c>
      <c r="E205" s="86">
        <v>38.264731396038535</v>
      </c>
      <c r="F205" s="88">
        <v>65.581103702792305</v>
      </c>
      <c r="G205" s="88">
        <v>44.893511947364608</v>
      </c>
      <c r="H205" s="88">
        <v>36.857748732870256</v>
      </c>
      <c r="I205" s="86">
        <v>26.394678160155856</v>
      </c>
      <c r="J205" s="86">
        <v>19.202672416370042</v>
      </c>
      <c r="K205" s="92">
        <v>12.45547595814034</v>
      </c>
      <c r="L205" s="86">
        <v>8.5610277305033229</v>
      </c>
      <c r="M205" s="88">
        <v>9.5423302820160831</v>
      </c>
      <c r="N205" s="86">
        <v>11.000213574379394</v>
      </c>
      <c r="O205" s="86">
        <v>3.8905681903223757</v>
      </c>
      <c r="P205" s="86">
        <v>1.9059431621481326</v>
      </c>
      <c r="Q205" s="92">
        <v>0</v>
      </c>
    </row>
    <row r="206" spans="2:17" x14ac:dyDescent="0.3">
      <c r="B206" s="292"/>
      <c r="C206" s="9" t="s">
        <v>212</v>
      </c>
      <c r="D206" s="86">
        <v>29.027999041578568</v>
      </c>
      <c r="E206" s="86">
        <v>36.568633350781539</v>
      </c>
      <c r="F206" s="88">
        <v>75.344951081230334</v>
      </c>
      <c r="G206" s="88">
        <v>36.016769372956894</v>
      </c>
      <c r="H206" s="88">
        <v>47.325539563449418</v>
      </c>
      <c r="I206" s="86">
        <v>20.369180752010571</v>
      </c>
      <c r="J206" s="86">
        <v>12.834070494350316</v>
      </c>
      <c r="K206" s="92">
        <v>9.8711565952596132</v>
      </c>
      <c r="L206" s="86">
        <v>3.8790689627697064</v>
      </c>
      <c r="M206" s="88">
        <v>9.2088485378888425</v>
      </c>
      <c r="N206" s="86">
        <v>14.404836725142628</v>
      </c>
      <c r="O206" s="86">
        <v>2.4185682760078606</v>
      </c>
      <c r="P206" s="86">
        <v>2.7303772465737453</v>
      </c>
      <c r="Q206" s="92">
        <v>0</v>
      </c>
    </row>
    <row r="207" spans="2:17" x14ac:dyDescent="0.3">
      <c r="B207" s="292"/>
      <c r="C207" s="9" t="s">
        <v>213</v>
      </c>
      <c r="D207" s="86">
        <v>46.119870566439957</v>
      </c>
      <c r="E207" s="86">
        <v>34.073380312635706</v>
      </c>
      <c r="F207" s="88">
        <v>39.685155113954714</v>
      </c>
      <c r="G207" s="88">
        <v>35.111290914505759</v>
      </c>
      <c r="H207" s="88">
        <v>59.770253045608854</v>
      </c>
      <c r="I207" s="86">
        <v>8.0460080513730272</v>
      </c>
      <c r="J207" s="86">
        <v>8.3567796156003702</v>
      </c>
      <c r="K207" s="92">
        <v>10.78059027052328</v>
      </c>
      <c r="L207" s="86">
        <v>14.630451873567548</v>
      </c>
      <c r="M207" s="88">
        <v>13.926538870159554</v>
      </c>
      <c r="N207" s="86">
        <v>22.508526271385186</v>
      </c>
      <c r="O207" s="86">
        <v>6.991155094246114</v>
      </c>
      <c r="P207" s="86">
        <v>0</v>
      </c>
      <c r="Q207" s="92">
        <v>0</v>
      </c>
    </row>
    <row r="208" spans="2:17" x14ac:dyDescent="0.3">
      <c r="B208" s="292"/>
      <c r="C208" s="9" t="s">
        <v>214</v>
      </c>
      <c r="D208" s="86">
        <v>43.856223994515638</v>
      </c>
      <c r="E208" s="86">
        <v>33.213239066884832</v>
      </c>
      <c r="F208" s="88">
        <v>37.052200629658152</v>
      </c>
      <c r="G208" s="88">
        <v>24.663705313794253</v>
      </c>
      <c r="H208" s="88">
        <v>53.987954298523022</v>
      </c>
      <c r="I208" s="86">
        <v>12.149775856027963</v>
      </c>
      <c r="J208" s="86">
        <v>9.9385240335483385</v>
      </c>
      <c r="K208" s="92">
        <v>16.96061284518046</v>
      </c>
      <c r="L208" s="86">
        <v>14.616185102611629</v>
      </c>
      <c r="M208" s="88">
        <v>21.800431622380529</v>
      </c>
      <c r="N208" s="86">
        <v>21.814438017456904</v>
      </c>
      <c r="O208" s="86">
        <v>7.5756205192098358</v>
      </c>
      <c r="P208" s="86">
        <v>1.0139929876542801</v>
      </c>
      <c r="Q208" s="92">
        <v>1.357095712554264</v>
      </c>
    </row>
    <row r="209" spans="2:17" x14ac:dyDescent="0.3">
      <c r="B209" s="292"/>
      <c r="C209" s="12" t="s">
        <v>215</v>
      </c>
      <c r="D209" s="90">
        <v>36.191010566456313</v>
      </c>
      <c r="E209" s="90">
        <v>39.087329634602739</v>
      </c>
      <c r="F209" s="91">
        <v>35.171804261456785</v>
      </c>
      <c r="G209" s="91">
        <v>25.526687184493795</v>
      </c>
      <c r="H209" s="91">
        <v>66.945257464157422</v>
      </c>
      <c r="I209" s="90">
        <v>2.4408060900193864</v>
      </c>
      <c r="J209" s="90">
        <v>6.2734272419446135</v>
      </c>
      <c r="K209" s="94">
        <v>11.926214953311447</v>
      </c>
      <c r="L209" s="90">
        <v>17.676811700344981</v>
      </c>
      <c r="M209" s="91">
        <v>19.070914497425896</v>
      </c>
      <c r="N209" s="90">
        <v>28.825536853128526</v>
      </c>
      <c r="O209" s="90">
        <v>10.129855616998789</v>
      </c>
      <c r="P209" s="90">
        <v>0.73434393565936651</v>
      </c>
      <c r="Q209" s="94">
        <v>0</v>
      </c>
    </row>
    <row r="210" spans="2:17" x14ac:dyDescent="0.3">
      <c r="B210" s="292"/>
      <c r="C210" s="9" t="s">
        <v>216</v>
      </c>
      <c r="D210" s="86">
        <v>45.046246798023695</v>
      </c>
      <c r="E210" s="86">
        <v>31.466555817286352</v>
      </c>
      <c r="F210" s="88">
        <v>86.283698019743966</v>
      </c>
      <c r="G210" s="88">
        <v>35.130218710535274</v>
      </c>
      <c r="H210" s="88">
        <v>11.434568505333482</v>
      </c>
      <c r="I210" s="86">
        <v>16.210175067575328</v>
      </c>
      <c r="J210" s="86">
        <v>0</v>
      </c>
      <c r="K210" s="92">
        <v>24.638833297956204</v>
      </c>
      <c r="L210" s="86">
        <v>11.434568505333482</v>
      </c>
      <c r="M210" s="88">
        <v>13.716301980256047</v>
      </c>
      <c r="N210" s="86">
        <v>10.922531317700161</v>
      </c>
      <c r="O210" s="86">
        <v>0</v>
      </c>
      <c r="P210" s="86">
        <v>0</v>
      </c>
      <c r="Q210" s="92">
        <v>13.716301980256047</v>
      </c>
    </row>
    <row r="211" spans="2:17" x14ac:dyDescent="0.3">
      <c r="B211" s="292"/>
      <c r="C211" s="9" t="s">
        <v>217</v>
      </c>
      <c r="D211" s="86">
        <v>29.445816654144675</v>
      </c>
      <c r="E211" s="86">
        <v>40.182627627715569</v>
      </c>
      <c r="F211" s="88">
        <v>77.020359660462574</v>
      </c>
      <c r="G211" s="88">
        <v>34.299509802472642</v>
      </c>
      <c r="H211" s="88">
        <v>52.714416143889252</v>
      </c>
      <c r="I211" s="86">
        <v>18.315513673745528</v>
      </c>
      <c r="J211" s="86">
        <v>13.254517504773276</v>
      </c>
      <c r="K211" s="92">
        <v>7.5650303904252301</v>
      </c>
      <c r="L211" s="86">
        <v>9.4890261925695807</v>
      </c>
      <c r="M211" s="88">
        <v>10.323443014590021</v>
      </c>
      <c r="N211" s="86">
        <v>5.4657435330672728</v>
      </c>
      <c r="O211" s="86">
        <v>1.9239958021443511</v>
      </c>
      <c r="P211" s="86">
        <v>0</v>
      </c>
      <c r="Q211" s="92">
        <v>0</v>
      </c>
    </row>
    <row r="212" spans="2:17" x14ac:dyDescent="0.3">
      <c r="B212" s="292"/>
      <c r="C212" s="9" t="s">
        <v>218</v>
      </c>
      <c r="D212" s="86">
        <v>30.030579991342609</v>
      </c>
      <c r="E212" s="86">
        <v>45.977593380394865</v>
      </c>
      <c r="F212" s="88">
        <v>67.730137505360801</v>
      </c>
      <c r="G212" s="88">
        <v>32.478150970387112</v>
      </c>
      <c r="H212" s="88">
        <v>49.579960193436705</v>
      </c>
      <c r="I212" s="86">
        <v>10.882942788971357</v>
      </c>
      <c r="J212" s="86">
        <v>11.484567020205182</v>
      </c>
      <c r="K212" s="92">
        <v>15.083184342563936</v>
      </c>
      <c r="L212" s="86">
        <v>10.554638379089312</v>
      </c>
      <c r="M212" s="88">
        <v>13.403422101990396</v>
      </c>
      <c r="N212" s="86">
        <v>10.559267848160605</v>
      </c>
      <c r="O212" s="86">
        <v>2.2355554780970928</v>
      </c>
      <c r="P212" s="86">
        <v>0</v>
      </c>
      <c r="Q212" s="92">
        <v>0</v>
      </c>
    </row>
    <row r="213" spans="2:17" x14ac:dyDescent="0.3">
      <c r="B213" s="292"/>
      <c r="C213" s="9" t="s">
        <v>219</v>
      </c>
      <c r="D213" s="86">
        <v>29.770159681099262</v>
      </c>
      <c r="E213" s="86">
        <v>26.92555350679217</v>
      </c>
      <c r="F213" s="88">
        <v>38.026686484490796</v>
      </c>
      <c r="G213" s="88">
        <v>28.876911847485619</v>
      </c>
      <c r="H213" s="88">
        <v>60.826539758381635</v>
      </c>
      <c r="I213" s="86">
        <v>16.112863419619984</v>
      </c>
      <c r="J213" s="86">
        <v>6.5507143988556189</v>
      </c>
      <c r="K213" s="92">
        <v>12.767531174058503</v>
      </c>
      <c r="L213" s="86">
        <v>18.27365652779077</v>
      </c>
      <c r="M213" s="88">
        <v>26.649749630317771</v>
      </c>
      <c r="N213" s="86">
        <v>17.641866550099444</v>
      </c>
      <c r="O213" s="86">
        <v>10.328318882373878</v>
      </c>
      <c r="P213" s="86">
        <v>5.9912652112741895</v>
      </c>
      <c r="Q213" s="92">
        <v>1.2581829273603942</v>
      </c>
    </row>
    <row r="214" spans="2:17" x14ac:dyDescent="0.3">
      <c r="B214" s="292"/>
      <c r="C214" s="9" t="s">
        <v>220</v>
      </c>
      <c r="D214" s="86">
        <v>48.262171307764952</v>
      </c>
      <c r="E214" s="86">
        <v>25.17295734982088</v>
      </c>
      <c r="F214" s="88">
        <v>38.393106579988668</v>
      </c>
      <c r="G214" s="88">
        <v>18.294503655887027</v>
      </c>
      <c r="H214" s="88">
        <v>59.810470117329913</v>
      </c>
      <c r="I214" s="86">
        <v>13.0400604414423</v>
      </c>
      <c r="J214" s="86">
        <v>6.6178925459521949</v>
      </c>
      <c r="K214" s="92">
        <v>16.058862894515418</v>
      </c>
      <c r="L214" s="86">
        <v>15.946120579002168</v>
      </c>
      <c r="M214" s="88">
        <v>23.175791137716168</v>
      </c>
      <c r="N214" s="86">
        <v>20.787182373518199</v>
      </c>
      <c r="O214" s="86">
        <v>12.785649463378448</v>
      </c>
      <c r="P214" s="86">
        <v>1.6552315536837126</v>
      </c>
      <c r="Q214" s="92">
        <v>0</v>
      </c>
    </row>
    <row r="215" spans="2:17" x14ac:dyDescent="0.3">
      <c r="B215" s="295"/>
      <c r="C215" s="9" t="s">
        <v>221</v>
      </c>
      <c r="D215" s="86">
        <v>39.712199599565821</v>
      </c>
      <c r="E215" s="86">
        <v>28.323134979314133</v>
      </c>
      <c r="F215" s="88">
        <v>30.744790477138405</v>
      </c>
      <c r="G215" s="88">
        <v>23.238752987967779</v>
      </c>
      <c r="H215" s="88">
        <v>69.680723791118638</v>
      </c>
      <c r="I215" s="86">
        <v>13.15944686679269</v>
      </c>
      <c r="J215" s="86">
        <v>5.3668832494289198</v>
      </c>
      <c r="K215" s="92">
        <v>26.221422851572129</v>
      </c>
      <c r="L215" s="86">
        <v>20.482852905641277</v>
      </c>
      <c r="M215" s="88">
        <v>16.392554363664495</v>
      </c>
      <c r="N215" s="86">
        <v>12.992834281750451</v>
      </c>
      <c r="O215" s="86">
        <v>10.426541266564055</v>
      </c>
      <c r="P215" s="86">
        <v>3.2578623794811779</v>
      </c>
      <c r="Q215" s="92">
        <v>0</v>
      </c>
    </row>
    <row r="216" spans="2:17" ht="16.5" customHeight="1" x14ac:dyDescent="0.3">
      <c r="B216" s="291" t="s">
        <v>222</v>
      </c>
      <c r="C216" s="13" t="s">
        <v>226</v>
      </c>
      <c r="D216" s="84">
        <v>28.768052272447509</v>
      </c>
      <c r="E216" s="84">
        <v>34.015384371510784</v>
      </c>
      <c r="F216" s="89">
        <v>59.026843009534481</v>
      </c>
      <c r="G216" s="89">
        <v>38.845752358125921</v>
      </c>
      <c r="H216" s="89">
        <v>50.529718392920095</v>
      </c>
      <c r="I216" s="84">
        <v>16.166943974920461</v>
      </c>
      <c r="J216" s="84">
        <v>11.396622101126667</v>
      </c>
      <c r="K216" s="93">
        <v>12.463705577394563</v>
      </c>
      <c r="L216" s="84">
        <v>11.289664935474828</v>
      </c>
      <c r="M216" s="89">
        <v>12.166117114023619</v>
      </c>
      <c r="N216" s="84">
        <v>16.022150145022337</v>
      </c>
      <c r="O216" s="84">
        <v>6.7082426942033591</v>
      </c>
      <c r="P216" s="84">
        <v>1.6707336307155405</v>
      </c>
      <c r="Q216" s="93">
        <v>0.93006942257987579</v>
      </c>
    </row>
    <row r="217" spans="2:17" ht="16.5" customHeight="1" x14ac:dyDescent="0.3">
      <c r="B217" s="294"/>
      <c r="C217" s="9" t="s">
        <v>227</v>
      </c>
      <c r="D217" s="86">
        <v>31.884004415370924</v>
      </c>
      <c r="E217" s="86">
        <v>27.216269137689864</v>
      </c>
      <c r="F217" s="88">
        <v>51.547719005110991</v>
      </c>
      <c r="G217" s="88">
        <v>35.120040089855948</v>
      </c>
      <c r="H217" s="88">
        <v>59.969688942112434</v>
      </c>
      <c r="I217" s="86">
        <v>7.4161566462994379</v>
      </c>
      <c r="J217" s="86">
        <v>11.829502231695681</v>
      </c>
      <c r="K217" s="92">
        <v>18.48442552223791</v>
      </c>
      <c r="L217" s="86">
        <v>13.613280333115723</v>
      </c>
      <c r="M217" s="88">
        <v>17.575496362774622</v>
      </c>
      <c r="N217" s="86">
        <v>17.079797406575231</v>
      </c>
      <c r="O217" s="86">
        <v>7.6298459690373823</v>
      </c>
      <c r="P217" s="86">
        <v>0.63377393812376637</v>
      </c>
      <c r="Q217" s="92">
        <v>0</v>
      </c>
    </row>
    <row r="218" spans="2:17" x14ac:dyDescent="0.3">
      <c r="B218" s="292"/>
      <c r="C218" s="9" t="s">
        <v>228</v>
      </c>
      <c r="D218" s="86">
        <v>37.581692447356374</v>
      </c>
      <c r="E218" s="86">
        <v>33.554473260606791</v>
      </c>
      <c r="F218" s="88">
        <v>47.131408505608896</v>
      </c>
      <c r="G218" s="88">
        <v>31.604519533112317</v>
      </c>
      <c r="H218" s="88">
        <v>52.559310830915351</v>
      </c>
      <c r="I218" s="86">
        <v>17.029123923607177</v>
      </c>
      <c r="J218" s="86">
        <v>11.188151107423202</v>
      </c>
      <c r="K218" s="92">
        <v>14.951084184918523</v>
      </c>
      <c r="L218" s="86">
        <v>10.1103974061614</v>
      </c>
      <c r="M218" s="88">
        <v>18.572319129664418</v>
      </c>
      <c r="N218" s="86">
        <v>16.995883290972969</v>
      </c>
      <c r="O218" s="86">
        <v>5.9957869205025789</v>
      </c>
      <c r="P218" s="86">
        <v>2.1016127705537326</v>
      </c>
      <c r="Q218" s="92">
        <v>0.62423668859638148</v>
      </c>
    </row>
    <row r="219" spans="2:17" x14ac:dyDescent="0.3">
      <c r="B219" s="295"/>
      <c r="C219" s="12" t="s">
        <v>229</v>
      </c>
      <c r="D219" s="90">
        <v>44.189079998945566</v>
      </c>
      <c r="E219" s="90">
        <v>37.80033036976635</v>
      </c>
      <c r="F219" s="91">
        <v>39.078858798993522</v>
      </c>
      <c r="G219" s="91">
        <v>20.420309754431067</v>
      </c>
      <c r="H219" s="91">
        <v>59.704757604231361</v>
      </c>
      <c r="I219" s="90">
        <v>12.701934095620802</v>
      </c>
      <c r="J219" s="90">
        <v>5.6595943710946743</v>
      </c>
      <c r="K219" s="94">
        <v>13.459319353605045</v>
      </c>
      <c r="L219" s="90">
        <v>17.815799226318944</v>
      </c>
      <c r="M219" s="91">
        <v>17.105798051906866</v>
      </c>
      <c r="N219" s="90">
        <v>21.227493884578074</v>
      </c>
      <c r="O219" s="90">
        <v>8.3420645407793028</v>
      </c>
      <c r="P219" s="90">
        <v>1.7946744648628654</v>
      </c>
      <c r="Q219" s="94">
        <v>0.69998548486538426</v>
      </c>
    </row>
    <row r="220" spans="2:17" x14ac:dyDescent="0.3">
      <c r="B220" s="296" t="s">
        <v>199</v>
      </c>
      <c r="C220" s="13" t="s">
        <v>192</v>
      </c>
      <c r="D220" s="84">
        <v>37.802651569536614</v>
      </c>
      <c r="E220" s="84">
        <v>38.012845817165903</v>
      </c>
      <c r="F220" s="89">
        <v>49.431202408028263</v>
      </c>
      <c r="G220" s="89">
        <v>29.123018501099434</v>
      </c>
      <c r="H220" s="89">
        <v>55.323705330865558</v>
      </c>
      <c r="I220" s="84">
        <v>14.541329662989844</v>
      </c>
      <c r="J220" s="84">
        <v>8.1596334038320553</v>
      </c>
      <c r="K220" s="93">
        <v>13.803523307641633</v>
      </c>
      <c r="L220" s="84">
        <v>13.212795117324927</v>
      </c>
      <c r="M220" s="89">
        <v>16.596834697186225</v>
      </c>
      <c r="N220" s="84">
        <v>16.368032016185737</v>
      </c>
      <c r="O220" s="84">
        <v>5.181096410429376</v>
      </c>
      <c r="P220" s="84">
        <v>1.7557637403238322</v>
      </c>
      <c r="Q220" s="93">
        <v>0.68756801739052842</v>
      </c>
    </row>
    <row r="221" spans="2:17" x14ac:dyDescent="0.3">
      <c r="B221" s="292"/>
      <c r="C221" s="9" t="s">
        <v>200</v>
      </c>
      <c r="D221" s="86">
        <v>41.293170289346612</v>
      </c>
      <c r="E221" s="86">
        <v>33.707443643566386</v>
      </c>
      <c r="F221" s="88">
        <v>36.5986859195826</v>
      </c>
      <c r="G221" s="88">
        <v>24.631034735895291</v>
      </c>
      <c r="H221" s="88">
        <v>50.886707345383272</v>
      </c>
      <c r="I221" s="86">
        <v>13.741635232299215</v>
      </c>
      <c r="J221" s="86">
        <v>7.2945774119248199</v>
      </c>
      <c r="K221" s="92">
        <v>19.750048849628843</v>
      </c>
      <c r="L221" s="86">
        <v>10.640032883353502</v>
      </c>
      <c r="M221" s="88">
        <v>11.035866276995412</v>
      </c>
      <c r="N221" s="86">
        <v>30.964353671247135</v>
      </c>
      <c r="O221" s="86">
        <v>19.456443740777008</v>
      </c>
      <c r="P221" s="86">
        <v>0</v>
      </c>
      <c r="Q221" s="92">
        <v>0</v>
      </c>
    </row>
    <row r="222" spans="2:17" x14ac:dyDescent="0.3">
      <c r="B222" s="292"/>
      <c r="C222" s="9" t="s">
        <v>201</v>
      </c>
      <c r="D222" s="86">
        <v>35.857376637004286</v>
      </c>
      <c r="E222" s="86">
        <v>29.245630622992152</v>
      </c>
      <c r="F222" s="88">
        <v>48.615866486440304</v>
      </c>
      <c r="G222" s="88">
        <v>29.575946295998989</v>
      </c>
      <c r="H222" s="88">
        <v>58.138114583720899</v>
      </c>
      <c r="I222" s="86">
        <v>10.0647302950842</v>
      </c>
      <c r="J222" s="86">
        <v>16.011387963398722</v>
      </c>
      <c r="K222" s="92">
        <v>13.140272153335065</v>
      </c>
      <c r="L222" s="86">
        <v>16.216537899831966</v>
      </c>
      <c r="M222" s="88">
        <v>15.967247357805741</v>
      </c>
      <c r="N222" s="86">
        <v>17.784305187123547</v>
      </c>
      <c r="O222" s="86">
        <v>8.3205194715519895</v>
      </c>
      <c r="P222" s="86">
        <v>1.0620650457120913</v>
      </c>
      <c r="Q222" s="92">
        <v>0</v>
      </c>
    </row>
    <row r="223" spans="2:17" x14ac:dyDescent="0.3">
      <c r="B223" s="292"/>
      <c r="C223" s="9" t="s">
        <v>202</v>
      </c>
      <c r="D223" s="86">
        <v>34.063833334581396</v>
      </c>
      <c r="E223" s="86">
        <v>31.131545667417903</v>
      </c>
      <c r="F223" s="88">
        <v>44.834392539551693</v>
      </c>
      <c r="G223" s="88">
        <v>28.472709426072356</v>
      </c>
      <c r="H223" s="88">
        <v>57.755551779784177</v>
      </c>
      <c r="I223" s="86">
        <v>11.253046231489499</v>
      </c>
      <c r="J223" s="86">
        <v>18.841851855900511</v>
      </c>
      <c r="K223" s="92">
        <v>11.319580761218848</v>
      </c>
      <c r="L223" s="86">
        <v>15.074524808252349</v>
      </c>
      <c r="M223" s="88">
        <v>17.624967594021655</v>
      </c>
      <c r="N223" s="86">
        <v>15.697561339828292</v>
      </c>
      <c r="O223" s="86">
        <v>11.889171755521499</v>
      </c>
      <c r="P223" s="86">
        <v>1.0705372500559229</v>
      </c>
      <c r="Q223" s="92">
        <v>0.97072565630390151</v>
      </c>
    </row>
    <row r="224" spans="2:17" x14ac:dyDescent="0.3">
      <c r="B224" s="295"/>
      <c r="C224" s="12" t="s">
        <v>203</v>
      </c>
      <c r="D224" s="90">
        <v>37.824034970834077</v>
      </c>
      <c r="E224" s="90">
        <v>24.620754212807721</v>
      </c>
      <c r="F224" s="91">
        <v>41.679953416382752</v>
      </c>
      <c r="G224" s="91">
        <v>30.829477271739254</v>
      </c>
      <c r="H224" s="91">
        <v>60.168386247222472</v>
      </c>
      <c r="I224" s="90">
        <v>11.099752579587721</v>
      </c>
      <c r="J224" s="90">
        <v>6.2830273731297392</v>
      </c>
      <c r="K224" s="94">
        <v>18.682780655238293</v>
      </c>
      <c r="L224" s="90">
        <v>15.472346673140274</v>
      </c>
      <c r="M224" s="91">
        <v>18.623290245295117</v>
      </c>
      <c r="N224" s="90">
        <v>23.48665451690762</v>
      </c>
      <c r="O224" s="90">
        <v>8.9499903005910983</v>
      </c>
      <c r="P224" s="90">
        <v>1.9079627789804512</v>
      </c>
      <c r="Q224" s="94">
        <v>0.37158875814332665</v>
      </c>
    </row>
    <row r="225" spans="2:19" x14ac:dyDescent="0.3">
      <c r="B225" s="291" t="s">
        <v>204</v>
      </c>
      <c r="C225" s="13" t="s">
        <v>192</v>
      </c>
      <c r="D225" s="84">
        <v>37.802651569536614</v>
      </c>
      <c r="E225" s="84">
        <v>38.012845817165903</v>
      </c>
      <c r="F225" s="89">
        <v>49.431202408028263</v>
      </c>
      <c r="G225" s="89">
        <v>29.123018501099434</v>
      </c>
      <c r="H225" s="89">
        <v>55.323705330865558</v>
      </c>
      <c r="I225" s="84">
        <v>14.541329662989844</v>
      </c>
      <c r="J225" s="84">
        <v>8.1596334038320553</v>
      </c>
      <c r="K225" s="93">
        <v>13.803523307641633</v>
      </c>
      <c r="L225" s="84">
        <v>13.212795117324927</v>
      </c>
      <c r="M225" s="89">
        <v>16.596834697186225</v>
      </c>
      <c r="N225" s="84">
        <v>16.368032016185737</v>
      </c>
      <c r="O225" s="84">
        <v>5.181096410429376</v>
      </c>
      <c r="P225" s="84">
        <v>1.7557637403238322</v>
      </c>
      <c r="Q225" s="93">
        <v>0.68756801739052842</v>
      </c>
    </row>
    <row r="226" spans="2:19" x14ac:dyDescent="0.3">
      <c r="B226" s="295"/>
      <c r="C226" s="12" t="s">
        <v>193</v>
      </c>
      <c r="D226" s="90">
        <v>37.009119370989303</v>
      </c>
      <c r="E226" s="90">
        <v>27.7950545407882</v>
      </c>
      <c r="F226" s="91">
        <v>43.177794073604659</v>
      </c>
      <c r="G226" s="91">
        <v>29.468772287088164</v>
      </c>
      <c r="H226" s="91">
        <v>58.332687097685231</v>
      </c>
      <c r="I226" s="90">
        <v>11.196114805216201</v>
      </c>
      <c r="J226" s="90">
        <v>10.895337178926958</v>
      </c>
      <c r="K226" s="94">
        <v>16.177850362077994</v>
      </c>
      <c r="L226" s="90">
        <v>15.047053534075195</v>
      </c>
      <c r="M226" s="91">
        <v>17.130147499017824</v>
      </c>
      <c r="N226" s="90">
        <v>21.509640936673122</v>
      </c>
      <c r="O226" s="90">
        <v>10.498694518706886</v>
      </c>
      <c r="P226" s="90">
        <v>1.3759175021991268</v>
      </c>
      <c r="Q226" s="94">
        <v>0.38581629295144892</v>
      </c>
    </row>
    <row r="227" spans="2:19" ht="16.5" customHeight="1" x14ac:dyDescent="0.3">
      <c r="B227" s="291" t="s">
        <v>209</v>
      </c>
      <c r="C227" s="13" t="s">
        <v>205</v>
      </c>
      <c r="D227" s="84">
        <v>36.24838916729361</v>
      </c>
      <c r="E227" s="84">
        <v>33.42647357816454</v>
      </c>
      <c r="F227" s="89">
        <v>59.322459121530301</v>
      </c>
      <c r="G227" s="89">
        <v>36.967122853268997</v>
      </c>
      <c r="H227" s="89">
        <v>50.764939622624951</v>
      </c>
      <c r="I227" s="84">
        <v>19.646955190204892</v>
      </c>
      <c r="J227" s="84">
        <v>10.465332433514535</v>
      </c>
      <c r="K227" s="93">
        <v>14.699227838512257</v>
      </c>
      <c r="L227" s="84">
        <v>9.8588025807847508</v>
      </c>
      <c r="M227" s="89">
        <v>7.3392063586106335</v>
      </c>
      <c r="N227" s="84">
        <v>16.139023963723982</v>
      </c>
      <c r="O227" s="84">
        <v>5.1220672917665695</v>
      </c>
      <c r="P227" s="84">
        <v>0</v>
      </c>
      <c r="Q227" s="93">
        <v>0</v>
      </c>
    </row>
    <row r="228" spans="2:19" x14ac:dyDescent="0.3">
      <c r="B228" s="292"/>
      <c r="C228" s="9" t="s">
        <v>206</v>
      </c>
      <c r="D228" s="86">
        <v>34.296358852694894</v>
      </c>
      <c r="E228" s="86">
        <v>31.780282539301297</v>
      </c>
      <c r="F228" s="88">
        <v>45.303290408004521</v>
      </c>
      <c r="G228" s="88">
        <v>36.056846448851779</v>
      </c>
      <c r="H228" s="88">
        <v>68.163155575662699</v>
      </c>
      <c r="I228" s="86">
        <v>10.027509689021477</v>
      </c>
      <c r="J228" s="86">
        <v>5.5055727545935973</v>
      </c>
      <c r="K228" s="92">
        <v>10.635572766544664</v>
      </c>
      <c r="L228" s="86">
        <v>12.232936908365485</v>
      </c>
      <c r="M228" s="88">
        <v>15.392297728997677</v>
      </c>
      <c r="N228" s="86">
        <v>18.661689684637729</v>
      </c>
      <c r="O228" s="86">
        <v>10.941068132824514</v>
      </c>
      <c r="P228" s="86">
        <v>0</v>
      </c>
      <c r="Q228" s="92">
        <v>1.0034185104998019</v>
      </c>
    </row>
    <row r="229" spans="2:19" x14ac:dyDescent="0.3">
      <c r="B229" s="292"/>
      <c r="C229" s="9" t="s">
        <v>207</v>
      </c>
      <c r="D229" s="86">
        <v>36.180319878022445</v>
      </c>
      <c r="E229" s="86">
        <v>31.628938157264759</v>
      </c>
      <c r="F229" s="88">
        <v>42.575399445434059</v>
      </c>
      <c r="G229" s="88">
        <v>30.384253751481953</v>
      </c>
      <c r="H229" s="88">
        <v>55.164338414440806</v>
      </c>
      <c r="I229" s="86">
        <v>15.342746955320816</v>
      </c>
      <c r="J229" s="86">
        <v>9.0675916280403275</v>
      </c>
      <c r="K229" s="92">
        <v>15.365816517976997</v>
      </c>
      <c r="L229" s="86">
        <v>15.284074295943242</v>
      </c>
      <c r="M229" s="88">
        <v>18.919144344944822</v>
      </c>
      <c r="N229" s="86">
        <v>19.961023356526468</v>
      </c>
      <c r="O229" s="86">
        <v>7.5853979167658059</v>
      </c>
      <c r="P229" s="86">
        <v>1.627048139895924</v>
      </c>
      <c r="Q229" s="92">
        <v>0.91390719794157105</v>
      </c>
    </row>
    <row r="230" spans="2:19" x14ac:dyDescent="0.3">
      <c r="B230" s="293"/>
      <c r="C230" s="25" t="s">
        <v>208</v>
      </c>
      <c r="D230" s="87">
        <v>40.182779292854711</v>
      </c>
      <c r="E230" s="87">
        <v>36.834565788122291</v>
      </c>
      <c r="F230" s="95">
        <v>48.523164095868573</v>
      </c>
      <c r="G230" s="95">
        <v>23.824972814205438</v>
      </c>
      <c r="H230" s="95">
        <v>55.020469225099845</v>
      </c>
      <c r="I230" s="87">
        <v>10.698161750523157</v>
      </c>
      <c r="J230" s="87">
        <v>10.557787557910132</v>
      </c>
      <c r="K230" s="96">
        <v>15.736064642625774</v>
      </c>
      <c r="L230" s="87">
        <v>14.335491281475141</v>
      </c>
      <c r="M230" s="95">
        <v>17.65046226044527</v>
      </c>
      <c r="N230" s="87">
        <v>17.528309664790914</v>
      </c>
      <c r="O230" s="87">
        <v>6.3426065265177982</v>
      </c>
      <c r="P230" s="87">
        <v>2.5550002666683622</v>
      </c>
      <c r="Q230" s="96">
        <v>0.2101648328927781</v>
      </c>
    </row>
    <row r="231" spans="2:19" x14ac:dyDescent="0.3">
      <c r="B231" s="136"/>
    </row>
    <row r="232" spans="2:19" x14ac:dyDescent="0.3">
      <c r="B232" s="60"/>
      <c r="C232" s="9"/>
      <c r="D232" s="58"/>
      <c r="E232" s="58"/>
      <c r="F232" s="50"/>
      <c r="G232" s="58"/>
      <c r="H232" s="50"/>
      <c r="I232" s="58"/>
      <c r="J232" s="58"/>
      <c r="K232" s="58"/>
      <c r="L232" s="50"/>
      <c r="M232" s="58"/>
      <c r="N232" s="58"/>
    </row>
    <row r="233" spans="2:19" x14ac:dyDescent="0.3">
      <c r="B233" s="1" t="s">
        <v>489</v>
      </c>
      <c r="D233" s="59"/>
      <c r="E233" s="304"/>
      <c r="F233" s="304"/>
      <c r="G233" s="304"/>
      <c r="H233" s="304"/>
      <c r="I233" s="304"/>
      <c r="J233" s="304"/>
      <c r="K233" s="304"/>
      <c r="L233" s="304"/>
      <c r="M233" s="304"/>
      <c r="N233" s="304"/>
      <c r="O233" s="304"/>
      <c r="P233" s="304"/>
      <c r="Q233" s="304"/>
      <c r="R233" s="304"/>
      <c r="S233" s="304"/>
    </row>
    <row r="234" spans="2:19" ht="10.5" customHeight="1" x14ac:dyDescent="0.3"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30"/>
      <c r="O234" s="30"/>
      <c r="P234" s="30" t="s">
        <v>52</v>
      </c>
    </row>
    <row r="235" spans="2:19" s="125" customFormat="1" ht="27" x14ac:dyDescent="0.3">
      <c r="B235" s="297"/>
      <c r="C235" s="297"/>
      <c r="D235" s="215" t="s">
        <v>57</v>
      </c>
      <c r="E235" s="215" t="s">
        <v>59</v>
      </c>
      <c r="F235" s="215" t="s">
        <v>126</v>
      </c>
      <c r="G235" s="215" t="s">
        <v>58</v>
      </c>
      <c r="H235" s="215" t="s">
        <v>127</v>
      </c>
      <c r="I235" s="202" t="s">
        <v>376</v>
      </c>
      <c r="J235" s="215" t="s">
        <v>60</v>
      </c>
      <c r="K235" s="215" t="s">
        <v>61</v>
      </c>
      <c r="L235" s="215" t="s">
        <v>128</v>
      </c>
      <c r="M235" s="215" t="s">
        <v>129</v>
      </c>
      <c r="N235" s="202" t="s">
        <v>377</v>
      </c>
      <c r="O235" s="215" t="s">
        <v>130</v>
      </c>
      <c r="P235" s="215" t="s">
        <v>38</v>
      </c>
      <c r="Q235" s="126"/>
    </row>
    <row r="236" spans="2:19" ht="21.75" customHeight="1" x14ac:dyDescent="0.3">
      <c r="B236" s="292" t="s">
        <v>20</v>
      </c>
      <c r="C236" s="292"/>
      <c r="D236" s="86">
        <v>13.477548109202825</v>
      </c>
      <c r="E236" s="86">
        <v>18.112562816510383</v>
      </c>
      <c r="F236" s="88">
        <v>29.105970587588381</v>
      </c>
      <c r="G236" s="86">
        <v>5.7236252363801796</v>
      </c>
      <c r="H236" s="88">
        <v>8.1649932665066949</v>
      </c>
      <c r="I236" s="86">
        <v>11.440882289257223</v>
      </c>
      <c r="J236" s="86">
        <v>4.2656147904697539</v>
      </c>
      <c r="K236" s="86">
        <v>3.3377881496557711</v>
      </c>
      <c r="L236" s="88">
        <v>3.7210643529224914</v>
      </c>
      <c r="M236" s="86">
        <v>2.0128703129304912</v>
      </c>
      <c r="N236" s="86">
        <v>0.41076345072294024</v>
      </c>
      <c r="O236" s="86">
        <v>8.2731509255454916E-2</v>
      </c>
      <c r="P236" s="86">
        <v>0.14358512859736611</v>
      </c>
    </row>
    <row r="237" spans="2:19" x14ac:dyDescent="0.3">
      <c r="B237" s="296" t="s">
        <v>5</v>
      </c>
      <c r="C237" s="13" t="s">
        <v>0</v>
      </c>
      <c r="D237" s="84">
        <v>12.60795907836064</v>
      </c>
      <c r="E237" s="84">
        <v>17.61779756155331</v>
      </c>
      <c r="F237" s="89">
        <v>29.201956516422239</v>
      </c>
      <c r="G237" s="84">
        <v>6.0730067891550181</v>
      </c>
      <c r="H237" s="89">
        <v>10.214628686787446</v>
      </c>
      <c r="I237" s="84">
        <v>11.934032439983374</v>
      </c>
      <c r="J237" s="84">
        <v>3.9209881527687709</v>
      </c>
      <c r="K237" s="84">
        <v>3.5930284697765069</v>
      </c>
      <c r="L237" s="89">
        <v>3.098297184772659</v>
      </c>
      <c r="M237" s="84">
        <v>1.3064696899753541</v>
      </c>
      <c r="N237" s="84">
        <v>0.19216615346517521</v>
      </c>
      <c r="O237" s="84">
        <v>0</v>
      </c>
      <c r="P237" s="84">
        <v>0.23966927697946144</v>
      </c>
    </row>
    <row r="238" spans="2:19" x14ac:dyDescent="0.3">
      <c r="B238" s="295"/>
      <c r="C238" s="12" t="s">
        <v>1</v>
      </c>
      <c r="D238" s="90">
        <v>14.777034600187871</v>
      </c>
      <c r="E238" s="90">
        <v>18.851924448525025</v>
      </c>
      <c r="F238" s="90">
        <v>28.962532235193954</v>
      </c>
      <c r="G238" s="90">
        <v>5.2015204352299591</v>
      </c>
      <c r="H238" s="90">
        <v>5.1020825746368574</v>
      </c>
      <c r="I238" s="90">
        <v>10.703934218195171</v>
      </c>
      <c r="J238" s="90">
        <v>4.7806139961201515</v>
      </c>
      <c r="K238" s="90">
        <v>2.9563650449618688</v>
      </c>
      <c r="L238" s="90">
        <v>4.6517080171553999</v>
      </c>
      <c r="M238" s="90">
        <v>3.0684931809703309</v>
      </c>
      <c r="N238" s="90">
        <v>0.73742837481609835</v>
      </c>
      <c r="O238" s="90">
        <v>0.20636287400731518</v>
      </c>
      <c r="P238" s="90">
        <v>0</v>
      </c>
    </row>
    <row r="239" spans="2:19" x14ac:dyDescent="0.3">
      <c r="B239" s="296" t="s">
        <v>4</v>
      </c>
      <c r="C239" s="9" t="s">
        <v>175</v>
      </c>
      <c r="D239" s="86">
        <v>26.967090664830124</v>
      </c>
      <c r="E239" s="86">
        <v>27.033316456000083</v>
      </c>
      <c r="F239" s="88">
        <v>17.332446788353316</v>
      </c>
      <c r="G239" s="86">
        <v>0</v>
      </c>
      <c r="H239" s="88">
        <v>10.204105130074858</v>
      </c>
      <c r="I239" s="86">
        <v>0</v>
      </c>
      <c r="J239" s="86">
        <v>0</v>
      </c>
      <c r="K239" s="86">
        <v>5.1080799553674714</v>
      </c>
      <c r="L239" s="88">
        <v>5.8791058599760113</v>
      </c>
      <c r="M239" s="86">
        <v>0</v>
      </c>
      <c r="N239" s="86">
        <v>0</v>
      </c>
      <c r="O239" s="86">
        <v>0</v>
      </c>
      <c r="P239" s="86">
        <v>7.4758551453981417</v>
      </c>
    </row>
    <row r="240" spans="2:19" x14ac:dyDescent="0.3">
      <c r="B240" s="292"/>
      <c r="C240" s="9" t="s">
        <v>176</v>
      </c>
      <c r="D240" s="86">
        <v>24.630965784451959</v>
      </c>
      <c r="E240" s="86">
        <v>19.450393961872116</v>
      </c>
      <c r="F240" s="88">
        <v>26.365391531952049</v>
      </c>
      <c r="G240" s="86">
        <v>8.7627379030464727</v>
      </c>
      <c r="H240" s="88">
        <v>6.4082884371973607</v>
      </c>
      <c r="I240" s="86">
        <v>6.9043837718932455</v>
      </c>
      <c r="J240" s="86">
        <v>1.9203075697296779</v>
      </c>
      <c r="K240" s="86">
        <v>1.7381001627202932</v>
      </c>
      <c r="L240" s="88">
        <v>1.6862036207038786</v>
      </c>
      <c r="M240" s="86">
        <v>2.1332272564329906</v>
      </c>
      <c r="N240" s="86">
        <v>0</v>
      </c>
      <c r="O240" s="86">
        <v>0</v>
      </c>
      <c r="P240" s="86">
        <v>0</v>
      </c>
    </row>
    <row r="241" spans="2:16" x14ac:dyDescent="0.3">
      <c r="B241" s="292"/>
      <c r="C241" s="9" t="s">
        <v>177</v>
      </c>
      <c r="D241" s="86">
        <v>11.007156401486556</v>
      </c>
      <c r="E241" s="86">
        <v>20.600287436325452</v>
      </c>
      <c r="F241" s="88">
        <v>23.784154019448593</v>
      </c>
      <c r="G241" s="86">
        <v>10.684581796591445</v>
      </c>
      <c r="H241" s="88">
        <v>12.239900954442755</v>
      </c>
      <c r="I241" s="86">
        <v>7.494925394428412</v>
      </c>
      <c r="J241" s="86">
        <v>3.8425990102744354</v>
      </c>
      <c r="K241" s="86">
        <v>1.7308617703357998</v>
      </c>
      <c r="L241" s="88">
        <v>3.4359081167168717</v>
      </c>
      <c r="M241" s="86">
        <v>3.4928363862712546</v>
      </c>
      <c r="N241" s="86">
        <v>1.6867887136784883</v>
      </c>
      <c r="O241" s="86">
        <v>0</v>
      </c>
      <c r="P241" s="86">
        <v>0</v>
      </c>
    </row>
    <row r="242" spans="2:16" x14ac:dyDescent="0.3">
      <c r="B242" s="292"/>
      <c r="C242" s="9" t="s">
        <v>178</v>
      </c>
      <c r="D242" s="86">
        <v>16.017446563245137</v>
      </c>
      <c r="E242" s="86">
        <v>23.839537196249086</v>
      </c>
      <c r="F242" s="88">
        <v>27.217821905143648</v>
      </c>
      <c r="G242" s="86">
        <v>6.6707798644864855</v>
      </c>
      <c r="H242" s="88">
        <v>8.5741758447260583</v>
      </c>
      <c r="I242" s="86">
        <v>8.5173166921393761</v>
      </c>
      <c r="J242" s="86">
        <v>2.5563926552883056</v>
      </c>
      <c r="K242" s="86">
        <v>2.0928454907998368</v>
      </c>
      <c r="L242" s="88">
        <v>4.5136837879221305</v>
      </c>
      <c r="M242" s="86">
        <v>0</v>
      </c>
      <c r="N242" s="86">
        <v>0</v>
      </c>
      <c r="O242" s="86">
        <v>0</v>
      </c>
      <c r="P242" s="86">
        <v>0</v>
      </c>
    </row>
    <row r="243" spans="2:16" x14ac:dyDescent="0.3">
      <c r="B243" s="292"/>
      <c r="C243" s="9" t="s">
        <v>179</v>
      </c>
      <c r="D243" s="86">
        <v>8.3209102472113496</v>
      </c>
      <c r="E243" s="86">
        <v>16.869496303636264</v>
      </c>
      <c r="F243" s="88">
        <v>31.907706994759415</v>
      </c>
      <c r="G243" s="86">
        <v>5.1951764375281639</v>
      </c>
      <c r="H243" s="88">
        <v>8.4257754855879323</v>
      </c>
      <c r="I243" s="86">
        <v>13.218600766073912</v>
      </c>
      <c r="J243" s="86">
        <v>6.3125675302827675</v>
      </c>
      <c r="K243" s="86">
        <v>3.1089889329364211</v>
      </c>
      <c r="L243" s="88">
        <v>3.3704595723999766</v>
      </c>
      <c r="M243" s="86">
        <v>3.2703177295838657</v>
      </c>
      <c r="N243" s="86">
        <v>0</v>
      </c>
      <c r="O243" s="86">
        <v>0</v>
      </c>
      <c r="P243" s="86">
        <v>0</v>
      </c>
    </row>
    <row r="244" spans="2:16" x14ac:dyDescent="0.3">
      <c r="B244" s="298"/>
      <c r="C244" s="12" t="s">
        <v>180</v>
      </c>
      <c r="D244" s="90">
        <v>12.010218730439307</v>
      </c>
      <c r="E244" s="90">
        <v>11.979575050933908</v>
      </c>
      <c r="F244" s="91">
        <v>33.360853070037066</v>
      </c>
      <c r="G244" s="90">
        <v>1.0928710770331063</v>
      </c>
      <c r="H244" s="91">
        <v>5.5841920724993814</v>
      </c>
      <c r="I244" s="90">
        <v>17.682427103843747</v>
      </c>
      <c r="J244" s="90">
        <v>5.1330580510860448</v>
      </c>
      <c r="K244" s="90">
        <v>6.3605859410965939</v>
      </c>
      <c r="L244" s="91">
        <v>4.6143733231548048</v>
      </c>
      <c r="M244" s="90">
        <v>1.2381217018461732</v>
      </c>
      <c r="N244" s="90">
        <v>0.59535177031425257</v>
      </c>
      <c r="O244" s="90">
        <v>0.34837210771561128</v>
      </c>
      <c r="P244" s="90">
        <v>0</v>
      </c>
    </row>
    <row r="245" spans="2:16" x14ac:dyDescent="0.3">
      <c r="B245" s="292" t="s">
        <v>223</v>
      </c>
      <c r="C245" s="9" t="s">
        <v>210</v>
      </c>
      <c r="D245" s="86">
        <v>12.369771105242666</v>
      </c>
      <c r="E245" s="86">
        <v>33.616114647628521</v>
      </c>
      <c r="F245" s="88">
        <v>11.433185898033621</v>
      </c>
      <c r="G245" s="86">
        <v>0</v>
      </c>
      <c r="H245" s="88">
        <v>18.443017516579978</v>
      </c>
      <c r="I245" s="86">
        <v>0</v>
      </c>
      <c r="J245" s="86">
        <v>0</v>
      </c>
      <c r="K245" s="86">
        <v>0</v>
      </c>
      <c r="L245" s="88">
        <v>10.625963862111847</v>
      </c>
      <c r="M245" s="86">
        <v>0</v>
      </c>
      <c r="N245" s="86">
        <v>0</v>
      </c>
      <c r="O245" s="86">
        <v>0</v>
      </c>
      <c r="P245" s="86">
        <v>13.511946970403372</v>
      </c>
    </row>
    <row r="246" spans="2:16" x14ac:dyDescent="0.3">
      <c r="B246" s="292"/>
      <c r="C246" s="9" t="s">
        <v>211</v>
      </c>
      <c r="D246" s="86">
        <v>19.73481911781413</v>
      </c>
      <c r="E246" s="86">
        <v>23.175039491892154</v>
      </c>
      <c r="F246" s="88">
        <v>21.105963379630428</v>
      </c>
      <c r="G246" s="86">
        <v>9.4044953104777758</v>
      </c>
      <c r="H246" s="88">
        <v>10.479832645347875</v>
      </c>
      <c r="I246" s="86">
        <v>8.3485841073782066</v>
      </c>
      <c r="J246" s="86">
        <v>3.1403864160588704</v>
      </c>
      <c r="K246" s="86">
        <v>2.842412448295919</v>
      </c>
      <c r="L246" s="88">
        <v>0</v>
      </c>
      <c r="M246" s="86">
        <v>1.7684670831046321</v>
      </c>
      <c r="N246" s="86">
        <v>0</v>
      </c>
      <c r="O246" s="86">
        <v>0</v>
      </c>
      <c r="P246" s="86">
        <v>0</v>
      </c>
    </row>
    <row r="247" spans="2:16" x14ac:dyDescent="0.3">
      <c r="B247" s="292"/>
      <c r="C247" s="9" t="s">
        <v>212</v>
      </c>
      <c r="D247" s="86">
        <v>14.066147176287089</v>
      </c>
      <c r="E247" s="86">
        <v>19.548660261988811</v>
      </c>
      <c r="F247" s="88">
        <v>17.041646016183424</v>
      </c>
      <c r="G247" s="86">
        <v>9.6347200616617883</v>
      </c>
      <c r="H247" s="88">
        <v>18.480194143269379</v>
      </c>
      <c r="I247" s="86">
        <v>6.8050517114680327</v>
      </c>
      <c r="J247" s="86">
        <v>6.2100613811530705</v>
      </c>
      <c r="K247" s="86">
        <v>0</v>
      </c>
      <c r="L247" s="88">
        <v>2.7795481585915534</v>
      </c>
      <c r="M247" s="86">
        <v>4.2689291906848643</v>
      </c>
      <c r="N247" s="86">
        <v>1.1650418987119993</v>
      </c>
      <c r="O247" s="86">
        <v>0</v>
      </c>
      <c r="P247" s="86">
        <v>0</v>
      </c>
    </row>
    <row r="248" spans="2:16" x14ac:dyDescent="0.3">
      <c r="B248" s="292"/>
      <c r="C248" s="9" t="s">
        <v>213</v>
      </c>
      <c r="D248" s="86">
        <v>17.070495635251</v>
      </c>
      <c r="E248" s="86">
        <v>21.036363448405119</v>
      </c>
      <c r="F248" s="88">
        <v>29.475525953785347</v>
      </c>
      <c r="G248" s="86">
        <v>6.3251549399300053</v>
      </c>
      <c r="H248" s="88">
        <v>9.9678492644288053</v>
      </c>
      <c r="I248" s="86">
        <v>7.2541714488399123</v>
      </c>
      <c r="J248" s="86">
        <v>1.782773404981016</v>
      </c>
      <c r="K248" s="86">
        <v>2.0327016472761419</v>
      </c>
      <c r="L248" s="88">
        <v>5.0549642571026858</v>
      </c>
      <c r="M248" s="86">
        <v>0</v>
      </c>
      <c r="N248" s="86">
        <v>0</v>
      </c>
      <c r="O248" s="86">
        <v>0</v>
      </c>
      <c r="P248" s="86">
        <v>0</v>
      </c>
    </row>
    <row r="249" spans="2:16" x14ac:dyDescent="0.3">
      <c r="B249" s="292"/>
      <c r="C249" s="9" t="s">
        <v>214</v>
      </c>
      <c r="D249" s="86">
        <v>9.2473101418190602</v>
      </c>
      <c r="E249" s="86">
        <v>14.57524691825663</v>
      </c>
      <c r="F249" s="88">
        <v>35.072156223570325</v>
      </c>
      <c r="G249" s="86">
        <v>6.242537295249547</v>
      </c>
      <c r="H249" s="88">
        <v>8.0176611403727467</v>
      </c>
      <c r="I249" s="86">
        <v>15.131300556686227</v>
      </c>
      <c r="J249" s="86">
        <v>4.0889620862652292</v>
      </c>
      <c r="K249" s="86">
        <v>3.1532488644156476</v>
      </c>
      <c r="L249" s="88">
        <v>3.6678407452395123</v>
      </c>
      <c r="M249" s="86">
        <v>0.80373602812511691</v>
      </c>
      <c r="N249" s="86">
        <v>0</v>
      </c>
      <c r="O249" s="86">
        <v>0</v>
      </c>
      <c r="P249" s="86">
        <v>0</v>
      </c>
    </row>
    <row r="250" spans="2:16" x14ac:dyDescent="0.3">
      <c r="B250" s="292"/>
      <c r="C250" s="12" t="s">
        <v>215</v>
      </c>
      <c r="D250" s="90">
        <v>7.3648708473036697</v>
      </c>
      <c r="E250" s="90">
        <v>12.184200745882189</v>
      </c>
      <c r="F250" s="91">
        <v>37.150029803483065</v>
      </c>
      <c r="G250" s="90">
        <v>1.4087815229572871</v>
      </c>
      <c r="H250" s="91">
        <v>6.069762560879032</v>
      </c>
      <c r="I250" s="90">
        <v>19.255331917921925</v>
      </c>
      <c r="J250" s="90">
        <v>4.7203930477595186</v>
      </c>
      <c r="K250" s="90">
        <v>9.0683660347656883</v>
      </c>
      <c r="L250" s="91">
        <v>2.0667539635239724</v>
      </c>
      <c r="M250" s="90">
        <v>0.71150955552367512</v>
      </c>
      <c r="N250" s="90">
        <v>0</v>
      </c>
      <c r="O250" s="90">
        <v>0</v>
      </c>
      <c r="P250" s="90">
        <v>0</v>
      </c>
    </row>
    <row r="251" spans="2:16" x14ac:dyDescent="0.3">
      <c r="B251" s="292"/>
      <c r="C251" s="9" t="s">
        <v>216</v>
      </c>
      <c r="D251" s="86">
        <v>45.046246798023695</v>
      </c>
      <c r="E251" s="86">
        <v>18.880351398686631</v>
      </c>
      <c r="F251" s="88">
        <v>24.638833297956204</v>
      </c>
      <c r="G251" s="86">
        <v>0</v>
      </c>
      <c r="H251" s="88">
        <v>0</v>
      </c>
      <c r="I251" s="86">
        <v>0</v>
      </c>
      <c r="J251" s="86">
        <v>0</v>
      </c>
      <c r="K251" s="86">
        <v>11.434568505333482</v>
      </c>
      <c r="L251" s="88">
        <v>0</v>
      </c>
      <c r="M251" s="86">
        <v>0</v>
      </c>
      <c r="N251" s="86">
        <v>0</v>
      </c>
      <c r="O251" s="86">
        <v>0</v>
      </c>
      <c r="P251" s="86">
        <v>0</v>
      </c>
    </row>
    <row r="252" spans="2:16" x14ac:dyDescent="0.3">
      <c r="B252" s="292"/>
      <c r="C252" s="9" t="s">
        <v>217</v>
      </c>
      <c r="D252" s="86">
        <v>32.337113247576241</v>
      </c>
      <c r="E252" s="86">
        <v>13.588096596929947</v>
      </c>
      <c r="F252" s="88">
        <v>34.643315310189166</v>
      </c>
      <c r="G252" s="86">
        <v>7.7526625205183386</v>
      </c>
      <c r="H252" s="88">
        <v>0</v>
      </c>
      <c r="I252" s="86">
        <v>4.6313267110468326</v>
      </c>
      <c r="J252" s="86">
        <v>0</v>
      </c>
      <c r="K252" s="86">
        <v>0</v>
      </c>
      <c r="L252" s="88">
        <v>4.3401547048369951</v>
      </c>
      <c r="M252" s="86">
        <v>2.7073309089024811</v>
      </c>
      <c r="N252" s="86">
        <v>0</v>
      </c>
      <c r="O252" s="86">
        <v>0</v>
      </c>
      <c r="P252" s="86">
        <v>0</v>
      </c>
    </row>
    <row r="253" spans="2:16" x14ac:dyDescent="0.3">
      <c r="B253" s="292"/>
      <c r="C253" s="9" t="s">
        <v>218</v>
      </c>
      <c r="D253" s="86">
        <v>6.0421461574906816</v>
      </c>
      <c r="E253" s="86">
        <v>22.307170548382636</v>
      </c>
      <c r="F253" s="88">
        <v>34.72783570107066</v>
      </c>
      <c r="G253" s="86">
        <v>12.388599445694963</v>
      </c>
      <c r="H253" s="88">
        <v>2.1113579515361431</v>
      </c>
      <c r="I253" s="86">
        <v>8.6146508709410838</v>
      </c>
      <c r="J253" s="86">
        <v>0</v>
      </c>
      <c r="K253" s="86">
        <v>4.5402021879179397</v>
      </c>
      <c r="L253" s="88">
        <v>4.5012378792930203</v>
      </c>
      <c r="M253" s="86">
        <v>2.2331697158294883</v>
      </c>
      <c r="N253" s="86">
        <v>2.5336295418433719</v>
      </c>
      <c r="O253" s="86">
        <v>0</v>
      </c>
      <c r="P253" s="86">
        <v>0</v>
      </c>
    </row>
    <row r="254" spans="2:16" x14ac:dyDescent="0.3">
      <c r="B254" s="292"/>
      <c r="C254" s="9" t="s">
        <v>219</v>
      </c>
      <c r="D254" s="86">
        <v>14.09308967756872</v>
      </c>
      <c r="E254" s="86">
        <v>28.962096863041886</v>
      </c>
      <c r="F254" s="88">
        <v>23.092061342487785</v>
      </c>
      <c r="G254" s="86">
        <v>7.3023797785956512</v>
      </c>
      <c r="H254" s="88">
        <v>6.0273571703782514</v>
      </c>
      <c r="I254" s="86">
        <v>10.825606316214142</v>
      </c>
      <c r="J254" s="86">
        <v>3.970115501446752</v>
      </c>
      <c r="K254" s="86">
        <v>2.2027532078214214</v>
      </c>
      <c r="L254" s="88">
        <v>3.5245401424454093</v>
      </c>
      <c r="M254" s="86">
        <v>0</v>
      </c>
      <c r="N254" s="86">
        <v>0</v>
      </c>
      <c r="O254" s="86">
        <v>0</v>
      </c>
      <c r="P254" s="86">
        <v>0</v>
      </c>
    </row>
    <row r="255" spans="2:16" x14ac:dyDescent="0.3">
      <c r="B255" s="292"/>
      <c r="C255" s="9" t="s">
        <v>220</v>
      </c>
      <c r="D255" s="86">
        <v>6.9326106412598367</v>
      </c>
      <c r="E255" s="86">
        <v>20.307650319214769</v>
      </c>
      <c r="F255" s="88">
        <v>27.165474571177285</v>
      </c>
      <c r="G255" s="86">
        <v>3.6256051600191594</v>
      </c>
      <c r="H255" s="88">
        <v>9.037374200077549</v>
      </c>
      <c r="I255" s="86">
        <v>10.352235623907028</v>
      </c>
      <c r="J255" s="86">
        <v>9.6448547851603106</v>
      </c>
      <c r="K255" s="86">
        <v>3.0426611561418535</v>
      </c>
      <c r="L255" s="88">
        <v>2.9248051984372583</v>
      </c>
      <c r="M255" s="86">
        <v>6.9667283446049746</v>
      </c>
      <c r="N255" s="86">
        <v>0</v>
      </c>
      <c r="O255" s="86">
        <v>0</v>
      </c>
      <c r="P255" s="86">
        <v>0</v>
      </c>
    </row>
    <row r="256" spans="2:16" x14ac:dyDescent="0.3">
      <c r="B256" s="295"/>
      <c r="C256" s="9" t="s">
        <v>221</v>
      </c>
      <c r="D256" s="90">
        <v>17.585615984713087</v>
      </c>
      <c r="E256" s="90">
        <v>11.733981057444151</v>
      </c>
      <c r="F256" s="91">
        <v>28.813041778592414</v>
      </c>
      <c r="G256" s="90">
        <v>0.71371191024683378</v>
      </c>
      <c r="H256" s="91">
        <v>5.001405070153095</v>
      </c>
      <c r="I256" s="90">
        <v>15.794609570633291</v>
      </c>
      <c r="J256" s="90">
        <v>5.628343094179213</v>
      </c>
      <c r="K256" s="90">
        <v>3.1106787050363014</v>
      </c>
      <c r="L256" s="91">
        <v>7.6720538973452292</v>
      </c>
      <c r="M256" s="90">
        <v>1.8701673502103622</v>
      </c>
      <c r="N256" s="90">
        <v>1.3098994659965306</v>
      </c>
      <c r="O256" s="90">
        <v>0.76649211544948093</v>
      </c>
      <c r="P256" s="90">
        <v>0</v>
      </c>
    </row>
    <row r="257" spans="2:16" ht="16.5" customHeight="1" x14ac:dyDescent="0.3">
      <c r="B257" s="291" t="s">
        <v>222</v>
      </c>
      <c r="C257" s="13" t="s">
        <v>226</v>
      </c>
      <c r="D257" s="80">
        <v>24.96126010020301</v>
      </c>
      <c r="E257" s="80">
        <v>16.647419333543823</v>
      </c>
      <c r="F257" s="80">
        <v>24.34722062444115</v>
      </c>
      <c r="G257" s="80">
        <v>11.003427706348875</v>
      </c>
      <c r="H257" s="80">
        <v>6.2399007859297635</v>
      </c>
      <c r="I257" s="80">
        <v>7.7445527483403609</v>
      </c>
      <c r="J257" s="80">
        <v>2.2799149820894109</v>
      </c>
      <c r="K257" s="80">
        <v>1.2496282720618059</v>
      </c>
      <c r="L257" s="80">
        <v>3.2208438582643391</v>
      </c>
      <c r="M257" s="80">
        <v>0.63003511413131996</v>
      </c>
      <c r="N257" s="80">
        <v>0.7457270520662832</v>
      </c>
      <c r="O257" s="80">
        <v>0</v>
      </c>
      <c r="P257" s="80">
        <v>0.93006942257987579</v>
      </c>
    </row>
    <row r="258" spans="2:16" x14ac:dyDescent="0.3">
      <c r="B258" s="294"/>
      <c r="C258" s="9" t="s">
        <v>227</v>
      </c>
      <c r="D258" s="79">
        <v>13.982482962930515</v>
      </c>
      <c r="E258" s="79">
        <v>20.374728105876507</v>
      </c>
      <c r="F258" s="79">
        <v>30.737460366303988</v>
      </c>
      <c r="G258" s="79">
        <v>5.4909477625800909</v>
      </c>
      <c r="H258" s="79">
        <v>9.0052302705016825</v>
      </c>
      <c r="I258" s="79">
        <v>7.4684088263309372</v>
      </c>
      <c r="J258" s="79">
        <v>2.6488835859717073</v>
      </c>
      <c r="K258" s="79">
        <v>3.3135769487528255</v>
      </c>
      <c r="L258" s="79">
        <v>4.0098144112794403</v>
      </c>
      <c r="M258" s="79">
        <v>1.2224934163560703</v>
      </c>
      <c r="N258" s="79">
        <v>1.3642108744826111</v>
      </c>
      <c r="O258" s="79">
        <v>0.38176246863360941</v>
      </c>
      <c r="P258" s="79">
        <v>0</v>
      </c>
    </row>
    <row r="259" spans="2:16" x14ac:dyDescent="0.3">
      <c r="B259" s="292"/>
      <c r="C259" s="9" t="s">
        <v>228</v>
      </c>
      <c r="D259" s="79">
        <v>13.651475633446864</v>
      </c>
      <c r="E259" s="79">
        <v>23.07176403587868</v>
      </c>
      <c r="F259" s="79">
        <v>26.071645162186783</v>
      </c>
      <c r="G259" s="79">
        <v>5.5596679067641768</v>
      </c>
      <c r="H259" s="79">
        <v>8.3609017455452772</v>
      </c>
      <c r="I259" s="79">
        <v>11.258494436558697</v>
      </c>
      <c r="J259" s="79">
        <v>3.7906592069024199</v>
      </c>
      <c r="K259" s="79">
        <v>2.7309656626079772</v>
      </c>
      <c r="L259" s="79">
        <v>4.5061671361083047</v>
      </c>
      <c r="M259" s="79">
        <v>0.99825907400083946</v>
      </c>
      <c r="N259" s="79">
        <v>0</v>
      </c>
      <c r="O259" s="79">
        <v>0</v>
      </c>
      <c r="P259" s="79">
        <v>0</v>
      </c>
    </row>
    <row r="260" spans="2:16" x14ac:dyDescent="0.3">
      <c r="B260" s="295"/>
      <c r="C260" s="12" t="s">
        <v>229</v>
      </c>
      <c r="D260" s="81">
        <v>8.3736353047671006</v>
      </c>
      <c r="E260" s="81">
        <v>14.107172139683549</v>
      </c>
      <c r="F260" s="81">
        <v>32.13848448889744</v>
      </c>
      <c r="G260" s="81">
        <v>3.8065577255416065</v>
      </c>
      <c r="H260" s="81">
        <v>8.3394422458827933</v>
      </c>
      <c r="I260" s="81">
        <v>15.355900381798021</v>
      </c>
      <c r="J260" s="81">
        <v>6.3230012087635776</v>
      </c>
      <c r="K260" s="81">
        <v>4.6104563942208916</v>
      </c>
      <c r="L260" s="81">
        <v>3.2365533755577256</v>
      </c>
      <c r="M260" s="81">
        <v>3.7087967348872439</v>
      </c>
      <c r="N260" s="81">
        <v>0</v>
      </c>
      <c r="O260" s="81">
        <v>0</v>
      </c>
      <c r="P260" s="81">
        <v>0</v>
      </c>
    </row>
    <row r="261" spans="2:16" x14ac:dyDescent="0.3">
      <c r="B261" s="296" t="s">
        <v>199</v>
      </c>
      <c r="C261" s="13" t="s">
        <v>192</v>
      </c>
      <c r="D261" s="80">
        <v>12.654081292645802</v>
      </c>
      <c r="E261" s="80">
        <v>17.478326211866698</v>
      </c>
      <c r="F261" s="80">
        <v>30.645943515704595</v>
      </c>
      <c r="G261" s="80">
        <v>5.3971908515155649</v>
      </c>
      <c r="H261" s="80">
        <v>8.2928665408949964</v>
      </c>
      <c r="I261" s="80">
        <v>12.284294610331768</v>
      </c>
      <c r="J261" s="80">
        <v>4.6321491037009919</v>
      </c>
      <c r="K261" s="80">
        <v>2.9666081097671597</v>
      </c>
      <c r="L261" s="80">
        <v>2.8193263346611057</v>
      </c>
      <c r="M261" s="80">
        <v>2.0885491825866396</v>
      </c>
      <c r="N261" s="80">
        <v>0.49853550997245605</v>
      </c>
      <c r="O261" s="80">
        <v>0</v>
      </c>
      <c r="P261" s="80">
        <v>0.24212873635220455</v>
      </c>
    </row>
    <row r="262" spans="2:16" ht="16.5" customHeight="1" x14ac:dyDescent="0.3">
      <c r="B262" s="292"/>
      <c r="C262" s="9" t="s">
        <v>200</v>
      </c>
      <c r="D262" s="79">
        <v>13.56379474834552</v>
      </c>
      <c r="E262" s="79">
        <v>12.656205519253827</v>
      </c>
      <c r="F262" s="79">
        <v>35.507148390099566</v>
      </c>
      <c r="G262" s="79">
        <v>3.4848426629435791</v>
      </c>
      <c r="H262" s="79">
        <v>5.8399460957843923</v>
      </c>
      <c r="I262" s="79">
        <v>15.723030966998541</v>
      </c>
      <c r="J262" s="79">
        <v>0</v>
      </c>
      <c r="K262" s="79">
        <v>1.3103439697227108</v>
      </c>
      <c r="L262" s="79">
        <v>9.8041477289198777</v>
      </c>
      <c r="M262" s="79">
        <v>2.1105399179320239</v>
      </c>
      <c r="N262" s="79">
        <v>0</v>
      </c>
      <c r="O262" s="79">
        <v>0</v>
      </c>
      <c r="P262" s="79">
        <v>0</v>
      </c>
    </row>
    <row r="263" spans="2:16" ht="16.5" customHeight="1" x14ac:dyDescent="0.3">
      <c r="B263" s="292"/>
      <c r="C263" s="9" t="s">
        <v>201</v>
      </c>
      <c r="D263" s="79">
        <v>15.120387153848561</v>
      </c>
      <c r="E263" s="79">
        <v>25.579948512179051</v>
      </c>
      <c r="F263" s="79">
        <v>21.901800130828487</v>
      </c>
      <c r="G263" s="79">
        <v>8.6169386808186648</v>
      </c>
      <c r="H263" s="79">
        <v>9.4106386372851603</v>
      </c>
      <c r="I263" s="79">
        <v>9.4741847720611645</v>
      </c>
      <c r="J263" s="79">
        <v>0.87181910955664799</v>
      </c>
      <c r="K263" s="79">
        <v>4.8156311387024999</v>
      </c>
      <c r="L263" s="79">
        <v>2.0106519989177678</v>
      </c>
      <c r="M263" s="79">
        <v>1.158322141334055</v>
      </c>
      <c r="N263" s="79">
        <v>0</v>
      </c>
      <c r="O263" s="79">
        <v>1.0396777244679316</v>
      </c>
      <c r="P263" s="79">
        <v>0</v>
      </c>
    </row>
    <row r="264" spans="2:16" x14ac:dyDescent="0.3">
      <c r="B264" s="292"/>
      <c r="C264" s="9" t="s">
        <v>202</v>
      </c>
      <c r="D264" s="79">
        <v>12.282944961921343</v>
      </c>
      <c r="E264" s="79">
        <v>14.668878173383696</v>
      </c>
      <c r="F264" s="79">
        <v>23.446513221616545</v>
      </c>
      <c r="G264" s="79">
        <v>9.0943153413996569</v>
      </c>
      <c r="H264" s="79">
        <v>14.828514865342457</v>
      </c>
      <c r="I264" s="79">
        <v>12.214317412185331</v>
      </c>
      <c r="J264" s="79">
        <v>4.476278455678429</v>
      </c>
      <c r="K264" s="79">
        <v>2.9879231157027961</v>
      </c>
      <c r="L264" s="79">
        <v>2.7706187843988936</v>
      </c>
      <c r="M264" s="79">
        <v>1.8675372744795742</v>
      </c>
      <c r="N264" s="79">
        <v>1.3621583938912907</v>
      </c>
      <c r="O264" s="79">
        <v>0</v>
      </c>
      <c r="P264" s="79">
        <v>0</v>
      </c>
    </row>
    <row r="265" spans="2:16" x14ac:dyDescent="0.3">
      <c r="B265" s="295"/>
      <c r="C265" s="12" t="s">
        <v>203</v>
      </c>
      <c r="D265" s="81">
        <v>15.732550018295493</v>
      </c>
      <c r="E265" s="81">
        <v>19.585907815274524</v>
      </c>
      <c r="F265" s="81">
        <v>28.48736430873382</v>
      </c>
      <c r="G265" s="81">
        <v>4.5863212218518887</v>
      </c>
      <c r="H265" s="81">
        <v>4.9806540885374009</v>
      </c>
      <c r="I265" s="81">
        <v>8.5412625422081998</v>
      </c>
      <c r="J265" s="81">
        <v>5.3077315066069355</v>
      </c>
      <c r="K265" s="81">
        <v>4.4055092497490715</v>
      </c>
      <c r="L265" s="81">
        <v>6.2042694608628626</v>
      </c>
      <c r="M265" s="81">
        <v>2.1684297878797576</v>
      </c>
      <c r="N265" s="81">
        <v>0</v>
      </c>
      <c r="O265" s="81">
        <v>0</v>
      </c>
      <c r="P265" s="81">
        <v>0</v>
      </c>
    </row>
    <row r="266" spans="2:16" x14ac:dyDescent="0.3">
      <c r="B266" s="291" t="s">
        <v>204</v>
      </c>
      <c r="C266" s="13" t="s">
        <v>192</v>
      </c>
      <c r="D266" s="80">
        <v>12.654081292645802</v>
      </c>
      <c r="E266" s="80">
        <v>17.478326211866698</v>
      </c>
      <c r="F266" s="80">
        <v>30.645943515704595</v>
      </c>
      <c r="G266" s="80">
        <v>5.3971908515155649</v>
      </c>
      <c r="H266" s="80">
        <v>8.2928665408949964</v>
      </c>
      <c r="I266" s="80">
        <v>12.284294610331768</v>
      </c>
      <c r="J266" s="80">
        <v>4.6321491037009919</v>
      </c>
      <c r="K266" s="80">
        <v>2.9666081097671597</v>
      </c>
      <c r="L266" s="80">
        <v>2.8193263346611057</v>
      </c>
      <c r="M266" s="80">
        <v>2.0885491825866396</v>
      </c>
      <c r="N266" s="80">
        <v>0.49853550997245605</v>
      </c>
      <c r="O266" s="80">
        <v>0</v>
      </c>
      <c r="P266" s="80">
        <v>0.24212873635220455</v>
      </c>
    </row>
    <row r="267" spans="2:16" x14ac:dyDescent="0.3">
      <c r="B267" s="295"/>
      <c r="C267" s="12" t="s">
        <v>193</v>
      </c>
      <c r="D267" s="81">
        <v>14.677398525123911</v>
      </c>
      <c r="E267" s="81">
        <v>19.036691194938406</v>
      </c>
      <c r="F267" s="81">
        <v>26.862119200797942</v>
      </c>
      <c r="G267" s="81">
        <v>6.199263628329434</v>
      </c>
      <c r="H267" s="81">
        <v>7.9786727027935447</v>
      </c>
      <c r="I267" s="81">
        <v>10.211969837793372</v>
      </c>
      <c r="J267" s="81">
        <v>3.7315479169330525</v>
      </c>
      <c r="K267" s="81">
        <v>3.8786241812812303</v>
      </c>
      <c r="L267" s="81">
        <v>5.0349615428377765</v>
      </c>
      <c r="M267" s="81">
        <v>1.9026007532984255</v>
      </c>
      <c r="N267" s="81">
        <v>0.28287324351689741</v>
      </c>
      <c r="O267" s="81">
        <v>0.20327727235611084</v>
      </c>
      <c r="P267" s="81">
        <v>0</v>
      </c>
    </row>
    <row r="268" spans="2:16" x14ac:dyDescent="0.3">
      <c r="B268" s="291" t="s">
        <v>209</v>
      </c>
      <c r="C268" s="13" t="s">
        <v>205</v>
      </c>
      <c r="D268" s="80">
        <v>17.700328110751752</v>
      </c>
      <c r="E268" s="80">
        <v>13.552956366888433</v>
      </c>
      <c r="F268" s="80">
        <v>35.314443764585597</v>
      </c>
      <c r="G268" s="80">
        <v>8.3816321589747425</v>
      </c>
      <c r="H268" s="80">
        <v>6.7480764316475357</v>
      </c>
      <c r="I268" s="80">
        <v>12.023173628276208</v>
      </c>
      <c r="J268" s="80">
        <v>0</v>
      </c>
      <c r="K268" s="80">
        <v>0</v>
      </c>
      <c r="L268" s="80">
        <v>3.6443374717796746</v>
      </c>
      <c r="M268" s="80">
        <v>1.0190092581574342</v>
      </c>
      <c r="N268" s="80">
        <v>1.6160428089386509</v>
      </c>
      <c r="O268" s="80">
        <v>0</v>
      </c>
      <c r="P268" s="80">
        <v>0</v>
      </c>
    </row>
    <row r="269" spans="2:16" x14ac:dyDescent="0.3">
      <c r="B269" s="292"/>
      <c r="C269" s="9" t="s">
        <v>206</v>
      </c>
      <c r="D269" s="79">
        <v>15.495690288942374</v>
      </c>
      <c r="E269" s="79">
        <v>16.836517293794561</v>
      </c>
      <c r="F269" s="79">
        <v>27.510323225228824</v>
      </c>
      <c r="G269" s="79">
        <v>6.0019676951062628</v>
      </c>
      <c r="H269" s="79">
        <v>8.5509043642743912</v>
      </c>
      <c r="I269" s="79">
        <v>10.401274286922167</v>
      </c>
      <c r="J269" s="79">
        <v>2.4995029164624536</v>
      </c>
      <c r="K269" s="79">
        <v>4.4826763592330687</v>
      </c>
      <c r="L269" s="79">
        <v>3.9985340054056357</v>
      </c>
      <c r="M269" s="79">
        <v>1.6529984758807021</v>
      </c>
      <c r="N269" s="79">
        <v>0.98803849920660236</v>
      </c>
      <c r="O269" s="79">
        <v>0.57815407904319649</v>
      </c>
      <c r="P269" s="79">
        <v>1.0034185104998019</v>
      </c>
    </row>
    <row r="270" spans="2:16" x14ac:dyDescent="0.3">
      <c r="B270" s="292"/>
      <c r="C270" s="9" t="s">
        <v>207</v>
      </c>
      <c r="D270" s="79">
        <v>10.624204620733883</v>
      </c>
      <c r="E270" s="79">
        <v>20.37499806299726</v>
      </c>
      <c r="F270" s="79">
        <v>28.829924254956968</v>
      </c>
      <c r="G270" s="79">
        <v>6.2374178786784942</v>
      </c>
      <c r="H270" s="79">
        <v>8.0771246672993815</v>
      </c>
      <c r="I270" s="79">
        <v>11.548711826496403</v>
      </c>
      <c r="J270" s="79">
        <v>4.4982929216165966</v>
      </c>
      <c r="K270" s="79">
        <v>4.1518542849486106</v>
      </c>
      <c r="L270" s="79">
        <v>3.6358691731018293</v>
      </c>
      <c r="M270" s="79">
        <v>2.0216023091705742</v>
      </c>
      <c r="N270" s="79">
        <v>0</v>
      </c>
      <c r="O270" s="79">
        <v>0</v>
      </c>
      <c r="P270" s="79">
        <v>0</v>
      </c>
    </row>
    <row r="271" spans="2:16" x14ac:dyDescent="0.3">
      <c r="B271" s="293"/>
      <c r="C271" s="25" t="s">
        <v>208</v>
      </c>
      <c r="D271" s="82">
        <v>14.417550209576754</v>
      </c>
      <c r="E271" s="82">
        <v>17.544592027103914</v>
      </c>
      <c r="F271" s="82">
        <v>28.435231947300039</v>
      </c>
      <c r="G271" s="82">
        <v>4.4832921048517633</v>
      </c>
      <c r="H271" s="82">
        <v>8.4535099582244886</v>
      </c>
      <c r="I271" s="82">
        <v>11.577085139031588</v>
      </c>
      <c r="J271" s="82">
        <v>5.7348128900830062</v>
      </c>
      <c r="K271" s="82">
        <v>2.9604212540543315</v>
      </c>
      <c r="L271" s="82">
        <v>3.719099242907427</v>
      </c>
      <c r="M271" s="82">
        <v>2.3794941061329107</v>
      </c>
      <c r="N271" s="82">
        <v>0.29491112073382164</v>
      </c>
      <c r="O271" s="82">
        <v>0</v>
      </c>
      <c r="P271" s="82">
        <v>0</v>
      </c>
    </row>
    <row r="272" spans="2:16" x14ac:dyDescent="0.3">
      <c r="B272" s="60"/>
      <c r="C272" s="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</row>
    <row r="273" spans="2:19" x14ac:dyDescent="0.3">
      <c r="B273" s="60"/>
      <c r="C273" s="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</row>
    <row r="274" spans="2:19" x14ac:dyDescent="0.3">
      <c r="B274" s="1" t="s">
        <v>490</v>
      </c>
      <c r="D274" s="59"/>
      <c r="E274" s="304"/>
      <c r="F274" s="304"/>
      <c r="G274" s="304"/>
      <c r="H274" s="304"/>
      <c r="I274" s="304"/>
      <c r="J274" s="304"/>
      <c r="K274" s="304"/>
      <c r="L274" s="304"/>
      <c r="M274" s="304"/>
      <c r="N274" s="304"/>
      <c r="O274" s="304"/>
      <c r="P274" s="304"/>
      <c r="Q274" s="304"/>
      <c r="R274" s="304"/>
      <c r="S274" s="304"/>
    </row>
    <row r="275" spans="2:19" ht="10.5" customHeight="1" x14ac:dyDescent="0.3"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30"/>
      <c r="O275" s="30"/>
      <c r="P275" s="30" t="s">
        <v>157</v>
      </c>
    </row>
    <row r="276" spans="2:19" s="125" customFormat="1" ht="27" x14ac:dyDescent="0.3">
      <c r="B276" s="297"/>
      <c r="C276" s="297"/>
      <c r="D276" s="215" t="s">
        <v>57</v>
      </c>
      <c r="E276" s="215" t="s">
        <v>59</v>
      </c>
      <c r="F276" s="215" t="s">
        <v>126</v>
      </c>
      <c r="G276" s="215" t="s">
        <v>58</v>
      </c>
      <c r="H276" s="215" t="s">
        <v>127</v>
      </c>
      <c r="I276" s="202" t="s">
        <v>376</v>
      </c>
      <c r="J276" s="215" t="s">
        <v>60</v>
      </c>
      <c r="K276" s="215" t="s">
        <v>61</v>
      </c>
      <c r="L276" s="215" t="s">
        <v>128</v>
      </c>
      <c r="M276" s="215" t="s">
        <v>129</v>
      </c>
      <c r="N276" s="202" t="s">
        <v>377</v>
      </c>
      <c r="O276" s="215" t="s">
        <v>130</v>
      </c>
      <c r="P276" s="215" t="s">
        <v>38</v>
      </c>
      <c r="Q276" s="126"/>
    </row>
    <row r="277" spans="2:19" ht="21.75" customHeight="1" x14ac:dyDescent="0.3">
      <c r="B277" s="292" t="s">
        <v>20</v>
      </c>
      <c r="C277" s="292"/>
      <c r="D277" s="86">
        <v>25.223549593192917</v>
      </c>
      <c r="E277" s="86">
        <v>34.98779730783383</v>
      </c>
      <c r="F277" s="88">
        <v>55.413462744450847</v>
      </c>
      <c r="G277" s="86">
        <v>20.64304095495719</v>
      </c>
      <c r="H277" s="88">
        <v>30.26113909229209</v>
      </c>
      <c r="I277" s="86">
        <v>41.110122137983971</v>
      </c>
      <c r="J277" s="86">
        <v>23.461951890304036</v>
      </c>
      <c r="K277" s="86">
        <v>28.616612347470223</v>
      </c>
      <c r="L277" s="88">
        <v>21.072087443946675</v>
      </c>
      <c r="M277" s="86">
        <v>12.705994287147252</v>
      </c>
      <c r="N277" s="86">
        <v>5.3504266592866303</v>
      </c>
      <c r="O277" s="86">
        <v>1.0102304125367776</v>
      </c>
      <c r="P277" s="86">
        <v>0.14358512859736611</v>
      </c>
    </row>
    <row r="278" spans="2:19" x14ac:dyDescent="0.3">
      <c r="B278" s="296" t="s">
        <v>5</v>
      </c>
      <c r="C278" s="13" t="s">
        <v>0</v>
      </c>
      <c r="D278" s="84">
        <v>23.033835626848692</v>
      </c>
      <c r="E278" s="84">
        <v>35.636936266543771</v>
      </c>
      <c r="F278" s="89">
        <v>54.379772663637048</v>
      </c>
      <c r="G278" s="84">
        <v>21.756967549336348</v>
      </c>
      <c r="H278" s="89">
        <v>31.153842091425194</v>
      </c>
      <c r="I278" s="84">
        <v>42.381297274904803</v>
      </c>
      <c r="J278" s="84">
        <v>22.871452730741719</v>
      </c>
      <c r="K278" s="84">
        <v>29.643115408636262</v>
      </c>
      <c r="L278" s="89">
        <v>20.971906366340242</v>
      </c>
      <c r="M278" s="84">
        <v>12.430301520658467</v>
      </c>
      <c r="N278" s="84">
        <v>4.7824386758463024</v>
      </c>
      <c r="O278" s="84">
        <v>0.71846454810142901</v>
      </c>
      <c r="P278" s="84">
        <v>0.23966927697946144</v>
      </c>
    </row>
    <row r="279" spans="2:19" x14ac:dyDescent="0.3">
      <c r="B279" s="295"/>
      <c r="C279" s="12" t="s">
        <v>1</v>
      </c>
      <c r="D279" s="90">
        <v>28.495789257520048</v>
      </c>
      <c r="E279" s="90">
        <v>34.017744469427349</v>
      </c>
      <c r="F279" s="90">
        <v>56.95817668200106</v>
      </c>
      <c r="G279" s="90">
        <v>18.97842409572338</v>
      </c>
      <c r="H279" s="90">
        <v>28.927111814243588</v>
      </c>
      <c r="I279" s="90">
        <v>39.210518003712835</v>
      </c>
      <c r="J279" s="90">
        <v>24.344375257634358</v>
      </c>
      <c r="K279" s="90">
        <v>27.082638465982615</v>
      </c>
      <c r="L279" s="90">
        <v>21.221794894690152</v>
      </c>
      <c r="M279" s="90">
        <v>13.117980884272932</v>
      </c>
      <c r="N279" s="90">
        <v>6.199210033207188</v>
      </c>
      <c r="O279" s="90">
        <v>1.4462361415845659</v>
      </c>
      <c r="P279" s="90">
        <v>0</v>
      </c>
    </row>
    <row r="280" spans="2:19" x14ac:dyDescent="0.3">
      <c r="B280" s="296" t="s">
        <v>4</v>
      </c>
      <c r="C280" s="9" t="s">
        <v>175</v>
      </c>
      <c r="D280" s="86">
        <v>26.967090664830124</v>
      </c>
      <c r="E280" s="86">
        <v>38.534964038894536</v>
      </c>
      <c r="F280" s="88">
        <v>50.625261037751088</v>
      </c>
      <c r="G280" s="86">
        <v>22.001454136358763</v>
      </c>
      <c r="H280" s="88">
        <v>15.312185085442328</v>
      </c>
      <c r="I280" s="86">
        <v>20.282812982420488</v>
      </c>
      <c r="J280" s="86">
        <v>31.543346830279372</v>
      </c>
      <c r="K280" s="86">
        <v>28.029642231180592</v>
      </c>
      <c r="L280" s="88">
        <v>23.031760805666199</v>
      </c>
      <c r="M280" s="86">
        <v>28.719771896380212</v>
      </c>
      <c r="N280" s="86">
        <v>0</v>
      </c>
      <c r="O280" s="86">
        <v>7.4758551453981417</v>
      </c>
      <c r="P280" s="86">
        <v>7.4758551453981417</v>
      </c>
    </row>
    <row r="281" spans="2:19" x14ac:dyDescent="0.3">
      <c r="B281" s="292"/>
      <c r="C281" s="9" t="s">
        <v>176</v>
      </c>
      <c r="D281" s="86">
        <v>30.501983879614698</v>
      </c>
      <c r="E281" s="86">
        <v>34.389410882700084</v>
      </c>
      <c r="F281" s="88">
        <v>53.827594056698622</v>
      </c>
      <c r="G281" s="86">
        <v>35.683741511847245</v>
      </c>
      <c r="H281" s="88">
        <v>43.195289820535564</v>
      </c>
      <c r="I281" s="86">
        <v>33.624019155116912</v>
      </c>
      <c r="J281" s="86">
        <v>27.809633771222181</v>
      </c>
      <c r="K281" s="86">
        <v>19.394473006877334</v>
      </c>
      <c r="L281" s="88">
        <v>7.4602170260833116</v>
      </c>
      <c r="M281" s="86">
        <v>8.4085533259133811</v>
      </c>
      <c r="N281" s="86">
        <v>3.4877913798220965</v>
      </c>
      <c r="O281" s="86">
        <v>2.2172921835687092</v>
      </c>
      <c r="P281" s="86">
        <v>0</v>
      </c>
    </row>
    <row r="282" spans="2:19" x14ac:dyDescent="0.3">
      <c r="B282" s="292"/>
      <c r="C282" s="9" t="s">
        <v>177</v>
      </c>
      <c r="D282" s="86">
        <v>19.420731768758852</v>
      </c>
      <c r="E282" s="86">
        <v>44.67623367366977</v>
      </c>
      <c r="F282" s="88">
        <v>50.63866217987816</v>
      </c>
      <c r="G282" s="86">
        <v>28.280037434352913</v>
      </c>
      <c r="H282" s="88">
        <v>38.019087208697719</v>
      </c>
      <c r="I282" s="86">
        <v>37.457355019903311</v>
      </c>
      <c r="J282" s="86">
        <v>23.095752310877188</v>
      </c>
      <c r="K282" s="86">
        <v>21.385525582060801</v>
      </c>
      <c r="L282" s="88">
        <v>15.959806384470369</v>
      </c>
      <c r="M282" s="86">
        <v>11.847300052954223</v>
      </c>
      <c r="N282" s="86">
        <v>7.4992600518672514</v>
      </c>
      <c r="O282" s="86">
        <v>1.7202483325095865</v>
      </c>
      <c r="P282" s="86">
        <v>0</v>
      </c>
    </row>
    <row r="283" spans="2:19" x14ac:dyDescent="0.3">
      <c r="B283" s="292"/>
      <c r="C283" s="9" t="s">
        <v>178</v>
      </c>
      <c r="D283" s="86">
        <v>24.362448133099502</v>
      </c>
      <c r="E283" s="86">
        <v>44.305490375708608</v>
      </c>
      <c r="F283" s="88">
        <v>56.610489823259179</v>
      </c>
      <c r="G283" s="86">
        <v>26.803167987840638</v>
      </c>
      <c r="H283" s="88">
        <v>31.942756750569263</v>
      </c>
      <c r="I283" s="86">
        <v>34.887111868153561</v>
      </c>
      <c r="J283" s="86">
        <v>19.733304676768107</v>
      </c>
      <c r="K283" s="86">
        <v>22.670641736868134</v>
      </c>
      <c r="L283" s="88">
        <v>22.283987811281278</v>
      </c>
      <c r="M283" s="86">
        <v>12.235732966487452</v>
      </c>
      <c r="N283" s="86">
        <v>3.450027550381169</v>
      </c>
      <c r="O283" s="86">
        <v>0.71484031958326533</v>
      </c>
      <c r="P283" s="86">
        <v>0</v>
      </c>
    </row>
    <row r="284" spans="2:19" x14ac:dyDescent="0.3">
      <c r="B284" s="292"/>
      <c r="C284" s="9" t="s">
        <v>179</v>
      </c>
      <c r="D284" s="86">
        <v>22.352292610345309</v>
      </c>
      <c r="E284" s="86">
        <v>28.65968333024372</v>
      </c>
      <c r="F284" s="88">
        <v>58.645310133477359</v>
      </c>
      <c r="G284" s="86">
        <v>16.222537187481517</v>
      </c>
      <c r="H284" s="88">
        <v>26.296742249972045</v>
      </c>
      <c r="I284" s="86">
        <v>45.759621951124295</v>
      </c>
      <c r="J284" s="86">
        <v>24.061547984026671</v>
      </c>
      <c r="K284" s="86">
        <v>32.358326511592168</v>
      </c>
      <c r="L284" s="88">
        <v>25.930568935038316</v>
      </c>
      <c r="M284" s="86">
        <v>14.838225921337555</v>
      </c>
      <c r="N284" s="86">
        <v>4.5245122540802063</v>
      </c>
      <c r="O284" s="86">
        <v>0.3506309312810047</v>
      </c>
      <c r="P284" s="86">
        <v>0</v>
      </c>
    </row>
    <row r="285" spans="2:19" x14ac:dyDescent="0.3">
      <c r="B285" s="298"/>
      <c r="C285" s="12" t="s">
        <v>180</v>
      </c>
      <c r="D285" s="90">
        <v>30.115764735220203</v>
      </c>
      <c r="E285" s="90">
        <v>28.521887357720122</v>
      </c>
      <c r="F285" s="91">
        <v>55.229197034295019</v>
      </c>
      <c r="G285" s="90">
        <v>7.624106244234623</v>
      </c>
      <c r="H285" s="91">
        <v>22.562315661375358</v>
      </c>
      <c r="I285" s="90">
        <v>48.764910883613425</v>
      </c>
      <c r="J285" s="90">
        <v>22.934047522147793</v>
      </c>
      <c r="K285" s="90">
        <v>38.795400141399341</v>
      </c>
      <c r="L285" s="91">
        <v>25.134572180791046</v>
      </c>
      <c r="M285" s="90">
        <v>12.212202800423665</v>
      </c>
      <c r="N285" s="90">
        <v>7.7572233310637788</v>
      </c>
      <c r="O285" s="90">
        <v>0.34837210771561128</v>
      </c>
      <c r="P285" s="90">
        <v>0</v>
      </c>
    </row>
    <row r="286" spans="2:19" x14ac:dyDescent="0.3">
      <c r="B286" s="292" t="s">
        <v>223</v>
      </c>
      <c r="C286" s="9" t="s">
        <v>210</v>
      </c>
      <c r="D286" s="86">
        <v>12.369771105242666</v>
      </c>
      <c r="E286" s="86">
        <v>44.242078509740367</v>
      </c>
      <c r="F286" s="88">
        <v>35.236142901309904</v>
      </c>
      <c r="G286" s="86">
        <v>11.433185898033621</v>
      </c>
      <c r="H286" s="88">
        <v>18.443017516579978</v>
      </c>
      <c r="I286" s="86">
        <v>8.2948460415179035</v>
      </c>
      <c r="J286" s="86">
        <v>48.192831540672529</v>
      </c>
      <c r="K286" s="86">
        <v>30.35399580166337</v>
      </c>
      <c r="L286" s="88">
        <v>32.808892611706739</v>
      </c>
      <c r="M286" s="86">
        <v>31.601344132726165</v>
      </c>
      <c r="N286" s="86">
        <v>0</v>
      </c>
      <c r="O286" s="86">
        <v>13.511946970403372</v>
      </c>
      <c r="P286" s="86">
        <v>13.511946970403372</v>
      </c>
    </row>
    <row r="287" spans="2:19" x14ac:dyDescent="0.3">
      <c r="B287" s="292"/>
      <c r="C287" s="9" t="s">
        <v>211</v>
      </c>
      <c r="D287" s="86">
        <v>27.706437269663898</v>
      </c>
      <c r="E287" s="86">
        <v>40.78325200421763</v>
      </c>
      <c r="F287" s="88">
        <v>49.887072762096118</v>
      </c>
      <c r="G287" s="86">
        <v>35.439735346173187</v>
      </c>
      <c r="H287" s="88">
        <v>39.201241233748298</v>
      </c>
      <c r="I287" s="86">
        <v>33.785379862901785</v>
      </c>
      <c r="J287" s="86">
        <v>32.317735598849794</v>
      </c>
      <c r="K287" s="86">
        <v>21.480248342605734</v>
      </c>
      <c r="L287" s="88">
        <v>2.8478795825716721</v>
      </c>
      <c r="M287" s="86">
        <v>8.9412944386456807</v>
      </c>
      <c r="N287" s="86">
        <v>5.703780396378062</v>
      </c>
      <c r="O287" s="86">
        <v>1.9059431621481326</v>
      </c>
      <c r="P287" s="86">
        <v>0</v>
      </c>
    </row>
    <row r="288" spans="2:19" x14ac:dyDescent="0.3">
      <c r="B288" s="292"/>
      <c r="C288" s="9" t="s">
        <v>212</v>
      </c>
      <c r="D288" s="86">
        <v>21.073220366522978</v>
      </c>
      <c r="E288" s="86">
        <v>41.344751275031889</v>
      </c>
      <c r="F288" s="88">
        <v>43.459794129523821</v>
      </c>
      <c r="G288" s="86">
        <v>29.573215728859282</v>
      </c>
      <c r="H288" s="88">
        <v>40.875640478042016</v>
      </c>
      <c r="I288" s="86">
        <v>37.170671243272849</v>
      </c>
      <c r="J288" s="86">
        <v>23.251719609998979</v>
      </c>
      <c r="K288" s="86">
        <v>22.846841666921847</v>
      </c>
      <c r="L288" s="88">
        <v>17.504476420086199</v>
      </c>
      <c r="M288" s="86">
        <v>13.544621158159126</v>
      </c>
      <c r="N288" s="86">
        <v>7.9522853014881472</v>
      </c>
      <c r="O288" s="86">
        <v>1.4027626220929335</v>
      </c>
      <c r="P288" s="86">
        <v>0</v>
      </c>
    </row>
    <row r="289" spans="2:16" x14ac:dyDescent="0.3">
      <c r="B289" s="292"/>
      <c r="C289" s="9" t="s">
        <v>213</v>
      </c>
      <c r="D289" s="86">
        <v>24.780648585959128</v>
      </c>
      <c r="E289" s="86">
        <v>43.451591091679482</v>
      </c>
      <c r="F289" s="88">
        <v>59.513943052061244</v>
      </c>
      <c r="G289" s="86">
        <v>28.893526926710816</v>
      </c>
      <c r="H289" s="88">
        <v>30.314867033896437</v>
      </c>
      <c r="I289" s="86">
        <v>37.051765003755591</v>
      </c>
      <c r="J289" s="86">
        <v>14.98173234837647</v>
      </c>
      <c r="K289" s="86">
        <v>22.3318391266947</v>
      </c>
      <c r="L289" s="88">
        <v>21.326731996036088</v>
      </c>
      <c r="M289" s="86">
        <v>13.101664609750221</v>
      </c>
      <c r="N289" s="86">
        <v>4.251690225079896</v>
      </c>
      <c r="O289" s="86">
        <v>0</v>
      </c>
      <c r="P289" s="86">
        <v>0</v>
      </c>
    </row>
    <row r="290" spans="2:16" x14ac:dyDescent="0.3">
      <c r="B290" s="292"/>
      <c r="C290" s="9" t="s">
        <v>214</v>
      </c>
      <c r="D290" s="86">
        <v>20.571386054257111</v>
      </c>
      <c r="E290" s="86">
        <v>29.078346659223193</v>
      </c>
      <c r="F290" s="88">
        <v>59.373271131366891</v>
      </c>
      <c r="G290" s="86">
        <v>15.781712045033364</v>
      </c>
      <c r="H290" s="88">
        <v>27.46598046071253</v>
      </c>
      <c r="I290" s="86">
        <v>45.949328805875126</v>
      </c>
      <c r="J290" s="86">
        <v>21.036154250088813</v>
      </c>
      <c r="K290" s="86">
        <v>33.3939732681539</v>
      </c>
      <c r="L290" s="88">
        <v>28.851574203510172</v>
      </c>
      <c r="M290" s="86">
        <v>14.345511256978465</v>
      </c>
      <c r="N290" s="86">
        <v>4.152761864800568</v>
      </c>
      <c r="O290" s="86">
        <v>0</v>
      </c>
      <c r="P290" s="86">
        <v>0</v>
      </c>
    </row>
    <row r="291" spans="2:16" x14ac:dyDescent="0.3">
      <c r="B291" s="292"/>
      <c r="C291" s="12" t="s">
        <v>215</v>
      </c>
      <c r="D291" s="90">
        <v>24.093915218671185</v>
      </c>
      <c r="E291" s="90">
        <v>28.560515550247402</v>
      </c>
      <c r="F291" s="91">
        <v>55.964579062798812</v>
      </c>
      <c r="G291" s="90">
        <v>9.389147051090772</v>
      </c>
      <c r="H291" s="91">
        <v>25.366479778968689</v>
      </c>
      <c r="I291" s="90">
        <v>54.720608363837684</v>
      </c>
      <c r="J291" s="90">
        <v>24.402358854800926</v>
      </c>
      <c r="K291" s="90">
        <v>41.67018241031483</v>
      </c>
      <c r="L291" s="91">
        <v>23.274861681999436</v>
      </c>
      <c r="M291" s="90">
        <v>9.0723463827586492</v>
      </c>
      <c r="N291" s="90">
        <v>3.4850056445116468</v>
      </c>
      <c r="O291" s="90">
        <v>0</v>
      </c>
      <c r="P291" s="90">
        <v>0</v>
      </c>
    </row>
    <row r="292" spans="2:16" x14ac:dyDescent="0.3">
      <c r="B292" s="292"/>
      <c r="C292" s="9" t="s">
        <v>216</v>
      </c>
      <c r="D292" s="86">
        <v>45.046246798023695</v>
      </c>
      <c r="E292" s="86">
        <v>31.466555817286352</v>
      </c>
      <c r="F292" s="88">
        <v>69.685080095979885</v>
      </c>
      <c r="G292" s="86">
        <v>35.090526466261963</v>
      </c>
      <c r="H292" s="88">
        <v>11.434568505333482</v>
      </c>
      <c r="I292" s="86">
        <v>35.130218710535274</v>
      </c>
      <c r="J292" s="86">
        <v>10.922531317700161</v>
      </c>
      <c r="K292" s="86">
        <v>25.150870485589529</v>
      </c>
      <c r="L292" s="88">
        <v>10.922531317700161</v>
      </c>
      <c r="M292" s="86">
        <v>25.150870485589529</v>
      </c>
      <c r="N292" s="86">
        <v>0</v>
      </c>
      <c r="O292" s="86">
        <v>0</v>
      </c>
      <c r="P292" s="86">
        <v>0</v>
      </c>
    </row>
    <row r="293" spans="2:16" x14ac:dyDescent="0.3">
      <c r="B293" s="292"/>
      <c r="C293" s="9" t="s">
        <v>217</v>
      </c>
      <c r="D293" s="86">
        <v>34.901953056010171</v>
      </c>
      <c r="E293" s="86">
        <v>24.326010847333631</v>
      </c>
      <c r="F293" s="88">
        <v>60.029662794692626</v>
      </c>
      <c r="G293" s="86">
        <v>36.067787910499518</v>
      </c>
      <c r="H293" s="88">
        <v>49.481606281272086</v>
      </c>
      <c r="I293" s="86">
        <v>33.370050168154677</v>
      </c>
      <c r="J293" s="86">
        <v>20.714238182034347</v>
      </c>
      <c r="K293" s="86">
        <v>16.111627657984165</v>
      </c>
      <c r="L293" s="88">
        <v>14.719671227400767</v>
      </c>
      <c r="M293" s="86">
        <v>7.5700609657155127</v>
      </c>
      <c r="N293" s="86">
        <v>0</v>
      </c>
      <c r="O293" s="86">
        <v>2.7073309089024811</v>
      </c>
      <c r="P293" s="86">
        <v>0</v>
      </c>
    </row>
    <row r="294" spans="2:16" x14ac:dyDescent="0.3">
      <c r="B294" s="292"/>
      <c r="C294" s="9" t="s">
        <v>218</v>
      </c>
      <c r="D294" s="86">
        <v>16.738597882127461</v>
      </c>
      <c r="E294" s="86">
        <v>50.083521715591829</v>
      </c>
      <c r="F294" s="88">
        <v>62.29059447857167</v>
      </c>
      <c r="G294" s="86">
        <v>26.181095674727633</v>
      </c>
      <c r="H294" s="88">
        <v>33.382650786054626</v>
      </c>
      <c r="I294" s="86">
        <v>37.92266792620012</v>
      </c>
      <c r="J294" s="86">
        <v>22.842603708976402</v>
      </c>
      <c r="K294" s="86">
        <v>19.013681446138488</v>
      </c>
      <c r="L294" s="88">
        <v>13.452671477884657</v>
      </c>
      <c r="M294" s="86">
        <v>9.0923990757708992</v>
      </c>
      <c r="N294" s="86">
        <v>6.7639603498590839</v>
      </c>
      <c r="O294" s="86">
        <v>2.2355554780970928</v>
      </c>
      <c r="P294" s="86">
        <v>0</v>
      </c>
    </row>
    <row r="295" spans="2:16" x14ac:dyDescent="0.3">
      <c r="B295" s="292"/>
      <c r="C295" s="9" t="s">
        <v>219</v>
      </c>
      <c r="D295" s="86">
        <v>23.598222663985787</v>
      </c>
      <c r="E295" s="86">
        <v>45.865918099903389</v>
      </c>
      <c r="F295" s="88">
        <v>51.304678003452977</v>
      </c>
      <c r="G295" s="86">
        <v>22.983216264330007</v>
      </c>
      <c r="H295" s="88">
        <v>34.91758562481543</v>
      </c>
      <c r="I295" s="86">
        <v>30.931393870451739</v>
      </c>
      <c r="J295" s="86">
        <v>28.416395684590512</v>
      </c>
      <c r="K295" s="86">
        <v>23.289774456419813</v>
      </c>
      <c r="L295" s="88">
        <v>24.033290733994992</v>
      </c>
      <c r="M295" s="86">
        <v>10.653317137504583</v>
      </c>
      <c r="N295" s="86">
        <v>1.985057750723376</v>
      </c>
      <c r="O295" s="86">
        <v>2.0211497098274371</v>
      </c>
      <c r="P295" s="86">
        <v>0</v>
      </c>
    </row>
    <row r="296" spans="2:16" x14ac:dyDescent="0.3">
      <c r="B296" s="292"/>
      <c r="C296" s="9" t="s">
        <v>220</v>
      </c>
      <c r="D296" s="86">
        <v>25.021152877326081</v>
      </c>
      <c r="E296" s="86">
        <v>28.032275945990193</v>
      </c>
      <c r="F296" s="88">
        <v>57.554390356391075</v>
      </c>
      <c r="G296" s="86">
        <v>16.883156187026461</v>
      </c>
      <c r="H296" s="88">
        <v>24.54452600223399</v>
      </c>
      <c r="I296" s="86">
        <v>45.475327929471348</v>
      </c>
      <c r="J296" s="86">
        <v>28.595392334745906</v>
      </c>
      <c r="K296" s="86">
        <v>30.806309944655414</v>
      </c>
      <c r="L296" s="88">
        <v>21.553160769508541</v>
      </c>
      <c r="M296" s="86">
        <v>15.57660637491685</v>
      </c>
      <c r="N296" s="86">
        <v>5.0816160728018014</v>
      </c>
      <c r="O296" s="86">
        <v>0.87608520493240516</v>
      </c>
      <c r="P296" s="86">
        <v>0</v>
      </c>
    </row>
    <row r="297" spans="2:16" x14ac:dyDescent="0.3">
      <c r="B297" s="295"/>
      <c r="C297" s="9" t="s">
        <v>221</v>
      </c>
      <c r="D297" s="90">
        <v>37.343254280643542</v>
      </c>
      <c r="E297" s="90">
        <v>28.475525379247852</v>
      </c>
      <c r="F297" s="91">
        <v>54.346583493671474</v>
      </c>
      <c r="G297" s="90">
        <v>5.5056849944606734</v>
      </c>
      <c r="H297" s="91">
        <v>19.196727267334644</v>
      </c>
      <c r="I297" s="90">
        <v>41.616817734535054</v>
      </c>
      <c r="J297" s="90">
        <v>21.171764227453522</v>
      </c>
      <c r="K297" s="90">
        <v>35.345055071025975</v>
      </c>
      <c r="L297" s="91">
        <v>27.366617028572826</v>
      </c>
      <c r="M297" s="90">
        <v>15.980692758606699</v>
      </c>
      <c r="N297" s="90">
        <v>12.884785648998175</v>
      </c>
      <c r="O297" s="90">
        <v>0.76649211544948093</v>
      </c>
      <c r="P297" s="90">
        <v>0</v>
      </c>
    </row>
    <row r="298" spans="2:16" ht="16.5" customHeight="1" x14ac:dyDescent="0.3">
      <c r="B298" s="291" t="s">
        <v>222</v>
      </c>
      <c r="C298" s="13" t="s">
        <v>226</v>
      </c>
      <c r="D298" s="80">
        <v>36.102996234257084</v>
      </c>
      <c r="E298" s="80">
        <v>33.218952391979911</v>
      </c>
      <c r="F298" s="80">
        <v>52.200137760213117</v>
      </c>
      <c r="G298" s="80">
        <v>37.232457093246531</v>
      </c>
      <c r="H298" s="80">
        <v>34.867226276559684</v>
      </c>
      <c r="I298" s="80">
        <v>33.893737349545802</v>
      </c>
      <c r="J298" s="80">
        <v>18.247214280751781</v>
      </c>
      <c r="K298" s="80">
        <v>19.961565672255407</v>
      </c>
      <c r="L298" s="80">
        <v>15.601514015274478</v>
      </c>
      <c r="M298" s="80">
        <v>10.992266843739799</v>
      </c>
      <c r="N298" s="80">
        <v>4.8616514430864122</v>
      </c>
      <c r="O298" s="80">
        <v>1.8902112165101446</v>
      </c>
      <c r="P298" s="80">
        <v>0.93006942257987579</v>
      </c>
    </row>
    <row r="299" spans="2:16" x14ac:dyDescent="0.3">
      <c r="B299" s="294"/>
      <c r="C299" s="9" t="s">
        <v>227</v>
      </c>
      <c r="D299" s="79">
        <v>28.388741439105004</v>
      </c>
      <c r="E299" s="79">
        <v>40.412809657474874</v>
      </c>
      <c r="F299" s="79">
        <v>59.209387750853523</v>
      </c>
      <c r="G299" s="79">
        <v>20.664634425404412</v>
      </c>
      <c r="H299" s="79">
        <v>35.716125739563068</v>
      </c>
      <c r="I299" s="79">
        <v>37.275473726475298</v>
      </c>
      <c r="J299" s="79">
        <v>21.90180064277952</v>
      </c>
      <c r="K299" s="79">
        <v>19.489564424323564</v>
      </c>
      <c r="L299" s="79">
        <v>20.088312887793407</v>
      </c>
      <c r="M299" s="79">
        <v>9.1099315224462138</v>
      </c>
      <c r="N299" s="79">
        <v>6.1359868403245459</v>
      </c>
      <c r="O299" s="79">
        <v>1.6072309434564855</v>
      </c>
      <c r="P299" s="79">
        <v>0</v>
      </c>
    </row>
    <row r="300" spans="2:16" x14ac:dyDescent="0.3">
      <c r="B300" s="292"/>
      <c r="C300" s="9" t="s">
        <v>228</v>
      </c>
      <c r="D300" s="79">
        <v>24.990820845012621</v>
      </c>
      <c r="E300" s="79">
        <v>38.178045227466981</v>
      </c>
      <c r="F300" s="79">
        <v>52.578612001521776</v>
      </c>
      <c r="G300" s="79">
        <v>21.168734688991762</v>
      </c>
      <c r="H300" s="79">
        <v>28.937719300401422</v>
      </c>
      <c r="I300" s="79">
        <v>44.706052344448224</v>
      </c>
      <c r="J300" s="79">
        <v>20.5988638761293</v>
      </c>
      <c r="K300" s="79">
        <v>31.096224623476061</v>
      </c>
      <c r="L300" s="79">
        <v>21.641169617573322</v>
      </c>
      <c r="M300" s="79">
        <v>11.232301174341417</v>
      </c>
      <c r="N300" s="79">
        <v>4.8714563006372433</v>
      </c>
      <c r="O300" s="79">
        <v>0</v>
      </c>
      <c r="P300" s="79">
        <v>0</v>
      </c>
    </row>
    <row r="301" spans="2:16" x14ac:dyDescent="0.3">
      <c r="B301" s="295"/>
      <c r="C301" s="12" t="s">
        <v>229</v>
      </c>
      <c r="D301" s="81">
        <v>19.110208691401336</v>
      </c>
      <c r="E301" s="81">
        <v>30.469472386575479</v>
      </c>
      <c r="F301" s="81">
        <v>56.437807671579087</v>
      </c>
      <c r="G301" s="81">
        <v>13.493463199691561</v>
      </c>
      <c r="H301" s="81">
        <v>26.126314394101623</v>
      </c>
      <c r="I301" s="81">
        <v>43.867510264769585</v>
      </c>
      <c r="J301" s="81">
        <v>28.399727560723932</v>
      </c>
      <c r="K301" s="81">
        <v>35.745931589798545</v>
      </c>
      <c r="L301" s="81">
        <v>23.495722793473668</v>
      </c>
      <c r="M301" s="81">
        <v>16.45452055314334</v>
      </c>
      <c r="N301" s="81">
        <v>5.4185339057085828</v>
      </c>
      <c r="O301" s="81">
        <v>0.98078698903312445</v>
      </c>
      <c r="P301" s="81">
        <v>0</v>
      </c>
    </row>
    <row r="302" spans="2:16" x14ac:dyDescent="0.3">
      <c r="B302" s="296" t="s">
        <v>199</v>
      </c>
      <c r="C302" s="13" t="s">
        <v>192</v>
      </c>
      <c r="D302" s="80">
        <v>24.8627770971679</v>
      </c>
      <c r="E302" s="80">
        <v>35.741140059214167</v>
      </c>
      <c r="F302" s="80">
        <v>57.057478630436222</v>
      </c>
      <c r="G302" s="80">
        <v>20.284012912295815</v>
      </c>
      <c r="H302" s="80">
        <v>29.690906355482742</v>
      </c>
      <c r="I302" s="80">
        <v>41.344843430824447</v>
      </c>
      <c r="J302" s="80">
        <v>26.290593681217487</v>
      </c>
      <c r="K302" s="80">
        <v>28.053816829659901</v>
      </c>
      <c r="L302" s="80">
        <v>17.602308723649013</v>
      </c>
      <c r="M302" s="80">
        <v>12.607828458645226</v>
      </c>
      <c r="N302" s="80">
        <v>4.8189781641364968</v>
      </c>
      <c r="O302" s="80">
        <v>1.4031869209182724</v>
      </c>
      <c r="P302" s="80">
        <v>0.24212873635220455</v>
      </c>
    </row>
    <row r="303" spans="2:16" ht="16.5" customHeight="1" x14ac:dyDescent="0.3">
      <c r="B303" s="292"/>
      <c r="C303" s="9" t="s">
        <v>200</v>
      </c>
      <c r="D303" s="79">
        <v>23.00801037421753</v>
      </c>
      <c r="E303" s="79">
        <v>26.466103343294829</v>
      </c>
      <c r="F303" s="79">
        <v>67.474340496288164</v>
      </c>
      <c r="G303" s="79">
        <v>8.867770719631892</v>
      </c>
      <c r="H303" s="79">
        <v>30.994266091604946</v>
      </c>
      <c r="I303" s="79">
        <v>46.607263145211249</v>
      </c>
      <c r="J303" s="79">
        <v>18.290521995996134</v>
      </c>
      <c r="K303" s="79">
        <v>27.657029078211202</v>
      </c>
      <c r="L303" s="79">
        <v>30.074522652802614</v>
      </c>
      <c r="M303" s="79">
        <v>15.898848284342618</v>
      </c>
      <c r="N303" s="79">
        <v>4.6613238183989347</v>
      </c>
      <c r="O303" s="79">
        <v>0</v>
      </c>
      <c r="P303" s="79">
        <v>0</v>
      </c>
    </row>
    <row r="304" spans="2:16" ht="16.5" customHeight="1" x14ac:dyDescent="0.3">
      <c r="B304" s="292"/>
      <c r="C304" s="9" t="s">
        <v>201</v>
      </c>
      <c r="D304" s="79">
        <v>27.056858824719782</v>
      </c>
      <c r="E304" s="79">
        <v>37.012598293276803</v>
      </c>
      <c r="F304" s="79">
        <v>47.990434924490188</v>
      </c>
      <c r="G304" s="79">
        <v>23.205068676590717</v>
      </c>
      <c r="H304" s="79">
        <v>39.818974573758695</v>
      </c>
      <c r="I304" s="79">
        <v>40.009260915841111</v>
      </c>
      <c r="J304" s="79">
        <v>22.039501047901894</v>
      </c>
      <c r="K304" s="79">
        <v>17.360499776581008</v>
      </c>
      <c r="L304" s="79">
        <v>28.248042266648859</v>
      </c>
      <c r="M304" s="79">
        <v>11.358990387154586</v>
      </c>
      <c r="N304" s="79">
        <v>4.860092588568369</v>
      </c>
      <c r="O304" s="79">
        <v>1.0396777244679316</v>
      </c>
      <c r="P304" s="79">
        <v>0</v>
      </c>
    </row>
    <row r="305" spans="2:16" x14ac:dyDescent="0.3">
      <c r="B305" s="292"/>
      <c r="C305" s="9" t="s">
        <v>202</v>
      </c>
      <c r="D305" s="79">
        <v>21.660538811534529</v>
      </c>
      <c r="E305" s="79">
        <v>28.71441237730857</v>
      </c>
      <c r="F305" s="79">
        <v>50.990070966019175</v>
      </c>
      <c r="G305" s="79">
        <v>28.847380955487157</v>
      </c>
      <c r="H305" s="79">
        <v>38.152974830272065</v>
      </c>
      <c r="I305" s="79">
        <v>42.311937901955595</v>
      </c>
      <c r="J305" s="79">
        <v>13.980932696769965</v>
      </c>
      <c r="K305" s="79">
        <v>31.264767695229484</v>
      </c>
      <c r="L305" s="79">
        <v>18.845732715667481</v>
      </c>
      <c r="M305" s="79">
        <v>15.686128340973005</v>
      </c>
      <c r="N305" s="79">
        <v>9.5451227087830066</v>
      </c>
      <c r="O305" s="79">
        <v>0</v>
      </c>
      <c r="P305" s="79">
        <v>0</v>
      </c>
    </row>
    <row r="306" spans="2:16" x14ac:dyDescent="0.3">
      <c r="B306" s="295"/>
      <c r="C306" s="12" t="s">
        <v>203</v>
      </c>
      <c r="D306" s="81">
        <v>27.504679839212219</v>
      </c>
      <c r="E306" s="81">
        <v>36.339385739128602</v>
      </c>
      <c r="F306" s="81">
        <v>52.904410181114123</v>
      </c>
      <c r="G306" s="81">
        <v>19.650764129430627</v>
      </c>
      <c r="H306" s="81">
        <v>24.712828346975861</v>
      </c>
      <c r="I306" s="81">
        <v>39.230922937892203</v>
      </c>
      <c r="J306" s="81">
        <v>20.734800348800899</v>
      </c>
      <c r="K306" s="81">
        <v>33.795887312958627</v>
      </c>
      <c r="L306" s="81">
        <v>27.537616337300967</v>
      </c>
      <c r="M306" s="81">
        <v>11.626852819471448</v>
      </c>
      <c r="N306" s="81">
        <v>5.4890972565467875</v>
      </c>
      <c r="O306" s="81">
        <v>0.47275475116753185</v>
      </c>
      <c r="P306" s="81">
        <v>0</v>
      </c>
    </row>
    <row r="307" spans="2:16" x14ac:dyDescent="0.3">
      <c r="B307" s="291" t="s">
        <v>204</v>
      </c>
      <c r="C307" s="13" t="s">
        <v>192</v>
      </c>
      <c r="D307" s="80">
        <v>24.8627770971679</v>
      </c>
      <c r="E307" s="80">
        <v>35.741140059214167</v>
      </c>
      <c r="F307" s="80">
        <v>57.057478630436222</v>
      </c>
      <c r="G307" s="80">
        <v>20.284012912295815</v>
      </c>
      <c r="H307" s="80">
        <v>29.690906355482742</v>
      </c>
      <c r="I307" s="80">
        <v>41.344843430824447</v>
      </c>
      <c r="J307" s="80">
        <v>26.290593681217487</v>
      </c>
      <c r="K307" s="80">
        <v>28.053816829659901</v>
      </c>
      <c r="L307" s="80">
        <v>17.602308723649013</v>
      </c>
      <c r="M307" s="80">
        <v>12.607828458645226</v>
      </c>
      <c r="N307" s="80">
        <v>4.8189781641364968</v>
      </c>
      <c r="O307" s="80">
        <v>1.4031869209182724</v>
      </c>
      <c r="P307" s="80">
        <v>0.24212873635220455</v>
      </c>
    </row>
    <row r="308" spans="2:16" x14ac:dyDescent="0.3">
      <c r="B308" s="295"/>
      <c r="C308" s="12" t="s">
        <v>193</v>
      </c>
      <c r="D308" s="81">
        <v>25.74922108438718</v>
      </c>
      <c r="E308" s="81">
        <v>33.890122701643904</v>
      </c>
      <c r="F308" s="81">
        <v>53.018013280163025</v>
      </c>
      <c r="G308" s="81">
        <v>21.166170652053797</v>
      </c>
      <c r="H308" s="81">
        <v>31.09200922898232</v>
      </c>
      <c r="I308" s="81">
        <v>40.768116321626259</v>
      </c>
      <c r="J308" s="81">
        <v>19.340417226030016</v>
      </c>
      <c r="K308" s="81">
        <v>29.436645920828592</v>
      </c>
      <c r="L308" s="81">
        <v>26.127804756406103</v>
      </c>
      <c r="M308" s="81">
        <v>12.849028964184869</v>
      </c>
      <c r="N308" s="81">
        <v>6.124785364610803</v>
      </c>
      <c r="O308" s="81">
        <v>0.43766449908351795</v>
      </c>
      <c r="P308" s="81">
        <v>0</v>
      </c>
    </row>
    <row r="309" spans="2:16" x14ac:dyDescent="0.3">
      <c r="B309" s="291" t="s">
        <v>209</v>
      </c>
      <c r="C309" s="13" t="s">
        <v>205</v>
      </c>
      <c r="D309" s="80">
        <v>25.327414918941521</v>
      </c>
      <c r="E309" s="80">
        <v>33.696796034843317</v>
      </c>
      <c r="F309" s="80">
        <v>67.493716343080408</v>
      </c>
      <c r="G309" s="80">
        <v>26.500369020545705</v>
      </c>
      <c r="H309" s="80">
        <v>35.232858592899937</v>
      </c>
      <c r="I309" s="80">
        <v>42.208996167116339</v>
      </c>
      <c r="J309" s="80">
        <v>15.011529194395203</v>
      </c>
      <c r="K309" s="80">
        <v>15.296783966315816</v>
      </c>
      <c r="L309" s="80">
        <v>19.953059181809436</v>
      </c>
      <c r="M309" s="80">
        <v>9.9283252597775125</v>
      </c>
      <c r="N309" s="80">
        <v>7.9486379373775495</v>
      </c>
      <c r="O309" s="80">
        <v>1.401513382897283</v>
      </c>
      <c r="P309" s="80">
        <v>0</v>
      </c>
    </row>
    <row r="310" spans="2:16" x14ac:dyDescent="0.3">
      <c r="B310" s="292"/>
      <c r="C310" s="9" t="s">
        <v>206</v>
      </c>
      <c r="D310" s="79">
        <v>27.803927411138922</v>
      </c>
      <c r="E310" s="79">
        <v>34.332591154260356</v>
      </c>
      <c r="F310" s="79">
        <v>55.745893604995224</v>
      </c>
      <c r="G310" s="79">
        <v>21.78532010174056</v>
      </c>
      <c r="H310" s="79">
        <v>29.456892155213527</v>
      </c>
      <c r="I310" s="79">
        <v>46.396183901920011</v>
      </c>
      <c r="J310" s="79">
        <v>17.601732767598822</v>
      </c>
      <c r="K310" s="79">
        <v>27.592513835307258</v>
      </c>
      <c r="L310" s="79">
        <v>18.130578889846493</v>
      </c>
      <c r="M310" s="79">
        <v>12.20896080994981</v>
      </c>
      <c r="N310" s="79">
        <v>6.3604142679863545</v>
      </c>
      <c r="O310" s="79">
        <v>1.5815725895429986</v>
      </c>
      <c r="P310" s="79">
        <v>1.0034185104998019</v>
      </c>
    </row>
    <row r="311" spans="2:16" x14ac:dyDescent="0.3">
      <c r="B311" s="292"/>
      <c r="C311" s="9" t="s">
        <v>207</v>
      </c>
      <c r="D311" s="79">
        <v>23.4959507167754</v>
      </c>
      <c r="E311" s="79">
        <v>39.83624987288141</v>
      </c>
      <c r="F311" s="79">
        <v>55.900494656528153</v>
      </c>
      <c r="G311" s="79">
        <v>21.402932723419713</v>
      </c>
      <c r="H311" s="79">
        <v>28.754608815122129</v>
      </c>
      <c r="I311" s="79">
        <v>39.538533870668658</v>
      </c>
      <c r="J311" s="79">
        <v>26.077415413924626</v>
      </c>
      <c r="K311" s="79">
        <v>26.538357374565969</v>
      </c>
      <c r="L311" s="79">
        <v>19.728301804645099</v>
      </c>
      <c r="M311" s="79">
        <v>12.794535323887708</v>
      </c>
      <c r="N311" s="79">
        <v>4.5541441212283242</v>
      </c>
      <c r="O311" s="79">
        <v>1.3784753063527668</v>
      </c>
      <c r="P311" s="79">
        <v>0</v>
      </c>
    </row>
    <row r="312" spans="2:16" x14ac:dyDescent="0.3">
      <c r="B312" s="293"/>
      <c r="C312" s="25" t="s">
        <v>208</v>
      </c>
      <c r="D312" s="82">
        <v>25.894485034325776</v>
      </c>
      <c r="E312" s="82">
        <v>30.934867420935134</v>
      </c>
      <c r="F312" s="82">
        <v>51.874900614937843</v>
      </c>
      <c r="G312" s="82">
        <v>18.069822308415137</v>
      </c>
      <c r="H312" s="82">
        <v>30.772358622185241</v>
      </c>
      <c r="I312" s="82">
        <v>40.397674972021846</v>
      </c>
      <c r="J312" s="82">
        <v>25.190123770220609</v>
      </c>
      <c r="K312" s="82">
        <v>34.22436086852084</v>
      </c>
      <c r="L312" s="82">
        <v>23.701294373022023</v>
      </c>
      <c r="M312" s="82">
        <v>13.483192510973199</v>
      </c>
      <c r="N312" s="82">
        <v>5.1018333075750455</v>
      </c>
      <c r="O312" s="82">
        <v>0.35508619686750542</v>
      </c>
      <c r="P312" s="82">
        <v>0</v>
      </c>
    </row>
    <row r="313" spans="2:16" x14ac:dyDescent="0.3">
      <c r="B313" s="60"/>
      <c r="C313" s="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</row>
    <row r="314" spans="2:16" x14ac:dyDescent="0.3">
      <c r="B314" s="60"/>
      <c r="C314" s="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</row>
    <row r="315" spans="2:16" x14ac:dyDescent="0.3">
      <c r="F315" s="30"/>
      <c r="N315" s="30"/>
    </row>
    <row r="316" spans="2:16" x14ac:dyDescent="0.3">
      <c r="B316" s="42"/>
      <c r="C316" s="308"/>
      <c r="D316" s="308"/>
      <c r="E316" s="308"/>
      <c r="F316" s="308"/>
      <c r="G316" s="308"/>
      <c r="H316" s="308"/>
      <c r="I316" s="308"/>
      <c r="J316" s="308"/>
      <c r="K316" s="308"/>
      <c r="L316" s="308"/>
      <c r="M316" s="308"/>
      <c r="N316" s="308"/>
    </row>
    <row r="317" spans="2:16" x14ac:dyDescent="0.3">
      <c r="B317" s="42"/>
      <c r="C317" s="42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</row>
    <row r="318" spans="2:16" x14ac:dyDescent="0.3">
      <c r="B318" s="40"/>
      <c r="C318" s="9"/>
      <c r="D318" s="83"/>
      <c r="E318" s="83"/>
      <c r="F318" s="83"/>
      <c r="G318" s="9"/>
      <c r="H318" s="56"/>
      <c r="I318" s="56"/>
      <c r="J318" s="56"/>
      <c r="K318" s="9"/>
      <c r="L318" s="56"/>
      <c r="M318" s="56"/>
      <c r="N318" s="56"/>
    </row>
    <row r="319" spans="2:16" x14ac:dyDescent="0.3">
      <c r="B319" s="40"/>
      <c r="C319" s="9"/>
      <c r="D319" s="83"/>
      <c r="E319" s="83"/>
      <c r="F319" s="83"/>
      <c r="G319" s="9"/>
      <c r="H319" s="56"/>
      <c r="I319" s="56"/>
      <c r="J319" s="56"/>
      <c r="K319" s="9"/>
      <c r="L319" s="56"/>
      <c r="M319" s="56"/>
      <c r="N319" s="56"/>
    </row>
    <row r="320" spans="2:16" x14ac:dyDescent="0.3">
      <c r="B320" s="40"/>
      <c r="C320" s="9"/>
      <c r="D320" s="83"/>
      <c r="E320" s="83"/>
      <c r="F320" s="83"/>
      <c r="G320" s="9"/>
      <c r="H320" s="56"/>
      <c r="I320" s="56"/>
      <c r="J320" s="56"/>
      <c r="K320" s="9"/>
      <c r="L320" s="56"/>
      <c r="M320" s="56"/>
      <c r="N320" s="56"/>
    </row>
    <row r="321" spans="2:14" x14ac:dyDescent="0.3">
      <c r="B321" s="40"/>
      <c r="C321" s="9"/>
      <c r="D321" s="83"/>
      <c r="E321" s="83"/>
      <c r="F321" s="83"/>
      <c r="G321" s="9"/>
      <c r="H321" s="56"/>
      <c r="I321" s="56"/>
      <c r="J321" s="56"/>
      <c r="K321" s="9"/>
      <c r="L321" s="56"/>
      <c r="M321" s="56"/>
      <c r="N321" s="56"/>
    </row>
    <row r="322" spans="2:14" x14ac:dyDescent="0.3">
      <c r="B322" s="40"/>
      <c r="C322" s="9"/>
      <c r="D322" s="83"/>
      <c r="E322" s="83"/>
      <c r="F322" s="83"/>
      <c r="G322" s="9"/>
      <c r="H322" s="56"/>
      <c r="I322" s="56"/>
      <c r="J322" s="56"/>
      <c r="K322" s="9"/>
      <c r="L322" s="56"/>
      <c r="M322" s="56"/>
      <c r="N322" s="56"/>
    </row>
    <row r="323" spans="2:14" x14ac:dyDescent="0.3">
      <c r="B323" s="40"/>
      <c r="C323" s="9"/>
      <c r="D323" s="83"/>
      <c r="E323" s="83"/>
      <c r="F323" s="83"/>
      <c r="G323" s="9"/>
      <c r="H323" s="56"/>
      <c r="I323" s="56"/>
      <c r="J323" s="56"/>
      <c r="K323" s="9"/>
      <c r="L323" s="56"/>
      <c r="M323" s="56"/>
      <c r="N323" s="56"/>
    </row>
    <row r="324" spans="2:14" x14ac:dyDescent="0.3">
      <c r="B324" s="40"/>
      <c r="C324" s="9"/>
      <c r="D324" s="83"/>
      <c r="E324" s="83"/>
      <c r="F324" s="83"/>
      <c r="G324" s="9"/>
      <c r="H324" s="56"/>
      <c r="I324" s="56"/>
      <c r="J324" s="56"/>
      <c r="K324" s="9"/>
      <c r="L324" s="56"/>
      <c r="M324" s="56"/>
      <c r="N324" s="56"/>
    </row>
    <row r="325" spans="2:14" x14ac:dyDescent="0.3">
      <c r="B325" s="40"/>
      <c r="C325" s="9"/>
      <c r="D325" s="83"/>
      <c r="E325" s="83"/>
      <c r="F325" s="83"/>
      <c r="G325" s="9"/>
      <c r="H325" s="56"/>
      <c r="I325" s="56"/>
      <c r="J325" s="56"/>
      <c r="K325" s="9"/>
      <c r="L325" s="56"/>
      <c r="M325" s="56"/>
      <c r="N325" s="56"/>
    </row>
    <row r="326" spans="2:14" x14ac:dyDescent="0.3">
      <c r="B326" s="40"/>
      <c r="C326" s="9"/>
      <c r="D326" s="83"/>
      <c r="E326" s="83"/>
      <c r="F326" s="83"/>
      <c r="G326" s="9"/>
      <c r="H326" s="56"/>
      <c r="I326" s="56"/>
      <c r="J326" s="56"/>
      <c r="K326" s="9"/>
      <c r="L326" s="56"/>
      <c r="M326" s="56"/>
      <c r="N326" s="56"/>
    </row>
    <row r="327" spans="2:14" x14ac:dyDescent="0.3">
      <c r="B327" s="40"/>
      <c r="C327" s="9"/>
      <c r="D327" s="83"/>
      <c r="E327" s="83"/>
      <c r="F327" s="83"/>
      <c r="G327" s="9"/>
      <c r="H327" s="56"/>
      <c r="I327" s="56"/>
      <c r="J327" s="56"/>
      <c r="K327" s="9"/>
      <c r="L327" s="56"/>
      <c r="M327" s="56"/>
      <c r="N327" s="56"/>
    </row>
    <row r="328" spans="2:14" x14ac:dyDescent="0.3">
      <c r="B328" s="40"/>
      <c r="C328" s="9"/>
      <c r="D328" s="83"/>
      <c r="E328" s="83"/>
      <c r="F328" s="83"/>
      <c r="G328" s="9"/>
      <c r="H328" s="56"/>
      <c r="I328" s="56"/>
      <c r="J328" s="56"/>
      <c r="K328" s="9"/>
      <c r="L328" s="56"/>
      <c r="M328" s="56"/>
      <c r="N328" s="56"/>
    </row>
    <row r="329" spans="2:14" x14ac:dyDescent="0.3">
      <c r="B329" s="40"/>
      <c r="C329" s="9"/>
      <c r="D329" s="83"/>
      <c r="E329" s="83"/>
      <c r="F329" s="83"/>
      <c r="G329" s="9"/>
      <c r="H329" s="56"/>
      <c r="I329" s="56"/>
      <c r="J329" s="56"/>
      <c r="K329" s="9"/>
      <c r="L329" s="56"/>
      <c r="M329" s="56"/>
      <c r="N329" s="56"/>
    </row>
    <row r="330" spans="2:14" x14ac:dyDescent="0.3">
      <c r="B330" s="40"/>
      <c r="C330" s="9"/>
      <c r="D330" s="83"/>
      <c r="E330" s="83"/>
      <c r="F330" s="83"/>
      <c r="G330" s="9"/>
      <c r="H330" s="56"/>
      <c r="I330" s="56"/>
      <c r="J330" s="56"/>
      <c r="K330" s="9"/>
      <c r="L330" s="56"/>
      <c r="M330" s="56"/>
      <c r="N330" s="56"/>
    </row>
    <row r="331" spans="2:14" x14ac:dyDescent="0.3">
      <c r="B331" s="40"/>
      <c r="C331" s="9"/>
      <c r="D331" s="83"/>
      <c r="E331" s="83"/>
      <c r="F331" s="83"/>
      <c r="G331" s="9"/>
      <c r="H331" s="56"/>
      <c r="I331" s="56"/>
      <c r="J331" s="56"/>
      <c r="K331" s="9"/>
      <c r="L331" s="56"/>
      <c r="M331" s="56"/>
      <c r="N331" s="56"/>
    </row>
    <row r="332" spans="2:14" x14ac:dyDescent="0.3">
      <c r="B332" s="40"/>
      <c r="C332" s="9"/>
      <c r="D332" s="83"/>
      <c r="E332" s="83"/>
      <c r="F332" s="83"/>
      <c r="G332" s="9"/>
      <c r="H332" s="56"/>
      <c r="I332" s="56"/>
      <c r="J332" s="56"/>
      <c r="K332" s="9"/>
      <c r="L332" s="56"/>
      <c r="M332" s="56"/>
      <c r="N332" s="56"/>
    </row>
    <row r="333" spans="2:14" x14ac:dyDescent="0.3">
      <c r="B333" s="40"/>
      <c r="C333" s="9"/>
      <c r="D333" s="83"/>
      <c r="E333" s="83"/>
      <c r="F333" s="83"/>
      <c r="G333" s="9"/>
      <c r="H333" s="56"/>
      <c r="I333" s="56"/>
      <c r="J333" s="56"/>
      <c r="K333" s="9"/>
      <c r="L333" s="56"/>
      <c r="M333" s="56"/>
      <c r="N333" s="56"/>
    </row>
    <row r="334" spans="2:14" x14ac:dyDescent="0.3">
      <c r="B334" s="40"/>
      <c r="C334" s="9"/>
      <c r="D334" s="83"/>
      <c r="E334" s="83"/>
      <c r="F334" s="83"/>
      <c r="G334" s="9"/>
      <c r="H334" s="56"/>
      <c r="I334" s="56"/>
      <c r="J334" s="56"/>
      <c r="K334" s="9"/>
      <c r="L334" s="56"/>
      <c r="M334" s="56"/>
      <c r="N334" s="56"/>
    </row>
    <row r="335" spans="2:14" x14ac:dyDescent="0.3">
      <c r="B335" s="40"/>
      <c r="C335" s="9"/>
      <c r="D335" s="83"/>
      <c r="E335" s="83"/>
      <c r="F335" s="83"/>
      <c r="G335" s="9"/>
      <c r="H335" s="56"/>
      <c r="I335" s="56"/>
      <c r="J335" s="56"/>
      <c r="K335" s="9"/>
      <c r="L335" s="56"/>
      <c r="M335" s="56"/>
      <c r="N335" s="56"/>
    </row>
    <row r="336" spans="2:14" x14ac:dyDescent="0.3">
      <c r="B336" s="40"/>
      <c r="C336" s="9"/>
      <c r="D336" s="83"/>
      <c r="E336" s="83"/>
      <c r="F336" s="83"/>
      <c r="G336" s="9"/>
      <c r="H336" s="56"/>
      <c r="I336" s="56"/>
      <c r="J336" s="56"/>
      <c r="K336" s="9"/>
      <c r="L336" s="56"/>
      <c r="M336" s="56"/>
      <c r="N336" s="56"/>
    </row>
    <row r="337" spans="2:14" x14ac:dyDescent="0.3">
      <c r="B337" s="40"/>
      <c r="C337" s="9"/>
      <c r="D337" s="83"/>
      <c r="E337" s="83"/>
      <c r="F337" s="83"/>
      <c r="G337" s="9"/>
      <c r="H337" s="56"/>
      <c r="I337" s="56"/>
      <c r="J337" s="56"/>
      <c r="K337" s="9"/>
      <c r="L337" s="56"/>
      <c r="M337" s="56"/>
      <c r="N337" s="56"/>
    </row>
    <row r="338" spans="2:14" x14ac:dyDescent="0.3">
      <c r="B338" s="40"/>
      <c r="C338" s="9"/>
      <c r="D338" s="83"/>
      <c r="E338" s="83"/>
      <c r="F338" s="83"/>
      <c r="G338" s="9"/>
      <c r="H338" s="56"/>
      <c r="I338" s="56"/>
      <c r="J338" s="56"/>
      <c r="K338" s="9"/>
      <c r="L338" s="56"/>
      <c r="M338" s="56"/>
      <c r="N338" s="56"/>
    </row>
    <row r="339" spans="2:14" x14ac:dyDescent="0.3">
      <c r="B339" s="40"/>
      <c r="C339" s="9"/>
      <c r="D339" s="83"/>
      <c r="E339" s="83"/>
      <c r="F339" s="83"/>
      <c r="G339" s="9"/>
      <c r="H339" s="56"/>
      <c r="I339" s="56"/>
      <c r="J339" s="56"/>
      <c r="K339" s="9"/>
      <c r="L339" s="56"/>
      <c r="M339" s="56"/>
      <c r="N339" s="56"/>
    </row>
    <row r="340" spans="2:14" x14ac:dyDescent="0.3">
      <c r="B340" s="40"/>
      <c r="C340" s="9"/>
      <c r="D340" s="83"/>
      <c r="E340" s="83"/>
      <c r="F340" s="83"/>
      <c r="G340" s="9"/>
      <c r="H340" s="56"/>
      <c r="I340" s="56"/>
      <c r="J340" s="56"/>
      <c r="K340" s="9"/>
      <c r="L340" s="56"/>
      <c r="M340" s="56"/>
      <c r="N340" s="56"/>
    </row>
    <row r="341" spans="2:14" x14ac:dyDescent="0.3">
      <c r="B341" s="40"/>
      <c r="C341" s="9"/>
      <c r="D341" s="83"/>
      <c r="E341" s="83"/>
      <c r="F341" s="83"/>
      <c r="G341" s="9"/>
      <c r="H341" s="56"/>
      <c r="I341" s="56"/>
      <c r="J341" s="56"/>
      <c r="K341" s="9"/>
      <c r="L341" s="56"/>
      <c r="M341" s="56"/>
      <c r="N341" s="56"/>
    </row>
    <row r="342" spans="2:14" x14ac:dyDescent="0.3">
      <c r="B342" s="40"/>
      <c r="C342" s="9"/>
      <c r="D342" s="83"/>
      <c r="E342" s="83"/>
      <c r="F342" s="83"/>
      <c r="G342" s="9"/>
      <c r="H342" s="56"/>
      <c r="I342" s="56"/>
      <c r="J342" s="56"/>
      <c r="K342" s="9"/>
      <c r="L342" s="56"/>
      <c r="M342" s="56"/>
      <c r="N342" s="56"/>
    </row>
    <row r="343" spans="2:14" x14ac:dyDescent="0.3">
      <c r="B343" s="40"/>
      <c r="C343" s="9"/>
      <c r="D343" s="83"/>
      <c r="E343" s="83"/>
      <c r="F343" s="83"/>
      <c r="G343" s="9"/>
      <c r="H343" s="56"/>
      <c r="I343" s="56"/>
      <c r="J343" s="56"/>
      <c r="K343" s="9"/>
      <c r="L343" s="56"/>
      <c r="M343" s="56"/>
      <c r="N343" s="56"/>
    </row>
    <row r="344" spans="2:14" x14ac:dyDescent="0.3">
      <c r="B344" s="40"/>
      <c r="C344" s="9"/>
      <c r="D344" s="83"/>
      <c r="E344" s="83"/>
      <c r="F344" s="83"/>
      <c r="G344" s="9"/>
      <c r="H344" s="56"/>
      <c r="I344" s="56"/>
      <c r="J344" s="56"/>
      <c r="K344" s="9"/>
      <c r="L344" s="56"/>
      <c r="M344" s="56"/>
      <c r="N344" s="56"/>
    </row>
    <row r="345" spans="2:14" x14ac:dyDescent="0.3">
      <c r="B345" s="40"/>
      <c r="C345" s="9"/>
      <c r="D345" s="83"/>
      <c r="E345" s="83"/>
      <c r="F345" s="83"/>
      <c r="G345" s="9"/>
      <c r="H345" s="56"/>
      <c r="I345" s="56"/>
      <c r="J345" s="56"/>
      <c r="K345" s="9"/>
      <c r="L345" s="56"/>
      <c r="M345" s="56"/>
      <c r="N345" s="56"/>
    </row>
    <row r="346" spans="2:14" x14ac:dyDescent="0.3">
      <c r="B346" s="40"/>
      <c r="C346" s="9"/>
      <c r="D346" s="83"/>
      <c r="E346" s="83"/>
      <c r="F346" s="83"/>
      <c r="G346" s="9"/>
      <c r="H346" s="56"/>
      <c r="I346" s="56"/>
      <c r="J346" s="56"/>
      <c r="K346" s="9"/>
      <c r="L346" s="56"/>
      <c r="M346" s="56"/>
      <c r="N346" s="56"/>
    </row>
    <row r="347" spans="2:14" x14ac:dyDescent="0.3">
      <c r="B347" s="40"/>
      <c r="C347" s="9"/>
      <c r="D347" s="83"/>
      <c r="E347" s="83"/>
      <c r="F347" s="83"/>
      <c r="G347" s="9"/>
      <c r="H347" s="56"/>
      <c r="I347" s="56"/>
      <c r="J347" s="56"/>
      <c r="K347" s="9"/>
      <c r="L347" s="56"/>
      <c r="M347" s="56"/>
      <c r="N347" s="56"/>
    </row>
  </sheetData>
  <mergeCells count="76">
    <mergeCell ref="B280:B285"/>
    <mergeCell ref="F191:U191"/>
    <mergeCell ref="B193:C194"/>
    <mergeCell ref="D193:J193"/>
    <mergeCell ref="K193:P193"/>
    <mergeCell ref="B195:C195"/>
    <mergeCell ref="E233:S233"/>
    <mergeCell ref="B235:C235"/>
    <mergeCell ref="B236:C236"/>
    <mergeCell ref="B237:B238"/>
    <mergeCell ref="B239:B244"/>
    <mergeCell ref="B245:B256"/>
    <mergeCell ref="B220:B224"/>
    <mergeCell ref="B225:B226"/>
    <mergeCell ref="B227:B230"/>
    <mergeCell ref="C316:F316"/>
    <mergeCell ref="G316:J316"/>
    <mergeCell ref="K316:N316"/>
    <mergeCell ref="B257:B260"/>
    <mergeCell ref="B261:B265"/>
    <mergeCell ref="B266:B267"/>
    <mergeCell ref="B268:B271"/>
    <mergeCell ref="B286:B297"/>
    <mergeCell ref="B298:B301"/>
    <mergeCell ref="B302:B306"/>
    <mergeCell ref="B307:B308"/>
    <mergeCell ref="B309:B312"/>
    <mergeCell ref="E274:S274"/>
    <mergeCell ref="B276:C276"/>
    <mergeCell ref="B277:C277"/>
    <mergeCell ref="B278:B279"/>
    <mergeCell ref="B156:B161"/>
    <mergeCell ref="B162:B173"/>
    <mergeCell ref="B174:B177"/>
    <mergeCell ref="B178:B182"/>
    <mergeCell ref="B183:B184"/>
    <mergeCell ref="B185:B188"/>
    <mergeCell ref="B196:B197"/>
    <mergeCell ref="B198:B203"/>
    <mergeCell ref="B204:B215"/>
    <mergeCell ref="B216:B219"/>
    <mergeCell ref="F149:U149"/>
    <mergeCell ref="B151:C152"/>
    <mergeCell ref="D151:J151"/>
    <mergeCell ref="K151:P151"/>
    <mergeCell ref="B153:C153"/>
    <mergeCell ref="B154:B155"/>
    <mergeCell ref="B114:B119"/>
    <mergeCell ref="B120:B131"/>
    <mergeCell ref="B132:B135"/>
    <mergeCell ref="B136:B140"/>
    <mergeCell ref="B141:B142"/>
    <mergeCell ref="B143:B146"/>
    <mergeCell ref="F67:AY67"/>
    <mergeCell ref="B112:B113"/>
    <mergeCell ref="B70:C70"/>
    <mergeCell ref="B71:B72"/>
    <mergeCell ref="B73:B78"/>
    <mergeCell ref="B79:B90"/>
    <mergeCell ref="B91:B94"/>
    <mergeCell ref="B95:B99"/>
    <mergeCell ref="B100:B101"/>
    <mergeCell ref="B102:B105"/>
    <mergeCell ref="F108:AY108"/>
    <mergeCell ref="B110:C110"/>
    <mergeCell ref="B111:C111"/>
    <mergeCell ref="B69:C69"/>
    <mergeCell ref="B50:B53"/>
    <mergeCell ref="B54:B58"/>
    <mergeCell ref="B59:B60"/>
    <mergeCell ref="B61:B64"/>
    <mergeCell ref="B28:C28"/>
    <mergeCell ref="B29:C29"/>
    <mergeCell ref="B30:B31"/>
    <mergeCell ref="B32:B37"/>
    <mergeCell ref="B38:B49"/>
  </mergeCells>
  <phoneticPr fontId="2" type="noConversion"/>
  <pageMargins left="0.70866141732283472" right="0.70866141732283472" top="1.1417322834645669" bottom="0.39370078740157483" header="0.31496062992125984" footer="0.31496062992125984"/>
  <pageSetup paperSize="9" orientation="portrait" r:id="rId1"/>
  <headerFooter>
    <oddHeader>&amp;L&amp;P&amp;RKorea Fashion Index  2017상반기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2F25-7BDD-4545-AB25-B2AF0EAA05CE}">
  <sheetPr codeName="Sheet18"/>
  <dimension ref="B2:AY346"/>
  <sheetViews>
    <sheetView showGridLines="0" zoomScaleNormal="100" workbookViewId="0">
      <selection activeCell="B4" sqref="B4:N4"/>
    </sheetView>
  </sheetViews>
  <sheetFormatPr defaultColWidth="9" defaultRowHeight="16.5" x14ac:dyDescent="0.3"/>
  <cols>
    <col min="1" max="1" width="3.625" style="1" customWidth="1"/>
    <col min="2" max="2" width="14.375" style="1" customWidth="1"/>
    <col min="3" max="3" width="13.125" style="1" customWidth="1"/>
    <col min="4" max="16" width="12.25" style="1" customWidth="1"/>
    <col min="17" max="20" width="10.375" style="1" customWidth="1"/>
    <col min="21" max="16384" width="9" style="1"/>
  </cols>
  <sheetData>
    <row r="2" spans="2:6" ht="17.25" x14ac:dyDescent="0.3">
      <c r="B2" s="33" t="s">
        <v>237</v>
      </c>
    </row>
    <row r="4" spans="2:6" ht="14.25" customHeight="1" x14ac:dyDescent="0.3">
      <c r="B4" s="1" t="s">
        <v>524</v>
      </c>
    </row>
    <row r="5" spans="2:6" ht="7.5" customHeight="1" x14ac:dyDescent="0.3"/>
    <row r="6" spans="2:6" x14ac:dyDescent="0.3">
      <c r="B6" s="216"/>
      <c r="C6" s="217" t="s">
        <v>21</v>
      </c>
      <c r="D6" s="218" t="s">
        <v>133</v>
      </c>
      <c r="E6" s="219" t="s">
        <v>13</v>
      </c>
      <c r="F6" s="220" t="s">
        <v>20</v>
      </c>
    </row>
    <row r="7" spans="2:6" x14ac:dyDescent="0.3">
      <c r="B7" s="221"/>
      <c r="C7" s="222"/>
      <c r="D7" s="223" t="s">
        <v>134</v>
      </c>
      <c r="E7" s="224" t="s">
        <v>55</v>
      </c>
      <c r="F7" s="225" t="s">
        <v>525</v>
      </c>
    </row>
    <row r="8" spans="2:6" x14ac:dyDescent="0.3">
      <c r="B8" s="221"/>
      <c r="C8" s="215" t="s">
        <v>24</v>
      </c>
      <c r="D8" s="223" t="s">
        <v>25</v>
      </c>
      <c r="E8" s="224" t="s">
        <v>26</v>
      </c>
      <c r="F8" s="225" t="s">
        <v>517</v>
      </c>
    </row>
    <row r="9" spans="2:6" ht="24" customHeight="1" x14ac:dyDescent="0.3">
      <c r="B9" s="35" t="str">
        <f>RIGHT(B2,LEN(B2)-3)&amp;" 전체"</f>
        <v>아웃도어 전체</v>
      </c>
      <c r="C9" s="36"/>
      <c r="D9" s="37"/>
      <c r="E9" s="37"/>
      <c r="F9" s="190">
        <f>SUM(F10:F23)</f>
        <v>79044.535991813187</v>
      </c>
    </row>
    <row r="10" spans="2:6" x14ac:dyDescent="0.3">
      <c r="B10" s="34" t="s">
        <v>79</v>
      </c>
      <c r="C10" s="117">
        <v>11.104065769766091</v>
      </c>
      <c r="D10" s="101">
        <v>1.1089162131233019</v>
      </c>
      <c r="E10" s="97">
        <v>223633.3117780918</v>
      </c>
      <c r="F10" s="191">
        <v>9714.5197797418296</v>
      </c>
    </row>
    <row r="11" spans="2:6" x14ac:dyDescent="0.3">
      <c r="B11" s="34" t="s">
        <v>279</v>
      </c>
      <c r="C11" s="118">
        <v>33.390314654477429</v>
      </c>
      <c r="D11" s="102">
        <v>1.0932355876773676</v>
      </c>
      <c r="E11" s="98">
        <v>198200.20477046678</v>
      </c>
      <c r="F11" s="191">
        <v>25889.724357913979</v>
      </c>
    </row>
    <row r="12" spans="2:6" x14ac:dyDescent="0.3">
      <c r="B12" s="34" t="s">
        <v>69</v>
      </c>
      <c r="C12" s="117">
        <v>23.144943915376054</v>
      </c>
      <c r="D12" s="101">
        <v>1.104153125933754</v>
      </c>
      <c r="E12" s="97">
        <v>119939.16882675496</v>
      </c>
      <c r="F12" s="191">
        <v>10859.753905088706</v>
      </c>
    </row>
    <row r="13" spans="2:6" x14ac:dyDescent="0.3">
      <c r="B13" s="34" t="s">
        <v>16</v>
      </c>
      <c r="C13" s="117">
        <v>16.593040301561459</v>
      </c>
      <c r="D13" s="101">
        <v>1.1420031264723243</v>
      </c>
      <c r="E13" s="97">
        <v>128688.35334982129</v>
      </c>
      <c r="F13" s="191">
        <v>8353.4913642318243</v>
      </c>
    </row>
    <row r="14" spans="2:6" x14ac:dyDescent="0.3">
      <c r="B14" s="10" t="s">
        <v>232</v>
      </c>
      <c r="C14" s="117">
        <v>17.170158595974776</v>
      </c>
      <c r="D14" s="101">
        <v>1.1950677562707588</v>
      </c>
      <c r="E14" s="97">
        <v>93649.134116935529</v>
      </c>
      <c r="F14" s="191">
        <v>6290.4380403691312</v>
      </c>
    </row>
    <row r="15" spans="2:6" x14ac:dyDescent="0.3">
      <c r="B15" s="10" t="s">
        <v>31</v>
      </c>
      <c r="C15" s="117">
        <v>21.896266468771373</v>
      </c>
      <c r="D15" s="101">
        <v>1.4043839834196981</v>
      </c>
      <c r="E15" s="97">
        <v>69230.254592553742</v>
      </c>
      <c r="F15" s="191">
        <v>5938.9509917083888</v>
      </c>
    </row>
    <row r="16" spans="2:6" x14ac:dyDescent="0.3">
      <c r="B16" s="10" t="s">
        <v>32</v>
      </c>
      <c r="C16" s="117">
        <v>11.247275922579721</v>
      </c>
      <c r="D16" s="101">
        <v>1.2806481413271282</v>
      </c>
      <c r="E16" s="97">
        <v>77775.037631648956</v>
      </c>
      <c r="F16" s="191">
        <v>3422.0818714878669</v>
      </c>
    </row>
    <row r="17" spans="2:17" x14ac:dyDescent="0.3">
      <c r="B17" s="10" t="s">
        <v>33</v>
      </c>
      <c r="C17" s="117">
        <v>6.2397175543338452</v>
      </c>
      <c r="D17" s="101">
        <v>1.2866925039554908</v>
      </c>
      <c r="E17" s="97">
        <v>69634.382010513596</v>
      </c>
      <c r="F17" s="191">
        <v>1699.7751402469821</v>
      </c>
    </row>
    <row r="18" spans="2:17" x14ac:dyDescent="0.3">
      <c r="B18" s="10" t="s">
        <v>34</v>
      </c>
      <c r="C18" s="117">
        <v>5.2405090170810249</v>
      </c>
      <c r="D18" s="101">
        <v>1.1598866815260669</v>
      </c>
      <c r="E18" s="97">
        <v>73874.166919036361</v>
      </c>
      <c r="F18" s="191">
        <v>1514.4986309386404</v>
      </c>
    </row>
    <row r="19" spans="2:17" x14ac:dyDescent="0.3">
      <c r="B19" s="10" t="s">
        <v>14</v>
      </c>
      <c r="C19" s="117">
        <v>13.861621650838712</v>
      </c>
      <c r="D19" s="101">
        <v>1.2966437141842653</v>
      </c>
      <c r="E19" s="97">
        <v>70743.175053445244</v>
      </c>
      <c r="F19" s="191">
        <v>3836.2014443478565</v>
      </c>
    </row>
    <row r="20" spans="2:17" x14ac:dyDescent="0.3">
      <c r="B20" s="10" t="s">
        <v>18</v>
      </c>
      <c r="C20" s="119">
        <v>2.0601992024982403</v>
      </c>
      <c r="D20" s="101">
        <v>1.2045956945223284</v>
      </c>
      <c r="E20" s="97">
        <v>61028.792165729101</v>
      </c>
      <c r="F20" s="191">
        <v>491.86600279515392</v>
      </c>
    </row>
    <row r="21" spans="2:17" x14ac:dyDescent="0.3">
      <c r="B21" s="9" t="s">
        <v>19</v>
      </c>
      <c r="C21" s="120">
        <v>1.4165537476352468</v>
      </c>
      <c r="D21" s="103">
        <v>1.27139962288522</v>
      </c>
      <c r="E21" s="99">
        <v>86294.805990076653</v>
      </c>
      <c r="F21" s="192">
        <v>478.2120664457529</v>
      </c>
      <c r="H21" s="3"/>
    </row>
    <row r="22" spans="2:17" x14ac:dyDescent="0.3">
      <c r="B22" s="10" t="s">
        <v>233</v>
      </c>
      <c r="C22" s="118">
        <v>1.1639148218919293</v>
      </c>
      <c r="D22" s="101">
        <v>1.1040124278584194</v>
      </c>
      <c r="E22" s="97">
        <v>82170.258122335959</v>
      </c>
      <c r="F22" s="191">
        <v>374.14389757003153</v>
      </c>
      <c r="H22" s="3"/>
    </row>
    <row r="23" spans="2:17" x14ac:dyDescent="0.3">
      <c r="B23" s="111" t="s">
        <v>12</v>
      </c>
      <c r="C23" s="121">
        <v>0.63471440150670122</v>
      </c>
      <c r="D23" s="104">
        <v>1.1967577011259849</v>
      </c>
      <c r="E23" s="100">
        <v>72846.011264658155</v>
      </c>
      <c r="F23" s="193">
        <v>180.87849892702937</v>
      </c>
      <c r="H23" s="3"/>
    </row>
    <row r="24" spans="2:17" x14ac:dyDescent="0.3">
      <c r="B24" s="9"/>
      <c r="C24" s="9"/>
      <c r="D24" s="9"/>
      <c r="E24" s="9"/>
      <c r="F24" s="9"/>
      <c r="G24" s="9"/>
      <c r="H24" s="9"/>
    </row>
    <row r="25" spans="2:17" x14ac:dyDescent="0.3">
      <c r="B25" s="9"/>
      <c r="C25" s="9"/>
      <c r="D25" s="9"/>
      <c r="E25" s="9"/>
      <c r="F25" s="9"/>
      <c r="G25" s="9"/>
      <c r="H25" s="9"/>
    </row>
    <row r="26" spans="2:17" ht="18.75" customHeight="1" x14ac:dyDescent="0.3">
      <c r="B26" s="1" t="s">
        <v>132</v>
      </c>
    </row>
    <row r="27" spans="2:17" ht="13.5" customHeight="1" x14ac:dyDescent="0.3">
      <c r="N27" s="30"/>
      <c r="O27" s="30"/>
      <c r="Q27" s="30" t="s">
        <v>157</v>
      </c>
    </row>
    <row r="28" spans="2:17" ht="28.5" customHeight="1" x14ac:dyDescent="0.3">
      <c r="B28" s="305"/>
      <c r="C28" s="306"/>
      <c r="D28" s="226" t="s">
        <v>35</v>
      </c>
      <c r="E28" s="226" t="s">
        <v>280</v>
      </c>
      <c r="F28" s="226" t="s">
        <v>70</v>
      </c>
      <c r="G28" s="226" t="s">
        <v>16</v>
      </c>
      <c r="H28" s="226" t="s">
        <v>232</v>
      </c>
      <c r="I28" s="226" t="s">
        <v>287</v>
      </c>
      <c r="J28" s="226" t="s">
        <v>32</v>
      </c>
      <c r="K28" s="226" t="s">
        <v>284</v>
      </c>
      <c r="L28" s="226" t="s">
        <v>285</v>
      </c>
      <c r="M28" s="226" t="s">
        <v>288</v>
      </c>
      <c r="N28" s="227" t="s">
        <v>37</v>
      </c>
      <c r="O28" s="227" t="s">
        <v>19</v>
      </c>
      <c r="P28" s="227" t="s">
        <v>233</v>
      </c>
      <c r="Q28" s="227" t="s">
        <v>12</v>
      </c>
    </row>
    <row r="29" spans="2:17" x14ac:dyDescent="0.3">
      <c r="B29" s="292" t="s">
        <v>20</v>
      </c>
      <c r="C29" s="292"/>
      <c r="D29" s="86">
        <v>11.104065769766091</v>
      </c>
      <c r="E29" s="86">
        <v>33.390314654477429</v>
      </c>
      <c r="F29" s="88">
        <v>23.144943915376054</v>
      </c>
      <c r="G29" s="88">
        <v>16.593040301561459</v>
      </c>
      <c r="H29" s="86">
        <v>17.170158595974776</v>
      </c>
      <c r="I29" s="88">
        <v>21.896266468771373</v>
      </c>
      <c r="J29" s="86">
        <v>11.247275922579721</v>
      </c>
      <c r="K29" s="86">
        <v>6.2397175543338452</v>
      </c>
      <c r="L29" s="86">
        <v>5.2405090170810249</v>
      </c>
      <c r="M29" s="88">
        <v>13.861621650838712</v>
      </c>
      <c r="N29" s="86">
        <v>2.0601992024982403</v>
      </c>
      <c r="O29" s="86">
        <v>1.4165537476352468</v>
      </c>
      <c r="P29" s="86">
        <v>1.1639148218919293</v>
      </c>
      <c r="Q29" s="86">
        <v>0.63471440150670122</v>
      </c>
    </row>
    <row r="30" spans="2:17" x14ac:dyDescent="0.3">
      <c r="B30" s="296" t="s">
        <v>5</v>
      </c>
      <c r="C30" s="13" t="s">
        <v>0</v>
      </c>
      <c r="D30" s="84">
        <v>11.298837348301854</v>
      </c>
      <c r="E30" s="84">
        <v>32.983409495301139</v>
      </c>
      <c r="F30" s="89">
        <v>24.130189425618934</v>
      </c>
      <c r="G30" s="89">
        <v>17.289389998901303</v>
      </c>
      <c r="H30" s="84">
        <v>15.969841067712753</v>
      </c>
      <c r="I30" s="89">
        <v>21.796136950846854</v>
      </c>
      <c r="J30" s="84">
        <v>12.552126532543884</v>
      </c>
      <c r="K30" s="84">
        <v>5.4785236926668084</v>
      </c>
      <c r="L30" s="84">
        <v>4.4325616460601021</v>
      </c>
      <c r="M30" s="89">
        <v>12.695878439750457</v>
      </c>
      <c r="N30" s="84">
        <v>1.0083018421302481</v>
      </c>
      <c r="O30" s="84">
        <v>0.56888319386386765</v>
      </c>
      <c r="P30" s="84">
        <v>0.75055301667904806</v>
      </c>
      <c r="Q30" s="84">
        <v>0.36207552238601115</v>
      </c>
    </row>
    <row r="31" spans="2:17" x14ac:dyDescent="0.3">
      <c r="B31" s="295"/>
      <c r="C31" s="12" t="s">
        <v>1</v>
      </c>
      <c r="D31" s="90">
        <v>10.830156123380867</v>
      </c>
      <c r="E31" s="90">
        <v>33.962550342559723</v>
      </c>
      <c r="F31" s="90">
        <v>21.759381137982821</v>
      </c>
      <c r="G31" s="90">
        <v>15.613755229310582</v>
      </c>
      <c r="H31" s="90">
        <v>18.858179775388702</v>
      </c>
      <c r="I31" s="90">
        <v>22.037079831037108</v>
      </c>
      <c r="J31" s="90">
        <v>9.4122485954525281</v>
      </c>
      <c r="K31" s="90">
        <v>7.3101937657362042</v>
      </c>
      <c r="L31" s="90">
        <v>6.3767352589070541</v>
      </c>
      <c r="M31" s="90">
        <v>15.501020546332761</v>
      </c>
      <c r="N31" s="90">
        <v>3.5394952896275234</v>
      </c>
      <c r="O31" s="90">
        <v>2.608643185838643</v>
      </c>
      <c r="P31" s="90">
        <v>1.7452305700426738</v>
      </c>
      <c r="Q31" s="90">
        <v>1.0181297823965794</v>
      </c>
    </row>
    <row r="32" spans="2:17" x14ac:dyDescent="0.3">
      <c r="B32" s="296" t="s">
        <v>4</v>
      </c>
      <c r="C32" s="9" t="s">
        <v>175</v>
      </c>
      <c r="D32" s="86">
        <v>8.9557296262477504</v>
      </c>
      <c r="E32" s="86">
        <v>22.063947979098785</v>
      </c>
      <c r="F32" s="88">
        <v>17.382785826938527</v>
      </c>
      <c r="G32" s="88">
        <v>17.31802478774728</v>
      </c>
      <c r="H32" s="86">
        <v>36.56844684113365</v>
      </c>
      <c r="I32" s="88">
        <v>27.88437971526886</v>
      </c>
      <c r="J32" s="86">
        <v>10.78115153240887</v>
      </c>
      <c r="K32" s="86">
        <v>15.210771498243266</v>
      </c>
      <c r="L32" s="86">
        <v>6.9934596294685907</v>
      </c>
      <c r="M32" s="88">
        <v>6.7188392411523186</v>
      </c>
      <c r="N32" s="86">
        <v>4.8264270808539562</v>
      </c>
      <c r="O32" s="86">
        <v>1.1069635678493412</v>
      </c>
      <c r="P32" s="86">
        <v>0</v>
      </c>
      <c r="Q32" s="86">
        <v>0</v>
      </c>
    </row>
    <row r="33" spans="2:17" x14ac:dyDescent="0.3">
      <c r="B33" s="292"/>
      <c r="C33" s="9" t="s">
        <v>176</v>
      </c>
      <c r="D33" s="86">
        <v>15.38625703404769</v>
      </c>
      <c r="E33" s="86">
        <v>32.683325377408721</v>
      </c>
      <c r="F33" s="88">
        <v>25.085033909920636</v>
      </c>
      <c r="G33" s="88">
        <v>26.66244704630623</v>
      </c>
      <c r="H33" s="86">
        <v>23.823796994939453</v>
      </c>
      <c r="I33" s="88">
        <v>25.319920773568182</v>
      </c>
      <c r="J33" s="86">
        <v>15.574772014989758</v>
      </c>
      <c r="K33" s="86">
        <v>11.044570104767786</v>
      </c>
      <c r="L33" s="86">
        <v>9.3734322670621726</v>
      </c>
      <c r="M33" s="88">
        <v>11.362508643978515</v>
      </c>
      <c r="N33" s="86">
        <v>6.2431128478475939</v>
      </c>
      <c r="O33" s="86">
        <v>4.0958169912843152</v>
      </c>
      <c r="P33" s="86">
        <v>2.5505504357652109</v>
      </c>
      <c r="Q33" s="86">
        <v>0.70194130393171683</v>
      </c>
    </row>
    <row r="34" spans="2:17" x14ac:dyDescent="0.3">
      <c r="B34" s="292"/>
      <c r="C34" s="9" t="s">
        <v>177</v>
      </c>
      <c r="D34" s="86">
        <v>13.809474488751478</v>
      </c>
      <c r="E34" s="86">
        <v>33.997911491764768</v>
      </c>
      <c r="F34" s="88">
        <v>30.625991769311312</v>
      </c>
      <c r="G34" s="88">
        <v>18.458894020193188</v>
      </c>
      <c r="H34" s="86">
        <v>21.086231070804249</v>
      </c>
      <c r="I34" s="88">
        <v>22.472864300406755</v>
      </c>
      <c r="J34" s="86">
        <v>11.765268865720392</v>
      </c>
      <c r="K34" s="86">
        <v>10.204669436722382</v>
      </c>
      <c r="L34" s="86">
        <v>6.9458033397109098</v>
      </c>
      <c r="M34" s="88">
        <v>9.0181569202951</v>
      </c>
      <c r="N34" s="86">
        <v>2.7179318959845795</v>
      </c>
      <c r="O34" s="86">
        <v>1.6497637785752843</v>
      </c>
      <c r="P34" s="86">
        <v>0.93034594842442764</v>
      </c>
      <c r="Q34" s="86">
        <v>0.75793201248044073</v>
      </c>
    </row>
    <row r="35" spans="2:17" x14ac:dyDescent="0.3">
      <c r="B35" s="292"/>
      <c r="C35" s="9" t="s">
        <v>178</v>
      </c>
      <c r="D35" s="86">
        <v>6.9633090713435974</v>
      </c>
      <c r="E35" s="86">
        <v>36.552711379941229</v>
      </c>
      <c r="F35" s="88">
        <v>25.698642760309546</v>
      </c>
      <c r="G35" s="88">
        <v>16.8629013666425</v>
      </c>
      <c r="H35" s="86">
        <v>17.074914309722821</v>
      </c>
      <c r="I35" s="88">
        <v>24.822617521029205</v>
      </c>
      <c r="J35" s="86">
        <v>10.471441702228249</v>
      </c>
      <c r="K35" s="86">
        <v>3.3004906248910824</v>
      </c>
      <c r="L35" s="86">
        <v>4.4425532018702603</v>
      </c>
      <c r="M35" s="88">
        <v>14.80917048903197</v>
      </c>
      <c r="N35" s="86">
        <v>0.85466734437531078</v>
      </c>
      <c r="O35" s="86">
        <v>1.0132838936206925</v>
      </c>
      <c r="P35" s="86">
        <v>1.6327068802027735</v>
      </c>
      <c r="Q35" s="86">
        <v>0.57973834848189765</v>
      </c>
    </row>
    <row r="36" spans="2:17" x14ac:dyDescent="0.3">
      <c r="B36" s="292"/>
      <c r="C36" s="9" t="s">
        <v>179</v>
      </c>
      <c r="D36" s="86">
        <v>10.114714851712657</v>
      </c>
      <c r="E36" s="86">
        <v>30.442581729028685</v>
      </c>
      <c r="F36" s="88">
        <v>21.072071191873633</v>
      </c>
      <c r="G36" s="88">
        <v>14.518936998841042</v>
      </c>
      <c r="H36" s="86">
        <v>16.208647763012021</v>
      </c>
      <c r="I36" s="88">
        <v>18.242327527788142</v>
      </c>
      <c r="J36" s="86">
        <v>10.382624982865845</v>
      </c>
      <c r="K36" s="86">
        <v>4.9407830276112197</v>
      </c>
      <c r="L36" s="86">
        <v>3.8605321558218866</v>
      </c>
      <c r="M36" s="88">
        <v>15.090783340123428</v>
      </c>
      <c r="N36" s="86">
        <v>0.87820634955228938</v>
      </c>
      <c r="O36" s="86">
        <v>1.1550341532300141</v>
      </c>
      <c r="P36" s="86">
        <v>1.0735326727739405</v>
      </c>
      <c r="Q36" s="86">
        <v>0.26467935309227669</v>
      </c>
    </row>
    <row r="37" spans="2:17" x14ac:dyDescent="0.3">
      <c r="B37" s="298"/>
      <c r="C37" s="12" t="s">
        <v>180</v>
      </c>
      <c r="D37" s="90">
        <v>12.371930077448761</v>
      </c>
      <c r="E37" s="90">
        <v>35.05647241248235</v>
      </c>
      <c r="F37" s="91">
        <v>19.286575532313073</v>
      </c>
      <c r="G37" s="91">
        <v>13.334094660549431</v>
      </c>
      <c r="H37" s="90">
        <v>11.760737630867826</v>
      </c>
      <c r="I37" s="91">
        <v>21.227672642169367</v>
      </c>
      <c r="J37" s="90">
        <v>10.719302698852742</v>
      </c>
      <c r="K37" s="90">
        <v>5.0624099729893857</v>
      </c>
      <c r="L37" s="90">
        <v>4.5590669860446225</v>
      </c>
      <c r="M37" s="91">
        <v>15.960887188789485</v>
      </c>
      <c r="N37" s="90">
        <v>1.9013538889839487</v>
      </c>
      <c r="O37" s="90">
        <v>0.78736963102791802</v>
      </c>
      <c r="P37" s="90">
        <v>0.53564462059599038</v>
      </c>
      <c r="Q37" s="90">
        <v>1.0335308609696634</v>
      </c>
    </row>
    <row r="38" spans="2:17" x14ac:dyDescent="0.3">
      <c r="B38" s="292" t="s">
        <v>223</v>
      </c>
      <c r="C38" s="9" t="s">
        <v>210</v>
      </c>
      <c r="D38" s="86">
        <v>12.987411290300798</v>
      </c>
      <c r="E38" s="86">
        <v>26.398209976106507</v>
      </c>
      <c r="F38" s="88">
        <v>23.163430349299674</v>
      </c>
      <c r="G38" s="88">
        <v>19.863076411120741</v>
      </c>
      <c r="H38" s="86">
        <v>35.231244780610396</v>
      </c>
      <c r="I38" s="88">
        <v>27.506207669733939</v>
      </c>
      <c r="J38" s="86">
        <v>7.4770989768093061</v>
      </c>
      <c r="K38" s="86">
        <v>14.431045732060729</v>
      </c>
      <c r="L38" s="86">
        <v>4.1250168537606875</v>
      </c>
      <c r="M38" s="88">
        <v>6.6441078612918893</v>
      </c>
      <c r="N38" s="86">
        <v>4.7401045366076948</v>
      </c>
      <c r="O38" s="86">
        <v>0</v>
      </c>
      <c r="P38" s="86">
        <v>0</v>
      </c>
      <c r="Q38" s="86">
        <v>0</v>
      </c>
    </row>
    <row r="39" spans="2:17" x14ac:dyDescent="0.3">
      <c r="B39" s="292"/>
      <c r="C39" s="9" t="s">
        <v>211</v>
      </c>
      <c r="D39" s="86">
        <v>16.172352031869963</v>
      </c>
      <c r="E39" s="86">
        <v>33.91874647938775</v>
      </c>
      <c r="F39" s="88">
        <v>25.20130535076585</v>
      </c>
      <c r="G39" s="88">
        <v>31.141963712163808</v>
      </c>
      <c r="H39" s="86">
        <v>24.431561478002532</v>
      </c>
      <c r="I39" s="88">
        <v>25.314273965916563</v>
      </c>
      <c r="J39" s="86">
        <v>15.786542611879179</v>
      </c>
      <c r="K39" s="86">
        <v>11.000277903711082</v>
      </c>
      <c r="L39" s="86">
        <v>6.456236445007149</v>
      </c>
      <c r="M39" s="88">
        <v>10.89261878492632</v>
      </c>
      <c r="N39" s="86">
        <v>2.5941627655966393</v>
      </c>
      <c r="O39" s="86">
        <v>1.1176719574515817</v>
      </c>
      <c r="P39" s="86">
        <v>1.0222128918949496</v>
      </c>
      <c r="Q39" s="86">
        <v>1.2404128550036306</v>
      </c>
    </row>
    <row r="40" spans="2:17" x14ac:dyDescent="0.3">
      <c r="B40" s="292"/>
      <c r="C40" s="9" t="s">
        <v>212</v>
      </c>
      <c r="D40" s="86">
        <v>15.411388524609288</v>
      </c>
      <c r="E40" s="86">
        <v>33.121141790150034</v>
      </c>
      <c r="F40" s="88">
        <v>28.549455479736281</v>
      </c>
      <c r="G40" s="88">
        <v>15.847917757338539</v>
      </c>
      <c r="H40" s="86">
        <v>19.312817698992195</v>
      </c>
      <c r="I40" s="88">
        <v>21.974397212530956</v>
      </c>
      <c r="J40" s="86">
        <v>13.48327557519683</v>
      </c>
      <c r="K40" s="86">
        <v>8.6350603735745022</v>
      </c>
      <c r="L40" s="86">
        <v>6.4996179433390644</v>
      </c>
      <c r="M40" s="88">
        <v>8.1607530164019835</v>
      </c>
      <c r="N40" s="86">
        <v>1.3477340550049628</v>
      </c>
      <c r="O40" s="86">
        <v>0.90410129449152632</v>
      </c>
      <c r="P40" s="86">
        <v>1.4867728135712777</v>
      </c>
      <c r="Q40" s="86">
        <v>0</v>
      </c>
    </row>
    <row r="41" spans="2:17" x14ac:dyDescent="0.3">
      <c r="B41" s="292"/>
      <c r="C41" s="9" t="s">
        <v>213</v>
      </c>
      <c r="D41" s="86">
        <v>7.3223575780225492</v>
      </c>
      <c r="E41" s="86">
        <v>34.439606676915488</v>
      </c>
      <c r="F41" s="88">
        <v>30.289245569045953</v>
      </c>
      <c r="G41" s="88">
        <v>17.29434124894258</v>
      </c>
      <c r="H41" s="86">
        <v>15.438916265564318</v>
      </c>
      <c r="I41" s="88">
        <v>27.302755069848857</v>
      </c>
      <c r="J41" s="86">
        <v>11.917667847791016</v>
      </c>
      <c r="K41" s="86">
        <v>3.0174103392691172</v>
      </c>
      <c r="L41" s="86">
        <v>4.0513327289136498</v>
      </c>
      <c r="M41" s="88">
        <v>13.714223584702264</v>
      </c>
      <c r="N41" s="86">
        <v>0.50585223720582395</v>
      </c>
      <c r="O41" s="86">
        <v>0.27880768562723279</v>
      </c>
      <c r="P41" s="86">
        <v>0.77436700026559535</v>
      </c>
      <c r="Q41" s="86">
        <v>0</v>
      </c>
    </row>
    <row r="42" spans="2:17" x14ac:dyDescent="0.3">
      <c r="B42" s="292"/>
      <c r="C42" s="9" t="s">
        <v>214</v>
      </c>
      <c r="D42" s="86">
        <v>10.687854973027424</v>
      </c>
      <c r="E42" s="86">
        <v>29.991878329499993</v>
      </c>
      <c r="F42" s="88">
        <v>21.43711706609605</v>
      </c>
      <c r="G42" s="88">
        <v>13.910625853389655</v>
      </c>
      <c r="H42" s="86">
        <v>14.371177937115579</v>
      </c>
      <c r="I42" s="88">
        <v>16.876187227426719</v>
      </c>
      <c r="J42" s="86">
        <v>12.906555168581304</v>
      </c>
      <c r="K42" s="86">
        <v>4.4547974685066842</v>
      </c>
      <c r="L42" s="86">
        <v>3.312143981024533</v>
      </c>
      <c r="M42" s="88">
        <v>12.490530403696956</v>
      </c>
      <c r="N42" s="86">
        <v>0.90280111030434629</v>
      </c>
      <c r="O42" s="86">
        <v>0.63445992596262679</v>
      </c>
      <c r="P42" s="86">
        <v>0.85183045144297231</v>
      </c>
      <c r="Q42" s="86">
        <v>0.16857882184629805</v>
      </c>
    </row>
    <row r="43" spans="2:17" x14ac:dyDescent="0.3">
      <c r="B43" s="292"/>
      <c r="C43" s="12" t="s">
        <v>215</v>
      </c>
      <c r="D43" s="90">
        <v>10.697404859112064</v>
      </c>
      <c r="E43" s="90">
        <v>35.143605379737089</v>
      </c>
      <c r="F43" s="91">
        <v>19.233371043619886</v>
      </c>
      <c r="G43" s="91">
        <v>15.680755476597785</v>
      </c>
      <c r="H43" s="90">
        <v>10.971688483069522</v>
      </c>
      <c r="I43" s="91">
        <v>20.53030964542176</v>
      </c>
      <c r="J43" s="90">
        <v>11.279605017486356</v>
      </c>
      <c r="K43" s="90">
        <v>3.6930122300167811</v>
      </c>
      <c r="L43" s="90">
        <v>3.9782322029707511</v>
      </c>
      <c r="M43" s="91">
        <v>15.909022659618474</v>
      </c>
      <c r="N43" s="90">
        <v>0.3369969448498436</v>
      </c>
      <c r="O43" s="90">
        <v>0.36974273521440859</v>
      </c>
      <c r="P43" s="90">
        <v>0.16989808554178276</v>
      </c>
      <c r="Q43" s="90">
        <v>0.72824433440157177</v>
      </c>
    </row>
    <row r="44" spans="2:17" x14ac:dyDescent="0.3">
      <c r="B44" s="292"/>
      <c r="C44" s="9" t="s">
        <v>216</v>
      </c>
      <c r="D44" s="86">
        <v>3.3390738130553652</v>
      </c>
      <c r="E44" s="86">
        <v>16.025758491459747</v>
      </c>
      <c r="F44" s="88">
        <v>9.3295977615200645</v>
      </c>
      <c r="G44" s="88">
        <v>13.772437564740997</v>
      </c>
      <c r="H44" s="86">
        <v>38.431342861327003</v>
      </c>
      <c r="I44" s="88">
        <v>28.411222456073261</v>
      </c>
      <c r="J44" s="86">
        <v>15.384125561574999</v>
      </c>
      <c r="K44" s="86">
        <v>16.297030687894267</v>
      </c>
      <c r="L44" s="86">
        <v>10.98957269926713</v>
      </c>
      <c r="M44" s="88">
        <v>6.8229497523723497</v>
      </c>
      <c r="N44" s="86">
        <v>4.9466855884323842</v>
      </c>
      <c r="O44" s="86">
        <v>2.6491074860531425</v>
      </c>
      <c r="P44" s="86">
        <v>0</v>
      </c>
      <c r="Q44" s="86">
        <v>0</v>
      </c>
    </row>
    <row r="45" spans="2:17" x14ac:dyDescent="0.3">
      <c r="B45" s="292"/>
      <c r="C45" s="9" t="s">
        <v>217</v>
      </c>
      <c r="D45" s="86">
        <v>14.361518500160212</v>
      </c>
      <c r="E45" s="86">
        <v>31.072853853886969</v>
      </c>
      <c r="F45" s="88">
        <v>24.933464664276325</v>
      </c>
      <c r="G45" s="88">
        <v>20.823034057529849</v>
      </c>
      <c r="H45" s="86">
        <v>23.031526738738524</v>
      </c>
      <c r="I45" s="88">
        <v>25.327281844952871</v>
      </c>
      <c r="J45" s="86">
        <v>15.298711880301063</v>
      </c>
      <c r="K45" s="86">
        <v>11.102308578233782</v>
      </c>
      <c r="L45" s="86">
        <v>13.176233427274237</v>
      </c>
      <c r="M45" s="88">
        <v>11.975048154581836</v>
      </c>
      <c r="N45" s="86">
        <v>10.999814986740931</v>
      </c>
      <c r="O45" s="86">
        <v>7.978070388302001</v>
      </c>
      <c r="P45" s="86">
        <v>4.5428622789006647</v>
      </c>
      <c r="Q45" s="86">
        <v>0</v>
      </c>
    </row>
    <row r="46" spans="2:17" x14ac:dyDescent="0.3">
      <c r="B46" s="292"/>
      <c r="C46" s="9" t="s">
        <v>218</v>
      </c>
      <c r="D46" s="86">
        <v>11.131073558934389</v>
      </c>
      <c r="E46" s="86">
        <v>35.463870795119696</v>
      </c>
      <c r="F46" s="88">
        <v>34.097961303443434</v>
      </c>
      <c r="G46" s="88">
        <v>22.824447410463307</v>
      </c>
      <c r="H46" s="86">
        <v>24.051378961195265</v>
      </c>
      <c r="I46" s="88">
        <v>23.306301477286812</v>
      </c>
      <c r="J46" s="86">
        <v>8.8927609376469601</v>
      </c>
      <c r="K46" s="86">
        <v>12.829056438821063</v>
      </c>
      <c r="L46" s="86">
        <v>7.6918255067950732</v>
      </c>
      <c r="M46" s="88">
        <v>10.451736601858</v>
      </c>
      <c r="N46" s="86">
        <v>5.0089032522271681</v>
      </c>
      <c r="O46" s="86">
        <v>2.8965117600487127</v>
      </c>
      <c r="P46" s="86">
        <v>0</v>
      </c>
      <c r="Q46" s="86">
        <v>2.0251946505025216</v>
      </c>
    </row>
    <row r="47" spans="2:17" x14ac:dyDescent="0.3">
      <c r="B47" s="292"/>
      <c r="C47" s="9" t="s">
        <v>219</v>
      </c>
      <c r="D47" s="86">
        <v>6.4344026677104846</v>
      </c>
      <c r="E47" s="86">
        <v>39.665479120753986</v>
      </c>
      <c r="F47" s="88">
        <v>18.936327427112566</v>
      </c>
      <c r="G47" s="88">
        <v>16.227356830774799</v>
      </c>
      <c r="H47" s="86">
        <v>19.484866797452181</v>
      </c>
      <c r="I47" s="88">
        <v>21.169181823455204</v>
      </c>
      <c r="J47" s="86">
        <v>8.3410379955957605</v>
      </c>
      <c r="K47" s="86">
        <v>3.7174899244915238</v>
      </c>
      <c r="L47" s="86">
        <v>5.0188514165404303</v>
      </c>
      <c r="M47" s="88">
        <v>16.422112524899852</v>
      </c>
      <c r="N47" s="86">
        <v>1.3684991538217204</v>
      </c>
      <c r="O47" s="86">
        <v>2.0952245297676391</v>
      </c>
      <c r="P47" s="86">
        <v>2.8971083483818356</v>
      </c>
      <c r="Q47" s="86">
        <v>1.4337380706361</v>
      </c>
    </row>
    <row r="48" spans="2:17" x14ac:dyDescent="0.3">
      <c r="B48" s="292"/>
      <c r="C48" s="9" t="s">
        <v>220</v>
      </c>
      <c r="D48" s="86">
        <v>9.3287449512897176</v>
      </c>
      <c r="E48" s="86">
        <v>31.060649271107561</v>
      </c>
      <c r="F48" s="88">
        <v>20.57146922955728</v>
      </c>
      <c r="G48" s="88">
        <v>15.353138326990635</v>
      </c>
      <c r="H48" s="86">
        <v>18.728443398287091</v>
      </c>
      <c r="I48" s="88">
        <v>20.115770191993317</v>
      </c>
      <c r="J48" s="86">
        <v>6.9214588858378248</v>
      </c>
      <c r="K48" s="86">
        <v>5.6072344018757656</v>
      </c>
      <c r="L48" s="86">
        <v>4.6125587250835984</v>
      </c>
      <c r="M48" s="88">
        <v>18.656613868318367</v>
      </c>
      <c r="N48" s="86">
        <v>0.84447857349837074</v>
      </c>
      <c r="O48" s="86">
        <v>1.868918347254853</v>
      </c>
      <c r="P48" s="86">
        <v>1.3775617685268522</v>
      </c>
      <c r="Q48" s="86">
        <v>0.39646584328026735</v>
      </c>
    </row>
    <row r="49" spans="2:17" x14ac:dyDescent="0.3">
      <c r="B49" s="295"/>
      <c r="C49" s="9" t="s">
        <v>221</v>
      </c>
      <c r="D49" s="90">
        <v>14.586213500870013</v>
      </c>
      <c r="E49" s="90">
        <v>34.941253434044256</v>
      </c>
      <c r="F49" s="91">
        <v>19.356929693644858</v>
      </c>
      <c r="G49" s="91">
        <v>10.231022763830435</v>
      </c>
      <c r="H49" s="90">
        <v>12.80412499171625</v>
      </c>
      <c r="I49" s="91">
        <v>22.149820189961726</v>
      </c>
      <c r="J49" s="90">
        <v>9.9783952925807853</v>
      </c>
      <c r="K49" s="90">
        <v>6.8732126346217832</v>
      </c>
      <c r="L49" s="90">
        <v>5.3271251901393102</v>
      </c>
      <c r="M49" s="91">
        <v>16.029469474651449</v>
      </c>
      <c r="N49" s="90">
        <v>3.9699579397194205</v>
      </c>
      <c r="O49" s="90">
        <v>1.3396123219401848</v>
      </c>
      <c r="P49" s="90">
        <v>1.0192840909819378</v>
      </c>
      <c r="Q49" s="90">
        <v>1.437221941743607</v>
      </c>
    </row>
    <row r="50" spans="2:17" ht="16.5" customHeight="1" x14ac:dyDescent="0.3">
      <c r="B50" s="291" t="s">
        <v>222</v>
      </c>
      <c r="C50" s="13" t="s">
        <v>226</v>
      </c>
      <c r="D50" s="84">
        <v>11.000923264308883</v>
      </c>
      <c r="E50" s="84">
        <v>31.394484717601163</v>
      </c>
      <c r="F50" s="84">
        <v>23.813508858912037</v>
      </c>
      <c r="G50" s="84">
        <v>19.147549541475456</v>
      </c>
      <c r="H50" s="84">
        <v>19.324881495471438</v>
      </c>
      <c r="I50" s="84">
        <v>25.43432377928751</v>
      </c>
      <c r="J50" s="84">
        <v>11.583600892594555</v>
      </c>
      <c r="K50" s="84">
        <v>7.6517420906540625</v>
      </c>
      <c r="L50" s="84">
        <v>6.4985308526894245</v>
      </c>
      <c r="M50" s="84">
        <v>14.706345579091307</v>
      </c>
      <c r="N50" s="84">
        <v>1.7672142196082308</v>
      </c>
      <c r="O50" s="84">
        <v>2.0990704549223724</v>
      </c>
      <c r="P50" s="84">
        <v>0.83239086023840103</v>
      </c>
      <c r="Q50" s="84">
        <v>0.53252651594296341</v>
      </c>
    </row>
    <row r="51" spans="2:17" x14ac:dyDescent="0.3">
      <c r="B51" s="294"/>
      <c r="C51" s="9" t="s">
        <v>227</v>
      </c>
      <c r="D51" s="86">
        <v>10.872272329857461</v>
      </c>
      <c r="E51" s="86">
        <v>31.873435859524648</v>
      </c>
      <c r="F51" s="86">
        <v>21.515873204919732</v>
      </c>
      <c r="G51" s="86">
        <v>16.954557696146455</v>
      </c>
      <c r="H51" s="86">
        <v>17.245737717458454</v>
      </c>
      <c r="I51" s="86">
        <v>23.115935455176054</v>
      </c>
      <c r="J51" s="86">
        <v>12.083234083925491</v>
      </c>
      <c r="K51" s="86">
        <v>5.9946343973372267</v>
      </c>
      <c r="L51" s="86">
        <v>5.1494425105765975</v>
      </c>
      <c r="M51" s="86">
        <v>12.77215545736893</v>
      </c>
      <c r="N51" s="86">
        <v>1.6850898437592263</v>
      </c>
      <c r="O51" s="86">
        <v>1.2226063169145742</v>
      </c>
      <c r="P51" s="86">
        <v>0.93893517233120116</v>
      </c>
      <c r="Q51" s="86">
        <v>0.6942632252961769</v>
      </c>
    </row>
    <row r="52" spans="2:17" x14ac:dyDescent="0.3">
      <c r="B52" s="292"/>
      <c r="C52" s="9" t="s">
        <v>228</v>
      </c>
      <c r="D52" s="86">
        <v>9.3665388290121374</v>
      </c>
      <c r="E52" s="86">
        <v>34.399249002794292</v>
      </c>
      <c r="F52" s="86">
        <v>24.313200431477942</v>
      </c>
      <c r="G52" s="86">
        <v>16.704963829330602</v>
      </c>
      <c r="H52" s="86">
        <v>15.776429369464632</v>
      </c>
      <c r="I52" s="86">
        <v>19.923174651718444</v>
      </c>
      <c r="J52" s="86">
        <v>10.475260656652285</v>
      </c>
      <c r="K52" s="86">
        <v>5.5129078611820326</v>
      </c>
      <c r="L52" s="86">
        <v>4.4330251190591961</v>
      </c>
      <c r="M52" s="86">
        <v>14.253969868456004</v>
      </c>
      <c r="N52" s="86">
        <v>1.8187787674686353</v>
      </c>
      <c r="O52" s="86">
        <v>1.0707984689566592</v>
      </c>
      <c r="P52" s="86">
        <v>1.4494086497324397</v>
      </c>
      <c r="Q52" s="86">
        <v>0.42930016157263429</v>
      </c>
    </row>
    <row r="53" spans="2:17" x14ac:dyDescent="0.3">
      <c r="B53" s="295"/>
      <c r="C53" s="12" t="s">
        <v>229</v>
      </c>
      <c r="D53" s="90">
        <v>12.929506783128991</v>
      </c>
      <c r="E53" s="90">
        <v>35.549753099485663</v>
      </c>
      <c r="F53" s="90">
        <v>23.425762882175807</v>
      </c>
      <c r="G53" s="90">
        <v>14.320818293340995</v>
      </c>
      <c r="H53" s="90">
        <v>16.78853424420663</v>
      </c>
      <c r="I53" s="90">
        <v>19.814047757161752</v>
      </c>
      <c r="J53" s="90">
        <v>10.777652103148831</v>
      </c>
      <c r="K53" s="90">
        <v>6.1463218471091441</v>
      </c>
      <c r="L53" s="90">
        <v>5.1582533239099781</v>
      </c>
      <c r="M53" s="90">
        <v>14.108041038546101</v>
      </c>
      <c r="N53" s="90">
        <v>2.8787443675031041</v>
      </c>
      <c r="O53" s="90">
        <v>1.4480929460405245</v>
      </c>
      <c r="P53" s="90">
        <v>1.3914858055234591</v>
      </c>
      <c r="Q53" s="90">
        <v>0.81954132686082848</v>
      </c>
    </row>
    <row r="54" spans="2:17" x14ac:dyDescent="0.3">
      <c r="B54" s="296" t="s">
        <v>199</v>
      </c>
      <c r="C54" s="13" t="s">
        <v>192</v>
      </c>
      <c r="D54" s="84">
        <v>11.480310637641422</v>
      </c>
      <c r="E54" s="84">
        <v>32.850616244329537</v>
      </c>
      <c r="F54" s="84">
        <v>23.386730406700561</v>
      </c>
      <c r="G54" s="84">
        <v>16.65043656251413</v>
      </c>
      <c r="H54" s="84">
        <v>17.788721566904382</v>
      </c>
      <c r="I54" s="84">
        <v>21.975229491498368</v>
      </c>
      <c r="J54" s="84">
        <v>10.954706683427485</v>
      </c>
      <c r="K54" s="84">
        <v>6.0979074619084717</v>
      </c>
      <c r="L54" s="84">
        <v>5.5900938794742219</v>
      </c>
      <c r="M54" s="84">
        <v>14.714327888256019</v>
      </c>
      <c r="N54" s="84">
        <v>2.0640772959538007</v>
      </c>
      <c r="O54" s="84">
        <v>1.5912563463779228</v>
      </c>
      <c r="P54" s="84">
        <v>1.0137600537655267</v>
      </c>
      <c r="Q54" s="84">
        <v>0.66869129964412533</v>
      </c>
    </row>
    <row r="55" spans="2:17" ht="16.5" customHeight="1" x14ac:dyDescent="0.3">
      <c r="B55" s="292"/>
      <c r="C55" s="9" t="s">
        <v>200</v>
      </c>
      <c r="D55" s="86">
        <v>10.388668886319492</v>
      </c>
      <c r="E55" s="86">
        <v>34.284691193393783</v>
      </c>
      <c r="F55" s="86">
        <v>15.189228616980992</v>
      </c>
      <c r="G55" s="86">
        <v>17.00973950521497</v>
      </c>
      <c r="H55" s="86">
        <v>17.453576620188546</v>
      </c>
      <c r="I55" s="86">
        <v>28.055523577060747</v>
      </c>
      <c r="J55" s="86">
        <v>13.836474469241145</v>
      </c>
      <c r="K55" s="86">
        <v>5.7219332959382054</v>
      </c>
      <c r="L55" s="86">
        <v>6.171371428599314</v>
      </c>
      <c r="M55" s="86">
        <v>9.528065735898803</v>
      </c>
      <c r="N55" s="86">
        <v>3.1489431117442312</v>
      </c>
      <c r="O55" s="86">
        <v>0.92468464213066004</v>
      </c>
      <c r="P55" s="86">
        <v>0.41849129679933994</v>
      </c>
      <c r="Q55" s="86">
        <v>0.96610784362144919</v>
      </c>
    </row>
    <row r="56" spans="2:17" x14ac:dyDescent="0.3">
      <c r="B56" s="292"/>
      <c r="C56" s="9" t="s">
        <v>201</v>
      </c>
      <c r="D56" s="86">
        <v>9.3436099328061264</v>
      </c>
      <c r="E56" s="86">
        <v>36.068548604644278</v>
      </c>
      <c r="F56" s="86">
        <v>22.456982396475929</v>
      </c>
      <c r="G56" s="86">
        <v>16.24934861912849</v>
      </c>
      <c r="H56" s="86">
        <v>17.402200008377971</v>
      </c>
      <c r="I56" s="86">
        <v>18.67266470779224</v>
      </c>
      <c r="J56" s="86">
        <v>9.6551616021390352</v>
      </c>
      <c r="K56" s="86">
        <v>7.5676368837120158</v>
      </c>
      <c r="L56" s="86">
        <v>4.7791791469695459</v>
      </c>
      <c r="M56" s="86">
        <v>12.927545299541912</v>
      </c>
      <c r="N56" s="86">
        <v>0.47865530503852999</v>
      </c>
      <c r="O56" s="86">
        <v>0.78715267703368064</v>
      </c>
      <c r="P56" s="86">
        <v>1.6944100833186735</v>
      </c>
      <c r="Q56" s="86">
        <v>0.21577930028853851</v>
      </c>
    </row>
    <row r="57" spans="2:17" x14ac:dyDescent="0.3">
      <c r="B57" s="292"/>
      <c r="C57" s="9" t="s">
        <v>202</v>
      </c>
      <c r="D57" s="86">
        <v>7.8909503009295934</v>
      </c>
      <c r="E57" s="86">
        <v>30.768378380939389</v>
      </c>
      <c r="F57" s="86">
        <v>26.619499076302215</v>
      </c>
      <c r="G57" s="86">
        <v>18.494267205833697</v>
      </c>
      <c r="H57" s="86">
        <v>15.144458494946496</v>
      </c>
      <c r="I57" s="86">
        <v>21.938315670006826</v>
      </c>
      <c r="J57" s="86">
        <v>11.081703493963129</v>
      </c>
      <c r="K57" s="86">
        <v>6.0065164325298559</v>
      </c>
      <c r="L57" s="86">
        <v>4.7671255953086185</v>
      </c>
      <c r="M57" s="86">
        <v>12.355263009641938</v>
      </c>
      <c r="N57" s="86">
        <v>0.91896558185991939</v>
      </c>
      <c r="O57" s="86">
        <v>1.6867517922587758</v>
      </c>
      <c r="P57" s="86">
        <v>1.2373414665306386</v>
      </c>
      <c r="Q57" s="86">
        <v>0.85769419561417692</v>
      </c>
    </row>
    <row r="58" spans="2:17" x14ac:dyDescent="0.3">
      <c r="B58" s="295"/>
      <c r="C58" s="12" t="s">
        <v>203</v>
      </c>
      <c r="D58" s="90">
        <v>12.615875835056467</v>
      </c>
      <c r="E58" s="90">
        <v>34.401030599930479</v>
      </c>
      <c r="F58" s="90">
        <v>22.778396013029901</v>
      </c>
      <c r="G58" s="90">
        <v>15.697298512788613</v>
      </c>
      <c r="H58" s="90">
        <v>16.451807871405016</v>
      </c>
      <c r="I58" s="90">
        <v>22.118827301496854</v>
      </c>
      <c r="J58" s="90">
        <v>12.305096286936292</v>
      </c>
      <c r="K58" s="90">
        <v>6.1399786804092855</v>
      </c>
      <c r="L58" s="90">
        <v>4.6782711768705338</v>
      </c>
      <c r="M58" s="90">
        <v>13.742184588768346</v>
      </c>
      <c r="N58" s="90">
        <v>3.1176336893375076</v>
      </c>
      <c r="O58" s="90">
        <v>1.2709794369860281</v>
      </c>
      <c r="P58" s="90">
        <v>1.3673223046791483</v>
      </c>
      <c r="Q58" s="90">
        <v>0.59472316089558142</v>
      </c>
    </row>
    <row r="59" spans="2:17" x14ac:dyDescent="0.3">
      <c r="B59" s="291" t="s">
        <v>204</v>
      </c>
      <c r="C59" s="13" t="s">
        <v>192</v>
      </c>
      <c r="D59" s="84">
        <v>11.480310637641422</v>
      </c>
      <c r="E59" s="84">
        <v>32.850616244329537</v>
      </c>
      <c r="F59" s="84">
        <v>23.386730406700561</v>
      </c>
      <c r="G59" s="84">
        <v>16.65043656251413</v>
      </c>
      <c r="H59" s="84">
        <v>17.788721566904382</v>
      </c>
      <c r="I59" s="84">
        <v>21.975229491498368</v>
      </c>
      <c r="J59" s="84">
        <v>10.954706683427485</v>
      </c>
      <c r="K59" s="84">
        <v>6.0979074619084717</v>
      </c>
      <c r="L59" s="84">
        <v>5.5900938794742219</v>
      </c>
      <c r="M59" s="84">
        <v>14.714327888256019</v>
      </c>
      <c r="N59" s="84">
        <v>2.0640772959538007</v>
      </c>
      <c r="O59" s="84">
        <v>1.5912563463779228</v>
      </c>
      <c r="P59" s="84">
        <v>1.0137600537655267</v>
      </c>
      <c r="Q59" s="84">
        <v>0.66869129964412533</v>
      </c>
    </row>
    <row r="60" spans="2:17" x14ac:dyDescent="0.3">
      <c r="B60" s="295"/>
      <c r="C60" s="12" t="s">
        <v>193</v>
      </c>
      <c r="D60" s="90">
        <v>10.681141555060442</v>
      </c>
      <c r="E60" s="90">
        <v>33.996971504253374</v>
      </c>
      <c r="F60" s="90">
        <v>22.873159844147771</v>
      </c>
      <c r="G60" s="90">
        <v>16.528523093054321</v>
      </c>
      <c r="H60" s="90">
        <v>16.474852743156969</v>
      </c>
      <c r="I60" s="90">
        <v>21.80750678796505</v>
      </c>
      <c r="J60" s="90">
        <v>11.576143174415488</v>
      </c>
      <c r="K60" s="90">
        <v>6.3991215146190914</v>
      </c>
      <c r="L60" s="90">
        <v>4.847552418800956</v>
      </c>
      <c r="M60" s="90">
        <v>12.903123219030702</v>
      </c>
      <c r="N60" s="90">
        <v>2.0558399679430628</v>
      </c>
      <c r="O60" s="90">
        <v>1.2201764261384334</v>
      </c>
      <c r="P60" s="90">
        <v>1.3326987517639133</v>
      </c>
      <c r="Q60" s="90">
        <v>0.59652211188412174</v>
      </c>
    </row>
    <row r="61" spans="2:17" x14ac:dyDescent="0.3">
      <c r="B61" s="291" t="s">
        <v>209</v>
      </c>
      <c r="C61" s="13" t="s">
        <v>205</v>
      </c>
      <c r="D61" s="84">
        <v>11.64822915738605</v>
      </c>
      <c r="E61" s="84">
        <v>29.957024718980289</v>
      </c>
      <c r="F61" s="84">
        <v>21.553935015739214</v>
      </c>
      <c r="G61" s="84">
        <v>15.643698664956517</v>
      </c>
      <c r="H61" s="84">
        <v>20.496414842050665</v>
      </c>
      <c r="I61" s="84">
        <v>24.143025615614377</v>
      </c>
      <c r="J61" s="84">
        <v>16.599240559043444</v>
      </c>
      <c r="K61" s="84">
        <v>7.2029499091406004</v>
      </c>
      <c r="L61" s="84">
        <v>5.5875639467660392</v>
      </c>
      <c r="M61" s="84">
        <v>16.577215132553004</v>
      </c>
      <c r="N61" s="84">
        <v>2.3117542655630445</v>
      </c>
      <c r="O61" s="84">
        <v>2.8220421301304852</v>
      </c>
      <c r="P61" s="84">
        <v>2.3302457616926717</v>
      </c>
      <c r="Q61" s="84">
        <v>1.0931409296590258</v>
      </c>
    </row>
    <row r="62" spans="2:17" x14ac:dyDescent="0.3">
      <c r="B62" s="292"/>
      <c r="C62" s="9" t="s">
        <v>206</v>
      </c>
      <c r="D62" s="86">
        <v>10.405431835193014</v>
      </c>
      <c r="E62" s="86">
        <v>32.585209844122417</v>
      </c>
      <c r="F62" s="86">
        <v>22.466921120556361</v>
      </c>
      <c r="G62" s="86">
        <v>13.705647850219115</v>
      </c>
      <c r="H62" s="86">
        <v>13.71228586919222</v>
      </c>
      <c r="I62" s="86">
        <v>20.9149311681557</v>
      </c>
      <c r="J62" s="86">
        <v>10.379844742924883</v>
      </c>
      <c r="K62" s="86">
        <v>5.6282221962957486</v>
      </c>
      <c r="L62" s="86">
        <v>4.5235876083475191</v>
      </c>
      <c r="M62" s="86">
        <v>14.083456271724499</v>
      </c>
      <c r="N62" s="86">
        <v>1.0366859728540938</v>
      </c>
      <c r="O62" s="86">
        <v>0.96337482250908046</v>
      </c>
      <c r="P62" s="86">
        <v>0.68539566401233754</v>
      </c>
      <c r="Q62" s="86">
        <v>0.75093639344457841</v>
      </c>
    </row>
    <row r="63" spans="2:17" x14ac:dyDescent="0.3">
      <c r="B63" s="292"/>
      <c r="C63" s="9" t="s">
        <v>207</v>
      </c>
      <c r="D63" s="86">
        <v>9.8280977065263784</v>
      </c>
      <c r="E63" s="86">
        <v>33.761364045840217</v>
      </c>
      <c r="F63" s="86">
        <v>24.327218798226202</v>
      </c>
      <c r="G63" s="86">
        <v>17.907282063695245</v>
      </c>
      <c r="H63" s="86">
        <v>14.303695899454514</v>
      </c>
      <c r="I63" s="86">
        <v>20.974208965055439</v>
      </c>
      <c r="J63" s="86">
        <v>9.3172761444023795</v>
      </c>
      <c r="K63" s="86">
        <v>5.9910704465371403</v>
      </c>
      <c r="L63" s="86">
        <v>3.8441982337312282</v>
      </c>
      <c r="M63" s="86">
        <v>15.546004739759677</v>
      </c>
      <c r="N63" s="86">
        <v>2.0633301141473428</v>
      </c>
      <c r="O63" s="86">
        <v>0.87303104276487864</v>
      </c>
      <c r="P63" s="86">
        <v>0.79261836452032219</v>
      </c>
      <c r="Q63" s="86">
        <v>0.53595622855582381</v>
      </c>
    </row>
    <row r="64" spans="2:17" x14ac:dyDescent="0.3">
      <c r="B64" s="293"/>
      <c r="C64" s="25" t="s">
        <v>208</v>
      </c>
      <c r="D64" s="87">
        <v>12.570007453898352</v>
      </c>
      <c r="E64" s="87">
        <v>34.655805362010533</v>
      </c>
      <c r="F64" s="87">
        <v>22.961070924494873</v>
      </c>
      <c r="G64" s="87">
        <v>17.441672054656632</v>
      </c>
      <c r="H64" s="87">
        <v>20.945787536871123</v>
      </c>
      <c r="I64" s="87">
        <v>22.646011267771922</v>
      </c>
      <c r="J64" s="87">
        <v>11.870703109739148</v>
      </c>
      <c r="K64" s="87">
        <v>6.5399833021410769</v>
      </c>
      <c r="L64" s="87">
        <v>6.8962660792325048</v>
      </c>
      <c r="M64" s="87">
        <v>11.240077835137027</v>
      </c>
      <c r="N64" s="87">
        <v>2.6084770959345405</v>
      </c>
      <c r="O64" s="87">
        <v>1.754541005668004</v>
      </c>
      <c r="P64" s="87">
        <v>1.4320930423730116</v>
      </c>
      <c r="Q64" s="87">
        <v>0.50705794567774343</v>
      </c>
    </row>
    <row r="67" spans="2:51" ht="18.75" customHeight="1" x14ac:dyDescent="0.3">
      <c r="B67" s="1" t="s">
        <v>136</v>
      </c>
      <c r="F67" s="304"/>
      <c r="G67" s="304"/>
      <c r="H67" s="304"/>
      <c r="I67" s="304"/>
      <c r="J67" s="304"/>
      <c r="K67" s="304"/>
      <c r="L67" s="304"/>
      <c r="M67" s="304"/>
      <c r="N67" s="304"/>
      <c r="O67" s="304"/>
      <c r="P67" s="304"/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304"/>
      <c r="AB67" s="304"/>
      <c r="AC67" s="304"/>
      <c r="AD67" s="304"/>
      <c r="AE67" s="304"/>
      <c r="AF67" s="304"/>
      <c r="AG67" s="304"/>
      <c r="AH67" s="304"/>
      <c r="AI67" s="304"/>
      <c r="AJ67" s="304"/>
      <c r="AK67" s="304"/>
      <c r="AL67" s="304"/>
      <c r="AM67" s="304"/>
      <c r="AN67" s="304"/>
      <c r="AO67" s="304"/>
      <c r="AP67" s="304"/>
      <c r="AQ67" s="304"/>
      <c r="AR67" s="304"/>
      <c r="AS67" s="304"/>
      <c r="AT67" s="304"/>
      <c r="AU67" s="304"/>
      <c r="AV67" s="304"/>
      <c r="AW67" s="304"/>
      <c r="AX67" s="304"/>
      <c r="AY67" s="304"/>
    </row>
    <row r="68" spans="2:51" ht="13.5" customHeight="1" x14ac:dyDescent="0.3">
      <c r="M68" s="30"/>
      <c r="N68" s="30"/>
      <c r="P68" s="30"/>
      <c r="Q68" s="30" t="s">
        <v>53</v>
      </c>
    </row>
    <row r="69" spans="2:51" ht="28.5" customHeight="1" x14ac:dyDescent="0.3">
      <c r="B69" s="305"/>
      <c r="C69" s="306"/>
      <c r="D69" s="226" t="s">
        <v>35</v>
      </c>
      <c r="E69" s="226" t="s">
        <v>280</v>
      </c>
      <c r="F69" s="226" t="s">
        <v>70</v>
      </c>
      <c r="G69" s="226" t="s">
        <v>16</v>
      </c>
      <c r="H69" s="226" t="s">
        <v>232</v>
      </c>
      <c r="I69" s="226" t="s">
        <v>287</v>
      </c>
      <c r="J69" s="226" t="s">
        <v>32</v>
      </c>
      <c r="K69" s="226" t="s">
        <v>284</v>
      </c>
      <c r="L69" s="226" t="s">
        <v>285</v>
      </c>
      <c r="M69" s="226" t="s">
        <v>288</v>
      </c>
      <c r="N69" s="227" t="s">
        <v>37</v>
      </c>
      <c r="O69" s="227" t="s">
        <v>19</v>
      </c>
      <c r="P69" s="227" t="s">
        <v>233</v>
      </c>
      <c r="Q69" s="227" t="s">
        <v>12</v>
      </c>
    </row>
    <row r="70" spans="2:51" x14ac:dyDescent="0.3">
      <c r="B70" s="292" t="s">
        <v>20</v>
      </c>
      <c r="C70" s="292"/>
      <c r="D70" s="72">
        <v>1.1089162131233019</v>
      </c>
      <c r="E70" s="72">
        <v>1.0932355876773676</v>
      </c>
      <c r="F70" s="73">
        <v>1.104153125933754</v>
      </c>
      <c r="G70" s="72">
        <v>1.1420031264723243</v>
      </c>
      <c r="H70" s="73">
        <v>1.1950677562707588</v>
      </c>
      <c r="I70" s="72">
        <v>1.4043839834196981</v>
      </c>
      <c r="J70" s="72">
        <v>1.2806481413271282</v>
      </c>
      <c r="K70" s="72">
        <v>1.2866925039554908</v>
      </c>
      <c r="L70" s="73">
        <v>1.1598866815260669</v>
      </c>
      <c r="M70" s="72">
        <v>1.2966437141842653</v>
      </c>
      <c r="N70" s="72">
        <v>1.2045956945223284</v>
      </c>
      <c r="O70" s="72">
        <v>1.27139962288522</v>
      </c>
      <c r="P70" s="72">
        <v>1.1040124278584194</v>
      </c>
      <c r="Q70" s="72">
        <v>1.1967577011259849</v>
      </c>
    </row>
    <row r="71" spans="2:51" x14ac:dyDescent="0.3">
      <c r="B71" s="296" t="s">
        <v>5</v>
      </c>
      <c r="C71" s="13" t="s">
        <v>0</v>
      </c>
      <c r="D71" s="74">
        <v>1.1307044952189529</v>
      </c>
      <c r="E71" s="74">
        <v>1.0852555029393967</v>
      </c>
      <c r="F71" s="75">
        <v>1.0846229265641625</v>
      </c>
      <c r="G71" s="74">
        <v>1.1218100495194241</v>
      </c>
      <c r="H71" s="75">
        <v>1.1609901885038911</v>
      </c>
      <c r="I71" s="74">
        <v>1.3880045389940843</v>
      </c>
      <c r="J71" s="74">
        <v>1.2727543271803887</v>
      </c>
      <c r="K71" s="74">
        <v>1.1858223266574488</v>
      </c>
      <c r="L71" s="75">
        <v>1.1847155098817355</v>
      </c>
      <c r="M71" s="74">
        <v>1.2797186838666652</v>
      </c>
      <c r="N71" s="74">
        <v>1.4976248447987885</v>
      </c>
      <c r="O71" s="74">
        <v>1.0970262418814485</v>
      </c>
      <c r="P71" s="74">
        <v>1</v>
      </c>
      <c r="Q71" s="74">
        <v>1.434740746788203</v>
      </c>
    </row>
    <row r="72" spans="2:51" x14ac:dyDescent="0.3">
      <c r="B72" s="295"/>
      <c r="C72" s="12" t="s">
        <v>1</v>
      </c>
      <c r="D72" s="76">
        <v>1.0769490739175449</v>
      </c>
      <c r="E72" s="76">
        <v>1.1041345335987187</v>
      </c>
      <c r="F72" s="76">
        <v>1.1346112121553833</v>
      </c>
      <c r="G72" s="76">
        <v>1.1734484847685651</v>
      </c>
      <c r="H72" s="76">
        <v>1.2356514111220556</v>
      </c>
      <c r="I72" s="76">
        <v>1.4270865808098225</v>
      </c>
      <c r="J72" s="76">
        <v>1.2954526009424838</v>
      </c>
      <c r="K72" s="76">
        <v>1.3930037437588365</v>
      </c>
      <c r="L72" s="76">
        <v>1.1356153072804618</v>
      </c>
      <c r="M72" s="76">
        <v>1.3161382842687026</v>
      </c>
      <c r="N72" s="76">
        <v>1.0872028054492953</v>
      </c>
      <c r="O72" s="76">
        <v>1.3248770316858578</v>
      </c>
      <c r="P72" s="76">
        <v>1.1669189304222898</v>
      </c>
      <c r="Q72" s="76">
        <v>1.0777366488052196</v>
      </c>
    </row>
    <row r="73" spans="2:51" x14ac:dyDescent="0.3">
      <c r="B73" s="296" t="s">
        <v>4</v>
      </c>
      <c r="C73" s="9" t="s">
        <v>175</v>
      </c>
      <c r="D73" s="72">
        <v>1.318423135391555</v>
      </c>
      <c r="E73" s="72">
        <v>1</v>
      </c>
      <c r="F73" s="73">
        <v>1.0815219837337238</v>
      </c>
      <c r="G73" s="72">
        <v>1.4308219486007325</v>
      </c>
      <c r="H73" s="73">
        <v>1.3192725823487308</v>
      </c>
      <c r="I73" s="72">
        <v>1.1801219190491654</v>
      </c>
      <c r="J73" s="72">
        <v>1.1278178905825798</v>
      </c>
      <c r="K73" s="72">
        <v>1.2817395741844542</v>
      </c>
      <c r="L73" s="73">
        <v>1.2329885623079786</v>
      </c>
      <c r="M73" s="72">
        <v>1.1148903075410872</v>
      </c>
      <c r="N73" s="72">
        <v>1.4434605362678008</v>
      </c>
      <c r="O73" s="72">
        <v>1</v>
      </c>
      <c r="P73" s="72"/>
      <c r="Q73" s="72"/>
    </row>
    <row r="74" spans="2:51" x14ac:dyDescent="0.3">
      <c r="B74" s="292"/>
      <c r="C74" s="9" t="s">
        <v>176</v>
      </c>
      <c r="D74" s="72">
        <v>1.1969949502096489</v>
      </c>
      <c r="E74" s="72">
        <v>1.1585796860285</v>
      </c>
      <c r="F74" s="73">
        <v>1.1525475592675516</v>
      </c>
      <c r="G74" s="72">
        <v>1.1765359952819452</v>
      </c>
      <c r="H74" s="73">
        <v>1.2025485135279421</v>
      </c>
      <c r="I74" s="72">
        <v>1.4270756635442798</v>
      </c>
      <c r="J74" s="72">
        <v>1.3343390436048386</v>
      </c>
      <c r="K74" s="72">
        <v>1.380323313912726</v>
      </c>
      <c r="L74" s="73">
        <v>1.1541634161557848</v>
      </c>
      <c r="M74" s="72">
        <v>1.1650297963926519</v>
      </c>
      <c r="N74" s="72">
        <v>1.1335710978229445</v>
      </c>
      <c r="O74" s="72">
        <v>1.3650559865272989</v>
      </c>
      <c r="P74" s="72">
        <v>1.3628774840880069</v>
      </c>
      <c r="Q74" s="72">
        <v>1</v>
      </c>
    </row>
    <row r="75" spans="2:51" x14ac:dyDescent="0.3">
      <c r="B75" s="292"/>
      <c r="C75" s="9" t="s">
        <v>177</v>
      </c>
      <c r="D75" s="72">
        <v>1.1333917510475016</v>
      </c>
      <c r="E75" s="72">
        <v>1.0801761624112851</v>
      </c>
      <c r="F75" s="73">
        <v>1.1931237566654589</v>
      </c>
      <c r="G75" s="72">
        <v>1.2219641773008172</v>
      </c>
      <c r="H75" s="73">
        <v>1.2081558441031346</v>
      </c>
      <c r="I75" s="72">
        <v>1.3895585310326335</v>
      </c>
      <c r="J75" s="72">
        <v>1.3737270770414034</v>
      </c>
      <c r="K75" s="72">
        <v>1.2952102994261374</v>
      </c>
      <c r="L75" s="73">
        <v>1.1600371784325527</v>
      </c>
      <c r="M75" s="72">
        <v>1.362156613846365</v>
      </c>
      <c r="N75" s="72">
        <v>1.2983034920859506</v>
      </c>
      <c r="O75" s="72">
        <v>1.8401019441431659</v>
      </c>
      <c r="P75" s="72">
        <v>1</v>
      </c>
      <c r="Q75" s="72">
        <v>1.3306713419794596</v>
      </c>
    </row>
    <row r="76" spans="2:51" x14ac:dyDescent="0.3">
      <c r="B76" s="292"/>
      <c r="C76" s="9" t="s">
        <v>178</v>
      </c>
      <c r="D76" s="72">
        <v>1.0660058102057255</v>
      </c>
      <c r="E76" s="72">
        <v>1.1044018634856321</v>
      </c>
      <c r="F76" s="73">
        <v>1.0872328733082368</v>
      </c>
      <c r="G76" s="72">
        <v>1.0993196829522496</v>
      </c>
      <c r="H76" s="73">
        <v>1.2156435590188013</v>
      </c>
      <c r="I76" s="72">
        <v>1.501036070323521</v>
      </c>
      <c r="J76" s="72">
        <v>1.3314946881131691</v>
      </c>
      <c r="K76" s="72">
        <v>1.2702936764069703</v>
      </c>
      <c r="L76" s="73">
        <v>1.0202533279710864</v>
      </c>
      <c r="M76" s="72">
        <v>1.2346194381576803</v>
      </c>
      <c r="N76" s="72">
        <v>1.1582347575792578</v>
      </c>
      <c r="O76" s="72">
        <v>1</v>
      </c>
      <c r="P76" s="72">
        <v>1.0601186709356298</v>
      </c>
      <c r="Q76" s="72">
        <v>1</v>
      </c>
    </row>
    <row r="77" spans="2:51" x14ac:dyDescent="0.3">
      <c r="B77" s="292"/>
      <c r="C77" s="9" t="s">
        <v>179</v>
      </c>
      <c r="D77" s="72">
        <v>1.1176920111608786</v>
      </c>
      <c r="E77" s="72">
        <v>1.0995776356521556</v>
      </c>
      <c r="F77" s="73">
        <v>1.0669318355557151</v>
      </c>
      <c r="G77" s="72">
        <v>1.1602070298073259</v>
      </c>
      <c r="H77" s="73">
        <v>1.1724696997979618</v>
      </c>
      <c r="I77" s="72">
        <v>1.3819827349405907</v>
      </c>
      <c r="J77" s="72">
        <v>1.2561266685129922</v>
      </c>
      <c r="K77" s="72">
        <v>1.2121680429314234</v>
      </c>
      <c r="L77" s="73">
        <v>1.20469428564697</v>
      </c>
      <c r="M77" s="72">
        <v>1.3340847628153047</v>
      </c>
      <c r="N77" s="72">
        <v>1.6095595340715489</v>
      </c>
      <c r="O77" s="72">
        <v>1.1225384804491687</v>
      </c>
      <c r="P77" s="72">
        <v>1</v>
      </c>
      <c r="Q77" s="72">
        <v>1</v>
      </c>
    </row>
    <row r="78" spans="2:51" x14ac:dyDescent="0.3">
      <c r="B78" s="298"/>
      <c r="C78" s="12" t="s">
        <v>180</v>
      </c>
      <c r="D78" s="76">
        <v>1.0466821568133686</v>
      </c>
      <c r="E78" s="76">
        <v>1.064432227301253</v>
      </c>
      <c r="F78" s="77">
        <v>1.0686039221179779</v>
      </c>
      <c r="G78" s="76">
        <v>1.0445799990333067</v>
      </c>
      <c r="H78" s="77">
        <v>1.1522843187214575</v>
      </c>
      <c r="I78" s="76">
        <v>1.3600424937842595</v>
      </c>
      <c r="J78" s="76">
        <v>1.1967478487584606</v>
      </c>
      <c r="K78" s="76">
        <v>1.2784486581092247</v>
      </c>
      <c r="L78" s="77">
        <v>1.2197740345153656</v>
      </c>
      <c r="M78" s="76">
        <v>1.3312858342015439</v>
      </c>
      <c r="N78" s="76">
        <v>1</v>
      </c>
      <c r="O78" s="76">
        <v>1</v>
      </c>
      <c r="P78" s="76">
        <v>1</v>
      </c>
      <c r="Q78" s="76">
        <v>1.3417964578419321</v>
      </c>
    </row>
    <row r="79" spans="2:51" x14ac:dyDescent="0.3">
      <c r="B79" s="292" t="s">
        <v>223</v>
      </c>
      <c r="C79" s="9" t="s">
        <v>210</v>
      </c>
      <c r="D79" s="72">
        <v>1.3771878270946205</v>
      </c>
      <c r="E79" s="72">
        <v>1</v>
      </c>
      <c r="F79" s="73">
        <v>1.1050910949275783</v>
      </c>
      <c r="G79" s="72">
        <v>1.6452445407541496</v>
      </c>
      <c r="H79" s="73">
        <v>1.4225540956277807</v>
      </c>
      <c r="I79" s="72">
        <v>1.2477024352959083</v>
      </c>
      <c r="J79" s="72">
        <v>1</v>
      </c>
      <c r="K79" s="72">
        <v>1.5101242480455122</v>
      </c>
      <c r="L79" s="73">
        <v>1.678540259978871</v>
      </c>
      <c r="M79" s="72">
        <v>1.1995793676255659</v>
      </c>
      <c r="N79" s="72">
        <v>1.5259558767007455</v>
      </c>
      <c r="O79" s="72"/>
      <c r="P79" s="72"/>
      <c r="Q79" s="72"/>
    </row>
    <row r="80" spans="2:51" x14ac:dyDescent="0.3">
      <c r="B80" s="292"/>
      <c r="C80" s="9" t="s">
        <v>211</v>
      </c>
      <c r="D80" s="72">
        <v>1.2492307663357229</v>
      </c>
      <c r="E80" s="72">
        <v>1.1358164633877239</v>
      </c>
      <c r="F80" s="73">
        <v>1.1276595392069437</v>
      </c>
      <c r="G80" s="72">
        <v>1.180405259475495</v>
      </c>
      <c r="H80" s="73">
        <v>1.1441266897154341</v>
      </c>
      <c r="I80" s="72">
        <v>1.3441605299334252</v>
      </c>
      <c r="J80" s="72">
        <v>1.2950158301188226</v>
      </c>
      <c r="K80" s="72">
        <v>1.1899039749208504</v>
      </c>
      <c r="L80" s="73">
        <v>1.1477673984201964</v>
      </c>
      <c r="M80" s="72">
        <v>1.0750908914785611</v>
      </c>
      <c r="N80" s="72">
        <v>1.1838784512129377</v>
      </c>
      <c r="O80" s="72">
        <v>1.4658683473268712</v>
      </c>
      <c r="P80" s="72">
        <v>1</v>
      </c>
      <c r="Q80" s="72">
        <v>1</v>
      </c>
    </row>
    <row r="81" spans="2:17" x14ac:dyDescent="0.3">
      <c r="B81" s="292"/>
      <c r="C81" s="9" t="s">
        <v>212</v>
      </c>
      <c r="D81" s="72">
        <v>1.0968689221159156</v>
      </c>
      <c r="E81" s="72">
        <v>1.0175758115746838</v>
      </c>
      <c r="F81" s="73">
        <v>1.0885174065108263</v>
      </c>
      <c r="G81" s="72">
        <v>1.1226818634073477</v>
      </c>
      <c r="H81" s="73">
        <v>1.1558392992923936</v>
      </c>
      <c r="I81" s="72">
        <v>1.3487053255413568</v>
      </c>
      <c r="J81" s="72">
        <v>1.3699039838795302</v>
      </c>
      <c r="K81" s="72">
        <v>1.0738532912091774</v>
      </c>
      <c r="L81" s="73">
        <v>1.1627979059801941</v>
      </c>
      <c r="M81" s="72">
        <v>1.3195278959579388</v>
      </c>
      <c r="N81" s="72">
        <v>1.6612998498161242</v>
      </c>
      <c r="O81" s="72">
        <v>1</v>
      </c>
      <c r="P81" s="72">
        <v>1</v>
      </c>
      <c r="Q81" s="72"/>
    </row>
    <row r="82" spans="2:17" x14ac:dyDescent="0.3">
      <c r="B82" s="292"/>
      <c r="C82" s="9" t="s">
        <v>213</v>
      </c>
      <c r="D82" s="72">
        <v>1.1053801938351029</v>
      </c>
      <c r="E82" s="72">
        <v>1.1406933631714899</v>
      </c>
      <c r="F82" s="73">
        <v>1.0789246704541242</v>
      </c>
      <c r="G82" s="72">
        <v>1.0817202479584636</v>
      </c>
      <c r="H82" s="73">
        <v>1.1772426118442272</v>
      </c>
      <c r="I82" s="72">
        <v>1.6323426174676945</v>
      </c>
      <c r="J82" s="72">
        <v>1.3126734670932043</v>
      </c>
      <c r="K82" s="72">
        <v>1.4265529620844755</v>
      </c>
      <c r="L82" s="73">
        <v>1</v>
      </c>
      <c r="M82" s="72">
        <v>1.2776979577441632</v>
      </c>
      <c r="N82" s="72">
        <v>1.4488357169926085</v>
      </c>
      <c r="O82" s="72">
        <v>1</v>
      </c>
      <c r="P82" s="72">
        <v>1</v>
      </c>
      <c r="Q82" s="72"/>
    </row>
    <row r="83" spans="2:17" x14ac:dyDescent="0.3">
      <c r="B83" s="292"/>
      <c r="C83" s="9" t="s">
        <v>214</v>
      </c>
      <c r="D83" s="72">
        <v>1.1312575972597192</v>
      </c>
      <c r="E83" s="72">
        <v>1.0641717309695389</v>
      </c>
      <c r="F83" s="73">
        <v>1.0765661236160322</v>
      </c>
      <c r="G83" s="72">
        <v>1.1448865651595124</v>
      </c>
      <c r="H83" s="73">
        <v>1.144647129044245</v>
      </c>
      <c r="I83" s="72">
        <v>1.2456041943223966</v>
      </c>
      <c r="J83" s="72">
        <v>1.2528758511368498</v>
      </c>
      <c r="K83" s="72">
        <v>1.127418761043032</v>
      </c>
      <c r="L83" s="73">
        <v>1.317855377446282</v>
      </c>
      <c r="M83" s="72">
        <v>1.3821064957994265</v>
      </c>
      <c r="N83" s="72">
        <v>1.9043593576585487</v>
      </c>
      <c r="O83" s="72">
        <v>1</v>
      </c>
      <c r="P83" s="72">
        <v>1</v>
      </c>
      <c r="Q83" s="72">
        <v>1</v>
      </c>
    </row>
    <row r="84" spans="2:17" x14ac:dyDescent="0.3">
      <c r="B84" s="292"/>
      <c r="C84" s="12" t="s">
        <v>215</v>
      </c>
      <c r="D84" s="76">
        <v>1.0690152799427082</v>
      </c>
      <c r="E84" s="76">
        <v>1.0814135903094102</v>
      </c>
      <c r="F84" s="77">
        <v>1.0724840347295364</v>
      </c>
      <c r="G84" s="76">
        <v>1.0261583271805657</v>
      </c>
      <c r="H84" s="77">
        <v>1.1097406827647578</v>
      </c>
      <c r="I84" s="76">
        <v>1.3139311237608373</v>
      </c>
      <c r="J84" s="76">
        <v>1.2021713930855087</v>
      </c>
      <c r="K84" s="76">
        <v>1.1270381600951256</v>
      </c>
      <c r="L84" s="77">
        <v>1.2162095499080057</v>
      </c>
      <c r="M84" s="76">
        <v>1.2452967518496443</v>
      </c>
      <c r="N84" s="76">
        <v>1</v>
      </c>
      <c r="O84" s="76">
        <v>1</v>
      </c>
      <c r="P84" s="76">
        <v>1</v>
      </c>
      <c r="Q84" s="76">
        <v>1.8519169446797059</v>
      </c>
    </row>
    <row r="85" spans="2:17" x14ac:dyDescent="0.3">
      <c r="B85" s="292"/>
      <c r="C85" s="9" t="s">
        <v>216</v>
      </c>
      <c r="D85" s="72">
        <v>1</v>
      </c>
      <c r="E85" s="72">
        <v>1</v>
      </c>
      <c r="F85" s="73">
        <v>1</v>
      </c>
      <c r="G85" s="72">
        <v>1</v>
      </c>
      <c r="H85" s="73">
        <v>1.1873689976447543</v>
      </c>
      <c r="I85" s="72">
        <v>1.0889725052986092</v>
      </c>
      <c r="J85" s="72">
        <v>1.2143632005009868</v>
      </c>
      <c r="K85" s="72">
        <v>1</v>
      </c>
      <c r="L85" s="73">
        <v>1</v>
      </c>
      <c r="M85" s="72">
        <v>1</v>
      </c>
      <c r="N85" s="72">
        <v>1.3333333333333333</v>
      </c>
      <c r="O85" s="72">
        <v>1</v>
      </c>
      <c r="P85" s="72"/>
      <c r="Q85" s="72"/>
    </row>
    <row r="86" spans="2:17" x14ac:dyDescent="0.3">
      <c r="B86" s="292"/>
      <c r="C86" s="9" t="s">
        <v>217</v>
      </c>
      <c r="D86" s="72">
        <v>1.1203154552898564</v>
      </c>
      <c r="E86" s="72">
        <v>1.1909711392207103</v>
      </c>
      <c r="F86" s="73">
        <v>1.1853396259764437</v>
      </c>
      <c r="G86" s="72">
        <v>1.1689925732810982</v>
      </c>
      <c r="H86" s="73">
        <v>1.2833355435104752</v>
      </c>
      <c r="I86" s="72">
        <v>1.5322803394720492</v>
      </c>
      <c r="J86" s="72">
        <v>1.3872346008195955</v>
      </c>
      <c r="K86" s="72">
        <v>1.6262691369002185</v>
      </c>
      <c r="L86" s="73">
        <v>1.1582488279763066</v>
      </c>
      <c r="M86" s="72">
        <v>1.271674837588376</v>
      </c>
      <c r="N86" s="72">
        <v>1.1181049788712305</v>
      </c>
      <c r="O86" s="72">
        <v>1.3466453709080066</v>
      </c>
      <c r="P86" s="72">
        <v>1.4693187030789059</v>
      </c>
      <c r="Q86" s="72"/>
    </row>
    <row r="87" spans="2:17" x14ac:dyDescent="0.3">
      <c r="B87" s="292"/>
      <c r="C87" s="9" t="s">
        <v>218</v>
      </c>
      <c r="D87" s="72">
        <v>1.2179401729719757</v>
      </c>
      <c r="E87" s="72">
        <v>1.1779296613875347</v>
      </c>
      <c r="F87" s="73">
        <v>1.3395651477015507</v>
      </c>
      <c r="G87" s="72">
        <v>1.3372245999253272</v>
      </c>
      <c r="H87" s="73">
        <v>1.2783952927668909</v>
      </c>
      <c r="I87" s="72">
        <v>1.453961535723838</v>
      </c>
      <c r="J87" s="72">
        <v>1.3834190022699253</v>
      </c>
      <c r="K87" s="72">
        <v>1.5443255523256101</v>
      </c>
      <c r="L87" s="73">
        <v>1.1561366959234558</v>
      </c>
      <c r="M87" s="72">
        <v>1.4178085693427585</v>
      </c>
      <c r="N87" s="72">
        <v>1.1349982194906487</v>
      </c>
      <c r="O87" s="72">
        <v>2.2785419401537101</v>
      </c>
      <c r="P87" s="72"/>
      <c r="Q87" s="72">
        <v>1.3306713419794596</v>
      </c>
    </row>
    <row r="88" spans="2:17" x14ac:dyDescent="0.3">
      <c r="B88" s="292"/>
      <c r="C88" s="9" t="s">
        <v>219</v>
      </c>
      <c r="D88" s="72">
        <v>1</v>
      </c>
      <c r="E88" s="72">
        <v>1.0579849675956292</v>
      </c>
      <c r="F88" s="73">
        <v>1.1068089426225984</v>
      </c>
      <c r="G88" s="72">
        <v>1.1269496688959308</v>
      </c>
      <c r="H88" s="73">
        <v>1.2604651231021582</v>
      </c>
      <c r="I88" s="72">
        <v>1.2515682792409601</v>
      </c>
      <c r="J88" s="72">
        <v>1.3711083210268218</v>
      </c>
      <c r="K88" s="72">
        <v>1.0834595915821026</v>
      </c>
      <c r="L88" s="73">
        <v>1.0443366099055327</v>
      </c>
      <c r="M88" s="72">
        <v>1.1816251976394458</v>
      </c>
      <c r="N88" s="72">
        <v>1</v>
      </c>
      <c r="O88" s="72">
        <v>1</v>
      </c>
      <c r="P88" s="72">
        <v>1.0837897017567766</v>
      </c>
      <c r="Q88" s="72">
        <v>1</v>
      </c>
    </row>
    <row r="89" spans="2:17" x14ac:dyDescent="0.3">
      <c r="B89" s="292"/>
      <c r="C89" s="9" t="s">
        <v>220</v>
      </c>
      <c r="D89" s="72">
        <v>1.0963786964417392</v>
      </c>
      <c r="E89" s="72">
        <v>1.1464604781536392</v>
      </c>
      <c r="F89" s="73">
        <v>1.0531639958876138</v>
      </c>
      <c r="G89" s="72">
        <v>1.1792426288008873</v>
      </c>
      <c r="H89" s="73">
        <v>1.2017471359583989</v>
      </c>
      <c r="I89" s="72">
        <v>1.538884854874311</v>
      </c>
      <c r="J89" s="72">
        <v>1.2644395267509358</v>
      </c>
      <c r="K89" s="72">
        <v>1.3045017735418112</v>
      </c>
      <c r="L89" s="73">
        <v>1.0932623867367219</v>
      </c>
      <c r="M89" s="72">
        <v>1.2899956875811913</v>
      </c>
      <c r="N89" s="72">
        <v>1.1773684809769047</v>
      </c>
      <c r="O89" s="72">
        <v>1.1795853033682009</v>
      </c>
      <c r="P89" s="72">
        <v>1</v>
      </c>
      <c r="Q89" s="72">
        <v>1</v>
      </c>
    </row>
    <row r="90" spans="2:17" x14ac:dyDescent="0.3">
      <c r="B90" s="295"/>
      <c r="C90" s="9" t="s">
        <v>221</v>
      </c>
      <c r="D90" s="76">
        <v>1.0250237332228751</v>
      </c>
      <c r="E90" s="76">
        <v>1.0418471336444068</v>
      </c>
      <c r="F90" s="77">
        <v>1.0635058639788544</v>
      </c>
      <c r="G90" s="76">
        <v>1.0819151997035734</v>
      </c>
      <c r="H90" s="77">
        <v>1.2004901618874588</v>
      </c>
      <c r="I90" s="76">
        <v>1.41655893889161</v>
      </c>
      <c r="J90" s="76">
        <v>1.1886408912249298</v>
      </c>
      <c r="K90" s="76">
        <v>1.3860254206970755</v>
      </c>
      <c r="L90" s="77">
        <v>1.2232939763385731</v>
      </c>
      <c r="M90" s="76">
        <v>1.4441378139822736</v>
      </c>
      <c r="N90" s="76">
        <v>1</v>
      </c>
      <c r="O90" s="76">
        <v>1</v>
      </c>
      <c r="P90" s="76">
        <v>1</v>
      </c>
      <c r="Q90" s="76">
        <v>1</v>
      </c>
    </row>
    <row r="91" spans="2:17" ht="16.5" customHeight="1" x14ac:dyDescent="0.3">
      <c r="B91" s="291" t="s">
        <v>222</v>
      </c>
      <c r="C91" s="13" t="s">
        <v>226</v>
      </c>
      <c r="D91" s="74">
        <v>1.2002332973816223</v>
      </c>
      <c r="E91" s="74">
        <v>1.1430825567296736</v>
      </c>
      <c r="F91" s="74">
        <v>1.2287667749612259</v>
      </c>
      <c r="G91" s="74">
        <v>1.294661480860176</v>
      </c>
      <c r="H91" s="74">
        <v>1.2143575062749512</v>
      </c>
      <c r="I91" s="74">
        <v>1.4794576591477409</v>
      </c>
      <c r="J91" s="74">
        <v>1.3284843135698363</v>
      </c>
      <c r="K91" s="74">
        <v>1.2813628402485877</v>
      </c>
      <c r="L91" s="74">
        <v>1.2430252625783731</v>
      </c>
      <c r="M91" s="74">
        <v>1.4697301130837268</v>
      </c>
      <c r="N91" s="74">
        <v>1.1972151254042989</v>
      </c>
      <c r="O91" s="74">
        <v>1.2985720791308597</v>
      </c>
      <c r="P91" s="74">
        <v>1</v>
      </c>
      <c r="Q91" s="74">
        <v>1</v>
      </c>
    </row>
    <row r="92" spans="2:17" x14ac:dyDescent="0.3">
      <c r="B92" s="294"/>
      <c r="C92" s="9" t="s">
        <v>227</v>
      </c>
      <c r="D92" s="72">
        <v>1.1614870100282206</v>
      </c>
      <c r="E92" s="72">
        <v>1.0858041472656967</v>
      </c>
      <c r="F92" s="72">
        <v>1.1086097806670441</v>
      </c>
      <c r="G92" s="72">
        <v>1.0889919586988233</v>
      </c>
      <c r="H92" s="72">
        <v>1.1850624993699665</v>
      </c>
      <c r="I92" s="72">
        <v>1.4040331588323234</v>
      </c>
      <c r="J92" s="72">
        <v>1.2834365123514742</v>
      </c>
      <c r="K92" s="72">
        <v>1.2364979356490704</v>
      </c>
      <c r="L92" s="72">
        <v>1.1823984978775706</v>
      </c>
      <c r="M92" s="72">
        <v>1.2622938768528451</v>
      </c>
      <c r="N92" s="72">
        <v>1.223678296227348</v>
      </c>
      <c r="O92" s="72">
        <v>1.5030229806912607</v>
      </c>
      <c r="P92" s="72">
        <v>1.2399601293949014</v>
      </c>
      <c r="Q92" s="72">
        <v>1.1598901927818535</v>
      </c>
    </row>
    <row r="93" spans="2:17" x14ac:dyDescent="0.3">
      <c r="B93" s="292"/>
      <c r="C93" s="9" t="s">
        <v>228</v>
      </c>
      <c r="D93" s="72">
        <v>1.0247285464506353</v>
      </c>
      <c r="E93" s="72">
        <v>1.0791231492209234</v>
      </c>
      <c r="F93" s="72">
        <v>1.0436861431152571</v>
      </c>
      <c r="G93" s="72">
        <v>1.0953115138143623</v>
      </c>
      <c r="H93" s="72">
        <v>1.2079445331048519</v>
      </c>
      <c r="I93" s="72">
        <v>1.3909170263359938</v>
      </c>
      <c r="J93" s="72">
        <v>1.2662070675670467</v>
      </c>
      <c r="K93" s="72">
        <v>1.2781316587368439</v>
      </c>
      <c r="L93" s="72">
        <v>1.0854965276211113</v>
      </c>
      <c r="M93" s="72">
        <v>1.2818229939449723</v>
      </c>
      <c r="N93" s="72">
        <v>1.4106264933957384</v>
      </c>
      <c r="O93" s="72">
        <v>1</v>
      </c>
      <c r="P93" s="72">
        <v>1.0573447677062757</v>
      </c>
      <c r="Q93" s="72">
        <v>1</v>
      </c>
    </row>
    <row r="94" spans="2:17" x14ac:dyDescent="0.3">
      <c r="B94" s="295"/>
      <c r="C94" s="12" t="s">
        <v>229</v>
      </c>
      <c r="D94" s="76">
        <v>1.0596589545186446</v>
      </c>
      <c r="E94" s="76">
        <v>1.0814800821114396</v>
      </c>
      <c r="F94" s="76">
        <v>1.0655028931161894</v>
      </c>
      <c r="G94" s="76">
        <v>1.1142392076779488</v>
      </c>
      <c r="H94" s="76">
        <v>1.1801786749760526</v>
      </c>
      <c r="I94" s="76">
        <v>1.3491990283373758</v>
      </c>
      <c r="J94" s="76">
        <v>1.2534875014587725</v>
      </c>
      <c r="K94" s="76">
        <v>1.3508224676996388</v>
      </c>
      <c r="L94" s="76">
        <v>1.1177382471255675</v>
      </c>
      <c r="M94" s="76">
        <v>1.217084787509449</v>
      </c>
      <c r="N94" s="76">
        <v>1.0830939136960851</v>
      </c>
      <c r="O94" s="76">
        <v>1.2063748818612572</v>
      </c>
      <c r="P94" s="76">
        <v>1.0905137095537387</v>
      </c>
      <c r="Q94" s="76">
        <v>1.4089809058044307</v>
      </c>
    </row>
    <row r="95" spans="2:17" x14ac:dyDescent="0.3">
      <c r="B95" s="296" t="s">
        <v>199</v>
      </c>
      <c r="C95" s="13" t="s">
        <v>192</v>
      </c>
      <c r="D95" s="74">
        <v>1.0672659861233065</v>
      </c>
      <c r="E95" s="74">
        <v>1.0874248484881255</v>
      </c>
      <c r="F95" s="74">
        <v>1.0823082550376446</v>
      </c>
      <c r="G95" s="74">
        <v>1.1170496257252225</v>
      </c>
      <c r="H95" s="74">
        <v>1.2110961617352729</v>
      </c>
      <c r="I95" s="74">
        <v>1.4272412435465769</v>
      </c>
      <c r="J95" s="74">
        <v>1.2856529059937525</v>
      </c>
      <c r="K95" s="74">
        <v>1.3445634891331715</v>
      </c>
      <c r="L95" s="74">
        <v>1.1304949599464034</v>
      </c>
      <c r="M95" s="74">
        <v>1.296497722967521</v>
      </c>
      <c r="N95" s="74">
        <v>1.2022906469536281</v>
      </c>
      <c r="O95" s="74">
        <v>1.3315025720749645</v>
      </c>
      <c r="P95" s="74">
        <v>1.1888708229363139</v>
      </c>
      <c r="Q95" s="74">
        <v>1.0929453000216736</v>
      </c>
    </row>
    <row r="96" spans="2:17" ht="16.5" customHeight="1" x14ac:dyDescent="0.3">
      <c r="B96" s="292"/>
      <c r="C96" s="9" t="s">
        <v>200</v>
      </c>
      <c r="D96" s="72">
        <v>1.0669736004042769</v>
      </c>
      <c r="E96" s="72">
        <v>1.0947388987891771</v>
      </c>
      <c r="F96" s="72">
        <v>1.1107525059087755</v>
      </c>
      <c r="G96" s="72">
        <v>1.2472913731141304</v>
      </c>
      <c r="H96" s="72">
        <v>1.1021961352100615</v>
      </c>
      <c r="I96" s="72">
        <v>1.269778619774967</v>
      </c>
      <c r="J96" s="72">
        <v>1.6567261370563346</v>
      </c>
      <c r="K96" s="72">
        <v>1</v>
      </c>
      <c r="L96" s="72">
        <v>1.3269734222462253</v>
      </c>
      <c r="M96" s="72">
        <v>1.3325263383833643</v>
      </c>
      <c r="N96" s="72">
        <v>1.1260723830154376</v>
      </c>
      <c r="O96" s="72">
        <v>1</v>
      </c>
      <c r="P96" s="72">
        <v>1</v>
      </c>
      <c r="Q96" s="72">
        <v>1</v>
      </c>
    </row>
    <row r="97" spans="2:51" ht="16.5" customHeight="1" x14ac:dyDescent="0.3">
      <c r="B97" s="292"/>
      <c r="C97" s="9" t="s">
        <v>201</v>
      </c>
      <c r="D97" s="72">
        <v>1.2004207362354153</v>
      </c>
      <c r="E97" s="72">
        <v>1.112490280038166</v>
      </c>
      <c r="F97" s="72">
        <v>1.1006763346779822</v>
      </c>
      <c r="G97" s="72">
        <v>1.1045091971781253</v>
      </c>
      <c r="H97" s="72">
        <v>1.2335831917766278</v>
      </c>
      <c r="I97" s="72">
        <v>1.3173188936644589</v>
      </c>
      <c r="J97" s="72">
        <v>1.2530136060573971</v>
      </c>
      <c r="K97" s="72">
        <v>1.3000985422967009</v>
      </c>
      <c r="L97" s="72">
        <v>1.0471825639258994</v>
      </c>
      <c r="M97" s="72">
        <v>1.136334587322803</v>
      </c>
      <c r="N97" s="72">
        <v>1</v>
      </c>
      <c r="O97" s="72">
        <v>1</v>
      </c>
      <c r="P97" s="72">
        <v>1</v>
      </c>
      <c r="Q97" s="72">
        <v>5</v>
      </c>
    </row>
    <row r="98" spans="2:51" ht="16.5" customHeight="1" x14ac:dyDescent="0.3">
      <c r="B98" s="292"/>
      <c r="C98" s="9" t="s">
        <v>202</v>
      </c>
      <c r="D98" s="72">
        <v>1.0878126777209634</v>
      </c>
      <c r="E98" s="72">
        <v>1.0870455153204566</v>
      </c>
      <c r="F98" s="72">
        <v>1.1244008229708529</v>
      </c>
      <c r="G98" s="72">
        <v>1.1211997035629142</v>
      </c>
      <c r="H98" s="72">
        <v>1.2171702266117819</v>
      </c>
      <c r="I98" s="72">
        <v>1.4470096406002546</v>
      </c>
      <c r="J98" s="72">
        <v>1.2236659829350971</v>
      </c>
      <c r="K98" s="72">
        <v>1.3269890759334169</v>
      </c>
      <c r="L98" s="72">
        <v>1.1862873744817872</v>
      </c>
      <c r="M98" s="72">
        <v>1.5773300358494604</v>
      </c>
      <c r="N98" s="72">
        <v>1.2778453326669112</v>
      </c>
      <c r="O98" s="72">
        <v>1.127600796672001</v>
      </c>
      <c r="P98" s="72">
        <v>1</v>
      </c>
      <c r="Q98" s="72">
        <v>1</v>
      </c>
    </row>
    <row r="99" spans="2:51" x14ac:dyDescent="0.3">
      <c r="B99" s="295"/>
      <c r="C99" s="12" t="s">
        <v>203</v>
      </c>
      <c r="D99" s="76">
        <v>1.1783116099555173</v>
      </c>
      <c r="E99" s="76">
        <v>1.0989420953068902</v>
      </c>
      <c r="F99" s="76">
        <v>1.1474201676308047</v>
      </c>
      <c r="G99" s="76">
        <v>1.2134641141823008</v>
      </c>
      <c r="H99" s="76">
        <v>1.1433430961907924</v>
      </c>
      <c r="I99" s="76">
        <v>1.3973396734930175</v>
      </c>
      <c r="J99" s="76">
        <v>1.2274118835616139</v>
      </c>
      <c r="K99" s="76">
        <v>1.1734138370762128</v>
      </c>
      <c r="L99" s="76">
        <v>1.2460596389761023</v>
      </c>
      <c r="M99" s="76">
        <v>1.2516347558245229</v>
      </c>
      <c r="N99" s="76">
        <v>1.2277511573171795</v>
      </c>
      <c r="O99" s="76">
        <v>1.2942580573422737</v>
      </c>
      <c r="P99" s="76">
        <v>1.0644382966509693</v>
      </c>
      <c r="Q99" s="76">
        <v>1</v>
      </c>
    </row>
    <row r="100" spans="2:51" x14ac:dyDescent="0.3">
      <c r="B100" s="291" t="s">
        <v>204</v>
      </c>
      <c r="C100" s="13" t="s">
        <v>192</v>
      </c>
      <c r="D100" s="74">
        <v>1.0672659861233065</v>
      </c>
      <c r="E100" s="74">
        <v>1.0874248484881255</v>
      </c>
      <c r="F100" s="74">
        <v>1.0823082550376446</v>
      </c>
      <c r="G100" s="74">
        <v>1.1170496257252225</v>
      </c>
      <c r="H100" s="74">
        <v>1.2110961617352729</v>
      </c>
      <c r="I100" s="74">
        <v>1.4272412435465769</v>
      </c>
      <c r="J100" s="74">
        <v>1.2856529059937525</v>
      </c>
      <c r="K100" s="74">
        <v>1.3445634891331715</v>
      </c>
      <c r="L100" s="74">
        <v>1.1304949599464034</v>
      </c>
      <c r="M100" s="74">
        <v>1.296497722967521</v>
      </c>
      <c r="N100" s="74">
        <v>1.2022906469536281</v>
      </c>
      <c r="O100" s="74">
        <v>1.3315025720749645</v>
      </c>
      <c r="P100" s="74">
        <v>1.1888708229363139</v>
      </c>
      <c r="Q100" s="74">
        <v>1.0929453000216736</v>
      </c>
    </row>
    <row r="101" spans="2:51" x14ac:dyDescent="0.3">
      <c r="B101" s="295"/>
      <c r="C101" s="12" t="s">
        <v>193</v>
      </c>
      <c r="D101" s="76">
        <v>1.1592367549071725</v>
      </c>
      <c r="E101" s="76">
        <v>1.0995470012498287</v>
      </c>
      <c r="F101" s="76">
        <v>1.1292595461536565</v>
      </c>
      <c r="G101" s="76">
        <v>1.1702594090191651</v>
      </c>
      <c r="H101" s="76">
        <v>1.1756139098491674</v>
      </c>
      <c r="I101" s="76">
        <v>1.3784213036476138</v>
      </c>
      <c r="J101" s="76">
        <v>1.2753244545938209</v>
      </c>
      <c r="K101" s="76">
        <v>1.224703691723942</v>
      </c>
      <c r="L101" s="76">
        <v>1.1979856817557937</v>
      </c>
      <c r="M101" s="76">
        <v>1.2968308531736807</v>
      </c>
      <c r="N101" s="76">
        <v>1.2071971027586028</v>
      </c>
      <c r="O101" s="76">
        <v>1.1832936667853504</v>
      </c>
      <c r="P101" s="76">
        <v>1.031453649193216</v>
      </c>
      <c r="Q101" s="76">
        <v>1.3275675153368951</v>
      </c>
    </row>
    <row r="102" spans="2:51" x14ac:dyDescent="0.3">
      <c r="B102" s="291" t="s">
        <v>209</v>
      </c>
      <c r="C102" s="13" t="s">
        <v>205</v>
      </c>
      <c r="D102" s="74">
        <v>1.0891921547841981</v>
      </c>
      <c r="E102" s="74">
        <v>1.0727427924932595</v>
      </c>
      <c r="F102" s="74">
        <v>1.0767561100032026</v>
      </c>
      <c r="G102" s="74">
        <v>1.0875650971232651</v>
      </c>
      <c r="H102" s="74">
        <v>1.1671210943131898</v>
      </c>
      <c r="I102" s="74">
        <v>1.3676599859740313</v>
      </c>
      <c r="J102" s="74">
        <v>1.3168710747979</v>
      </c>
      <c r="K102" s="74">
        <v>1.0777724300571327</v>
      </c>
      <c r="L102" s="74">
        <v>1.3101044270393327</v>
      </c>
      <c r="M102" s="74">
        <v>1.4495566388297125</v>
      </c>
      <c r="N102" s="74">
        <v>1.1241483605950351</v>
      </c>
      <c r="O102" s="74">
        <v>1.5665247763405625</v>
      </c>
      <c r="P102" s="74">
        <v>1.2542563334287091</v>
      </c>
      <c r="Q102" s="74">
        <v>0.69014814165126559</v>
      </c>
    </row>
    <row r="103" spans="2:51" x14ac:dyDescent="0.3">
      <c r="B103" s="292"/>
      <c r="C103" s="9" t="s">
        <v>206</v>
      </c>
      <c r="D103" s="72">
        <v>1.1339552252617005</v>
      </c>
      <c r="E103" s="72">
        <v>1.1307035257236306</v>
      </c>
      <c r="F103" s="72">
        <v>1.1724013006754193</v>
      </c>
      <c r="G103" s="72">
        <v>1.2075416786415551</v>
      </c>
      <c r="H103" s="72">
        <v>1.200854005638671</v>
      </c>
      <c r="I103" s="72">
        <v>1.5130080002104085</v>
      </c>
      <c r="J103" s="72">
        <v>1.2309977264380567</v>
      </c>
      <c r="K103" s="72">
        <v>1.2732277729573303</v>
      </c>
      <c r="L103" s="72">
        <v>1.154191530457813</v>
      </c>
      <c r="M103" s="72">
        <v>1.2872540917016533</v>
      </c>
      <c r="N103" s="72">
        <v>1.1498419396193988</v>
      </c>
      <c r="O103" s="72">
        <v>1.3224893018152688</v>
      </c>
      <c r="P103" s="72">
        <v>1.1346758911104817</v>
      </c>
      <c r="Q103" s="72">
        <v>1</v>
      </c>
    </row>
    <row r="104" spans="2:51" x14ac:dyDescent="0.3">
      <c r="B104" s="292"/>
      <c r="C104" s="9" t="s">
        <v>207</v>
      </c>
      <c r="D104" s="72">
        <v>1.1194843377032941</v>
      </c>
      <c r="E104" s="72">
        <v>1.0865560714312024</v>
      </c>
      <c r="F104" s="72">
        <v>1.0877874147109663</v>
      </c>
      <c r="G104" s="72">
        <v>1.1394028264958076</v>
      </c>
      <c r="H104" s="72">
        <v>1.1243205557970402</v>
      </c>
      <c r="I104" s="72">
        <v>1.3547235270927243</v>
      </c>
      <c r="J104" s="72">
        <v>1.3084369599753083</v>
      </c>
      <c r="K104" s="72">
        <v>1.359423675985983</v>
      </c>
      <c r="L104" s="72">
        <v>1.1584575728790816</v>
      </c>
      <c r="M104" s="72">
        <v>1.282394560194605</v>
      </c>
      <c r="N104" s="72">
        <v>1.3519146369251547</v>
      </c>
      <c r="O104" s="72">
        <v>1.1126580747746906</v>
      </c>
      <c r="P104" s="72">
        <v>1</v>
      </c>
      <c r="Q104" s="72">
        <v>1.5233351294176984</v>
      </c>
    </row>
    <row r="105" spans="2:51" x14ac:dyDescent="0.3">
      <c r="B105" s="293"/>
      <c r="C105" s="25" t="s">
        <v>208</v>
      </c>
      <c r="D105" s="78">
        <v>1.0942087606143858</v>
      </c>
      <c r="E105" s="78">
        <v>1.0833909232001175</v>
      </c>
      <c r="F105" s="78">
        <v>1.0876791844174472</v>
      </c>
      <c r="G105" s="78">
        <v>1.1285939780030283</v>
      </c>
      <c r="H105" s="78">
        <v>1.2474986910438206</v>
      </c>
      <c r="I105" s="78">
        <v>1.398287208622107</v>
      </c>
      <c r="J105" s="78">
        <v>1.2702905436384542</v>
      </c>
      <c r="K105" s="78">
        <v>1.3056529611657801</v>
      </c>
      <c r="L105" s="78">
        <v>1.1232662499740993</v>
      </c>
      <c r="M105" s="78">
        <v>1.2490905548191447</v>
      </c>
      <c r="N105" s="78">
        <v>1.1307000369225761</v>
      </c>
      <c r="O105" s="78">
        <v>1.1742284802407703</v>
      </c>
      <c r="P105" s="78">
        <v>1.0698560962615618</v>
      </c>
      <c r="Q105" s="78">
        <v>1.4055445919724741</v>
      </c>
    </row>
    <row r="106" spans="2:51" x14ac:dyDescent="0.3">
      <c r="B106" s="60"/>
      <c r="C106" s="9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</row>
    <row r="107" spans="2:51" x14ac:dyDescent="0.3">
      <c r="B107" s="60"/>
      <c r="C107" s="9"/>
      <c r="D107" s="58"/>
      <c r="E107" s="58"/>
      <c r="F107" s="65"/>
      <c r="G107" s="58"/>
      <c r="H107" s="65"/>
      <c r="I107" s="58"/>
      <c r="J107" s="58"/>
      <c r="K107" s="58"/>
      <c r="L107" s="65"/>
      <c r="M107" s="58"/>
      <c r="N107" s="58"/>
    </row>
    <row r="108" spans="2:51" ht="18.75" customHeight="1" x14ac:dyDescent="0.3">
      <c r="B108" s="1" t="s">
        <v>135</v>
      </c>
      <c r="F108" s="304"/>
      <c r="G108" s="304"/>
      <c r="H108" s="304"/>
      <c r="I108" s="304"/>
      <c r="J108" s="304"/>
      <c r="K108" s="304"/>
      <c r="L108" s="304"/>
      <c r="M108" s="304"/>
      <c r="N108" s="304"/>
      <c r="O108" s="304"/>
      <c r="P108" s="304"/>
      <c r="Q108" s="304"/>
      <c r="R108" s="304"/>
      <c r="S108" s="304"/>
      <c r="T108" s="304"/>
      <c r="U108" s="304"/>
      <c r="V108" s="304"/>
      <c r="W108" s="304"/>
      <c r="X108" s="304"/>
      <c r="Y108" s="304"/>
      <c r="Z108" s="304"/>
      <c r="AA108" s="304"/>
      <c r="AB108" s="304"/>
      <c r="AC108" s="304"/>
      <c r="AD108" s="304"/>
      <c r="AE108" s="304"/>
      <c r="AF108" s="304"/>
      <c r="AG108" s="304"/>
      <c r="AH108" s="304"/>
      <c r="AI108" s="304"/>
      <c r="AJ108" s="304"/>
      <c r="AK108" s="304"/>
      <c r="AL108" s="304"/>
      <c r="AM108" s="304"/>
      <c r="AN108" s="304"/>
      <c r="AO108" s="304"/>
      <c r="AP108" s="304"/>
      <c r="AQ108" s="304"/>
      <c r="AR108" s="304"/>
      <c r="AS108" s="304"/>
      <c r="AT108" s="304"/>
      <c r="AU108" s="304"/>
      <c r="AV108" s="304"/>
      <c r="AW108" s="304"/>
      <c r="AX108" s="304"/>
      <c r="AY108" s="304"/>
    </row>
    <row r="109" spans="2:51" ht="13.5" customHeight="1" x14ac:dyDescent="0.3">
      <c r="M109" s="30"/>
      <c r="N109" s="30"/>
      <c r="O109" s="30"/>
      <c r="P109" s="30"/>
      <c r="Q109" s="30" t="s">
        <v>225</v>
      </c>
    </row>
    <row r="110" spans="2:51" ht="28.5" customHeight="1" x14ac:dyDescent="0.3">
      <c r="B110" s="305"/>
      <c r="C110" s="306"/>
      <c r="D110" s="226" t="s">
        <v>35</v>
      </c>
      <c r="E110" s="226" t="s">
        <v>280</v>
      </c>
      <c r="F110" s="226" t="s">
        <v>70</v>
      </c>
      <c r="G110" s="226" t="s">
        <v>16</v>
      </c>
      <c r="H110" s="226" t="s">
        <v>232</v>
      </c>
      <c r="I110" s="226" t="s">
        <v>287</v>
      </c>
      <c r="J110" s="226" t="s">
        <v>32</v>
      </c>
      <c r="K110" s="226" t="s">
        <v>284</v>
      </c>
      <c r="L110" s="226" t="s">
        <v>285</v>
      </c>
      <c r="M110" s="226" t="s">
        <v>288</v>
      </c>
      <c r="N110" s="227" t="s">
        <v>37</v>
      </c>
      <c r="O110" s="227" t="s">
        <v>19</v>
      </c>
      <c r="P110" s="227" t="s">
        <v>233</v>
      </c>
      <c r="Q110" s="227" t="s">
        <v>12</v>
      </c>
    </row>
    <row r="111" spans="2:51" x14ac:dyDescent="0.3">
      <c r="B111" s="292" t="s">
        <v>20</v>
      </c>
      <c r="C111" s="292"/>
      <c r="D111" s="86">
        <v>22.363331177809179</v>
      </c>
      <c r="E111" s="86">
        <v>19.820020477046679</v>
      </c>
      <c r="F111" s="88">
        <v>11.993916882675496</v>
      </c>
      <c r="G111" s="86">
        <v>12.86883533498213</v>
      </c>
      <c r="H111" s="88">
        <v>9.3649134116935535</v>
      </c>
      <c r="I111" s="86">
        <v>6.9230254592553742</v>
      </c>
      <c r="J111" s="86">
        <v>7.777503763164896</v>
      </c>
      <c r="K111" s="86">
        <v>6.9634382010513596</v>
      </c>
      <c r="L111" s="88">
        <v>7.3874166919036366</v>
      </c>
      <c r="M111" s="86">
        <v>7.0743175053445242</v>
      </c>
      <c r="N111" s="86">
        <v>6.1028792165729104</v>
      </c>
      <c r="O111" s="86">
        <v>8.6294805990076657</v>
      </c>
      <c r="P111" s="86">
        <v>8.2170258122335955</v>
      </c>
      <c r="Q111" s="86">
        <v>7.2846011264658159</v>
      </c>
    </row>
    <row r="112" spans="2:51" x14ac:dyDescent="0.3">
      <c r="B112" s="296" t="s">
        <v>5</v>
      </c>
      <c r="C112" s="13" t="s">
        <v>0</v>
      </c>
      <c r="D112" s="84">
        <v>22.38892380525435</v>
      </c>
      <c r="E112" s="84">
        <v>20.606102567679141</v>
      </c>
      <c r="F112" s="89">
        <v>11.179508526102232</v>
      </c>
      <c r="G112" s="84">
        <v>13.449669456446836</v>
      </c>
      <c r="H112" s="89">
        <v>9.3352058540445721</v>
      </c>
      <c r="I112" s="84">
        <v>7.025927774800568</v>
      </c>
      <c r="J112" s="84">
        <v>7.8122118594374674</v>
      </c>
      <c r="K112" s="84">
        <v>7.5869272369121461</v>
      </c>
      <c r="L112" s="89">
        <v>8.8075683312472925</v>
      </c>
      <c r="M112" s="84">
        <v>7.7273900100371415</v>
      </c>
      <c r="N112" s="84">
        <v>9.4354525712408677</v>
      </c>
      <c r="O112" s="84">
        <v>9.8898150463322931</v>
      </c>
      <c r="P112" s="84">
        <v>7.7496448371934052</v>
      </c>
      <c r="Q112" s="84">
        <v>4.2842085661614613</v>
      </c>
    </row>
    <row r="113" spans="2:17" x14ac:dyDescent="0.3">
      <c r="B113" s="295"/>
      <c r="C113" s="12" t="s">
        <v>1</v>
      </c>
      <c r="D113" s="90">
        <v>22.325782412808426</v>
      </c>
      <c r="E113" s="90">
        <v>18.746414559708462</v>
      </c>
      <c r="F113" s="90">
        <v>13.264017585423394</v>
      </c>
      <c r="G113" s="90">
        <v>11.964340338863318</v>
      </c>
      <c r="H113" s="90">
        <v>9.4002927343714191</v>
      </c>
      <c r="I113" s="90">
        <v>6.7803985312821338</v>
      </c>
      <c r="J113" s="90">
        <v>7.7124104381839116</v>
      </c>
      <c r="K113" s="90">
        <v>6.3063173930815086</v>
      </c>
      <c r="L113" s="90">
        <v>5.9991501402059022</v>
      </c>
      <c r="M113" s="90">
        <v>6.3220962405051768</v>
      </c>
      <c r="N113" s="90">
        <v>4.7677887868897786</v>
      </c>
      <c r="O113" s="90">
        <v>8.2429570363106368</v>
      </c>
      <c r="P113" s="90">
        <v>8.4996968652032514</v>
      </c>
      <c r="Q113" s="90">
        <v>8.7851697023032891</v>
      </c>
    </row>
    <row r="114" spans="2:17" x14ac:dyDescent="0.3">
      <c r="B114" s="296" t="s">
        <v>4</v>
      </c>
      <c r="C114" s="9" t="s">
        <v>175</v>
      </c>
      <c r="D114" s="86">
        <v>13.413771872133555</v>
      </c>
      <c r="E114" s="86">
        <v>13.433072945385298</v>
      </c>
      <c r="F114" s="88">
        <v>4.8796673355511659</v>
      </c>
      <c r="G114" s="86">
        <v>13.149647541328513</v>
      </c>
      <c r="H114" s="88">
        <v>7.7640460969529999</v>
      </c>
      <c r="I114" s="86">
        <v>3.9568316155787313</v>
      </c>
      <c r="J114" s="86">
        <v>2.5832427156717475</v>
      </c>
      <c r="K114" s="86">
        <v>4.2040075714953398</v>
      </c>
      <c r="L114" s="88">
        <v>4.9246254203178328</v>
      </c>
      <c r="M114" s="86">
        <v>3.1840374951007253</v>
      </c>
      <c r="N114" s="86">
        <v>2.8757517053098081</v>
      </c>
      <c r="O114" s="86">
        <v>2.4</v>
      </c>
      <c r="P114" s="86"/>
      <c r="Q114" s="86"/>
    </row>
    <row r="115" spans="2:17" x14ac:dyDescent="0.3">
      <c r="B115" s="292"/>
      <c r="C115" s="9" t="s">
        <v>176</v>
      </c>
      <c r="D115" s="86">
        <v>14.196164870365822</v>
      </c>
      <c r="E115" s="86">
        <v>18.857267481623111</v>
      </c>
      <c r="F115" s="88">
        <v>16.346992383021103</v>
      </c>
      <c r="G115" s="86">
        <v>10.837193644769348</v>
      </c>
      <c r="H115" s="88">
        <v>8.9743309044254076</v>
      </c>
      <c r="I115" s="86">
        <v>6.5164917072404691</v>
      </c>
      <c r="J115" s="86">
        <v>6.986630986113699</v>
      </c>
      <c r="K115" s="86">
        <v>4.7381392593906106</v>
      </c>
      <c r="L115" s="88">
        <v>5.4969514035523366</v>
      </c>
      <c r="M115" s="86">
        <v>4.1868910527079084</v>
      </c>
      <c r="N115" s="86">
        <v>5.8216770598896099</v>
      </c>
      <c r="O115" s="86">
        <v>8.3407181782915227</v>
      </c>
      <c r="P115" s="86">
        <v>8.419858990938268</v>
      </c>
      <c r="Q115" s="86">
        <v>4.3664699938425784</v>
      </c>
    </row>
    <row r="116" spans="2:17" x14ac:dyDescent="0.3">
      <c r="B116" s="292"/>
      <c r="C116" s="9" t="s">
        <v>177</v>
      </c>
      <c r="D116" s="86">
        <v>22.042613563513516</v>
      </c>
      <c r="E116" s="86">
        <v>19.177941130697683</v>
      </c>
      <c r="F116" s="88">
        <v>11.589061891147489</v>
      </c>
      <c r="G116" s="86">
        <v>11.070155599872537</v>
      </c>
      <c r="H116" s="88">
        <v>8.0828543214199442</v>
      </c>
      <c r="I116" s="86">
        <v>7.1228220046010815</v>
      </c>
      <c r="J116" s="86">
        <v>10.006108724389421</v>
      </c>
      <c r="K116" s="86">
        <v>6.2006137353939712</v>
      </c>
      <c r="L116" s="88">
        <v>8.5779237080481252</v>
      </c>
      <c r="M116" s="86">
        <v>6.7156996420535311</v>
      </c>
      <c r="N116" s="86">
        <v>7.0250682521091816</v>
      </c>
      <c r="O116" s="86">
        <v>13.606360545136093</v>
      </c>
      <c r="P116" s="86">
        <v>6.4010098186402322</v>
      </c>
      <c r="Q116" s="86">
        <v>1.2683354151608126</v>
      </c>
    </row>
    <row r="117" spans="2:17" x14ac:dyDescent="0.3">
      <c r="B117" s="292"/>
      <c r="C117" s="9" t="s">
        <v>178</v>
      </c>
      <c r="D117" s="86">
        <v>24.515699079099036</v>
      </c>
      <c r="E117" s="86">
        <v>21.928657677983129</v>
      </c>
      <c r="F117" s="88">
        <v>12.285181286411824</v>
      </c>
      <c r="G117" s="86">
        <v>13.201080448664618</v>
      </c>
      <c r="H117" s="88">
        <v>11.397481770842839</v>
      </c>
      <c r="I117" s="86">
        <v>7.2952636613581623</v>
      </c>
      <c r="J117" s="86">
        <v>8.4845483170771114</v>
      </c>
      <c r="K117" s="86">
        <v>7.8498227066929038</v>
      </c>
      <c r="L117" s="88">
        <v>7.3189089787578192</v>
      </c>
      <c r="M117" s="86">
        <v>6.6155476102220856</v>
      </c>
      <c r="N117" s="86">
        <v>5.4905701792063244</v>
      </c>
      <c r="O117" s="86">
        <v>5.9274837565056062</v>
      </c>
      <c r="P117" s="86">
        <v>10.6480991083424</v>
      </c>
      <c r="Q117" s="86">
        <v>11.867150043250218</v>
      </c>
    </row>
    <row r="118" spans="2:17" x14ac:dyDescent="0.3">
      <c r="B118" s="292"/>
      <c r="C118" s="9" t="s">
        <v>179</v>
      </c>
      <c r="D118" s="86">
        <v>29.079266845357331</v>
      </c>
      <c r="E118" s="86">
        <v>20.097188263669825</v>
      </c>
      <c r="F118" s="88">
        <v>12.392420391948455</v>
      </c>
      <c r="G118" s="86">
        <v>14.705227795671824</v>
      </c>
      <c r="H118" s="88">
        <v>10.061691386089697</v>
      </c>
      <c r="I118" s="86">
        <v>7.0910209524790586</v>
      </c>
      <c r="J118" s="86">
        <v>7.8943851766156499</v>
      </c>
      <c r="K118" s="86">
        <v>7.7078541555110265</v>
      </c>
      <c r="L118" s="88">
        <v>9.6732941392674086</v>
      </c>
      <c r="M118" s="86">
        <v>7.8871416121793887</v>
      </c>
      <c r="N118" s="86">
        <v>11.51182898828459</v>
      </c>
      <c r="O118" s="86">
        <v>5.8423032073170331</v>
      </c>
      <c r="P118" s="86">
        <v>7.466024120500582</v>
      </c>
      <c r="Q118" s="86">
        <v>8.4480267376860247</v>
      </c>
    </row>
    <row r="119" spans="2:17" x14ac:dyDescent="0.3">
      <c r="B119" s="298"/>
      <c r="C119" s="12" t="s">
        <v>180</v>
      </c>
      <c r="D119" s="90">
        <v>20.664493760514784</v>
      </c>
      <c r="E119" s="90">
        <v>18.917596569132321</v>
      </c>
      <c r="F119" s="91">
        <v>9.7494888150324215</v>
      </c>
      <c r="G119" s="90">
        <v>13.365852172080105</v>
      </c>
      <c r="H119" s="91">
        <v>8.0078218131317023</v>
      </c>
      <c r="I119" s="90">
        <v>6.8811005584430971</v>
      </c>
      <c r="J119" s="90">
        <v>6.8401801617493971</v>
      </c>
      <c r="K119" s="90">
        <v>9.3048182305473315</v>
      </c>
      <c r="L119" s="91">
        <v>6.4537849984627504</v>
      </c>
      <c r="M119" s="90">
        <v>7.7044733811475012</v>
      </c>
      <c r="N119" s="90">
        <v>4.1334865061507848</v>
      </c>
      <c r="O119" s="90">
        <v>11.781848080850061</v>
      </c>
      <c r="P119" s="90">
        <v>5.266788871995165</v>
      </c>
      <c r="Q119" s="90">
        <v>8.0424028547872286</v>
      </c>
    </row>
    <row r="120" spans="2:17" x14ac:dyDescent="0.3">
      <c r="B120" s="292" t="s">
        <v>223</v>
      </c>
      <c r="C120" s="9" t="s">
        <v>210</v>
      </c>
      <c r="D120" s="86">
        <v>14.966525598767973</v>
      </c>
      <c r="E120" s="86">
        <v>14.428847283611397</v>
      </c>
      <c r="F120" s="88">
        <v>5.7529366137766322</v>
      </c>
      <c r="G120" s="86">
        <v>17.351851665566329</v>
      </c>
      <c r="H120" s="88">
        <v>10.166631929440667</v>
      </c>
      <c r="I120" s="86">
        <v>4.2311454559946409</v>
      </c>
      <c r="J120" s="86">
        <v>2.7743319430526152</v>
      </c>
      <c r="K120" s="86">
        <v>5.3493505161096353</v>
      </c>
      <c r="L120" s="88">
        <v>9.7854025997887106</v>
      </c>
      <c r="M120" s="86">
        <v>3.7203785691369911</v>
      </c>
      <c r="N120" s="86">
        <v>3.2571029287416402</v>
      </c>
      <c r="O120" s="86"/>
      <c r="P120" s="86"/>
      <c r="Q120" s="86"/>
    </row>
    <row r="121" spans="2:17" x14ac:dyDescent="0.3">
      <c r="B121" s="292"/>
      <c r="C121" s="9" t="s">
        <v>211</v>
      </c>
      <c r="D121" s="86">
        <v>13.792615237590679</v>
      </c>
      <c r="E121" s="86">
        <v>17.805776860306416</v>
      </c>
      <c r="F121" s="88">
        <v>10.219123499531278</v>
      </c>
      <c r="G121" s="86">
        <v>10.282173400313594</v>
      </c>
      <c r="H121" s="88">
        <v>8.7205696209616459</v>
      </c>
      <c r="I121" s="86">
        <v>5.7809822647036517</v>
      </c>
      <c r="J121" s="86">
        <v>7.1297650693295305</v>
      </c>
      <c r="K121" s="86">
        <v>4.2009509935488376</v>
      </c>
      <c r="L121" s="88">
        <v>5.6755256100375311</v>
      </c>
      <c r="M121" s="86">
        <v>4.6059753847933518</v>
      </c>
      <c r="N121" s="86">
        <v>5.3017477687998227</v>
      </c>
      <c r="O121" s="86">
        <v>5.1928151259418422</v>
      </c>
      <c r="P121" s="86">
        <v>1.5407851956598224</v>
      </c>
      <c r="Q121" s="86">
        <v>4.3664699938425784</v>
      </c>
    </row>
    <row r="122" spans="2:17" x14ac:dyDescent="0.3">
      <c r="B122" s="292"/>
      <c r="C122" s="9" t="s">
        <v>212</v>
      </c>
      <c r="D122" s="86">
        <v>20.313865686131766</v>
      </c>
      <c r="E122" s="86">
        <v>18.917643737055066</v>
      </c>
      <c r="F122" s="88">
        <v>12.254991637824928</v>
      </c>
      <c r="G122" s="86">
        <v>10.910092111583706</v>
      </c>
      <c r="H122" s="88">
        <v>7.6121272854031314</v>
      </c>
      <c r="I122" s="86">
        <v>7.2155543114720091</v>
      </c>
      <c r="J122" s="86">
        <v>8.5407406621355104</v>
      </c>
      <c r="K122" s="86">
        <v>7.0230217172548262</v>
      </c>
      <c r="L122" s="88">
        <v>11.593265246028203</v>
      </c>
      <c r="M122" s="86">
        <v>7.2379779834113034</v>
      </c>
      <c r="N122" s="86">
        <v>12.52508059175103</v>
      </c>
      <c r="O122" s="86">
        <v>12.819938080262059</v>
      </c>
      <c r="P122" s="86">
        <v>6.4010098186402322</v>
      </c>
      <c r="Q122" s="86"/>
    </row>
    <row r="123" spans="2:17" x14ac:dyDescent="0.3">
      <c r="B123" s="292"/>
      <c r="C123" s="9" t="s">
        <v>213</v>
      </c>
      <c r="D123" s="86">
        <v>21.66021168546478</v>
      </c>
      <c r="E123" s="86">
        <v>22.695951063721925</v>
      </c>
      <c r="F123" s="88">
        <v>11.893347080354946</v>
      </c>
      <c r="G123" s="86">
        <v>14.523427213161781</v>
      </c>
      <c r="H123" s="88">
        <v>10.363885226746364</v>
      </c>
      <c r="I123" s="86">
        <v>7.8549062197372175</v>
      </c>
      <c r="J123" s="86">
        <v>7.2973933057286269</v>
      </c>
      <c r="K123" s="86">
        <v>8.6027846537068342</v>
      </c>
      <c r="L123" s="88">
        <v>6.1920509005594386</v>
      </c>
      <c r="M123" s="86">
        <v>5.8464008995216741</v>
      </c>
      <c r="N123" s="86">
        <v>8.6534928490221734</v>
      </c>
      <c r="O123" s="86">
        <v>10</v>
      </c>
      <c r="P123" s="86">
        <v>11.862780655553472</v>
      </c>
      <c r="Q123" s="86"/>
    </row>
    <row r="124" spans="2:17" x14ac:dyDescent="0.3">
      <c r="B124" s="292"/>
      <c r="C124" s="9" t="s">
        <v>214</v>
      </c>
      <c r="D124" s="86">
        <v>29.523251438673107</v>
      </c>
      <c r="E124" s="86">
        <v>20.346521556657034</v>
      </c>
      <c r="F124" s="88">
        <v>12.11608092849797</v>
      </c>
      <c r="G124" s="86">
        <v>15.132413907559846</v>
      </c>
      <c r="H124" s="88">
        <v>10.150843280495634</v>
      </c>
      <c r="I124" s="86">
        <v>7.4950365617190426</v>
      </c>
      <c r="J124" s="86">
        <v>8.6321322720087075</v>
      </c>
      <c r="K124" s="86">
        <v>9.2136352032804378</v>
      </c>
      <c r="L124" s="88">
        <v>11.75179780495213</v>
      </c>
      <c r="M124" s="86">
        <v>9.0141349425537918</v>
      </c>
      <c r="N124" s="86">
        <v>15.956440173823371</v>
      </c>
      <c r="O124" s="86">
        <v>6.5031195177658301</v>
      </c>
      <c r="P124" s="86">
        <v>10.180213760404989</v>
      </c>
      <c r="Q124" s="86">
        <v>0.1</v>
      </c>
    </row>
    <row r="125" spans="2:17" x14ac:dyDescent="0.3">
      <c r="B125" s="292"/>
      <c r="C125" s="12" t="s">
        <v>215</v>
      </c>
      <c r="D125" s="90">
        <v>23.06239702440849</v>
      </c>
      <c r="E125" s="90">
        <v>21.622017472240668</v>
      </c>
      <c r="F125" s="91">
        <v>9.3897427151624182</v>
      </c>
      <c r="G125" s="90">
        <v>14.494320615159232</v>
      </c>
      <c r="H125" s="91">
        <v>9.0304914829599028</v>
      </c>
      <c r="I125" s="90">
        <v>6.5921544107224559</v>
      </c>
      <c r="J125" s="90">
        <v>7.467251712469241</v>
      </c>
      <c r="K125" s="90">
        <v>10.554485221203059</v>
      </c>
      <c r="L125" s="91">
        <v>7.8441643768517357</v>
      </c>
      <c r="M125" s="90">
        <v>9.1391304041047228</v>
      </c>
      <c r="N125" s="90">
        <v>6.0307978424377167</v>
      </c>
      <c r="O125" s="90">
        <v>18.011481486744934</v>
      </c>
      <c r="P125" s="90">
        <v>1.7</v>
      </c>
      <c r="Q125" s="90">
        <v>5.2631157863463915</v>
      </c>
    </row>
    <row r="126" spans="2:17" x14ac:dyDescent="0.3">
      <c r="B126" s="292"/>
      <c r="C126" s="9" t="s">
        <v>216</v>
      </c>
      <c r="D126" s="86">
        <v>5</v>
      </c>
      <c r="E126" s="86">
        <v>11.147956198358226</v>
      </c>
      <c r="F126" s="88">
        <v>1.8591612456473285</v>
      </c>
      <c r="G126" s="86">
        <v>4.7064991256669293</v>
      </c>
      <c r="H126" s="88">
        <v>4.695639430525957</v>
      </c>
      <c r="I126" s="86">
        <v>3.5868500420985399</v>
      </c>
      <c r="J126" s="86">
        <v>2.4538564745879037</v>
      </c>
      <c r="K126" s="86">
        <v>2.7910912489792614</v>
      </c>
      <c r="L126" s="88">
        <v>2.3828205239062865</v>
      </c>
      <c r="M126" s="86">
        <v>2.456430046376223</v>
      </c>
      <c r="N126" s="86">
        <v>2.3666666666666667</v>
      </c>
      <c r="O126" s="86">
        <v>2.4</v>
      </c>
      <c r="P126" s="86"/>
      <c r="Q126" s="86"/>
    </row>
    <row r="127" spans="2:17" x14ac:dyDescent="0.3">
      <c r="B127" s="292"/>
      <c r="C127" s="9" t="s">
        <v>217</v>
      </c>
      <c r="D127" s="86">
        <v>14.788555002484733</v>
      </c>
      <c r="E127" s="86">
        <v>20.353510337035743</v>
      </c>
      <c r="F127" s="88">
        <v>24.420976762710378</v>
      </c>
      <c r="G127" s="86">
        <v>11.919247418694264</v>
      </c>
      <c r="H127" s="88">
        <v>9.3252377929433745</v>
      </c>
      <c r="I127" s="86">
        <v>7.4497234247103314</v>
      </c>
      <c r="J127" s="86">
        <v>6.7940944048697176</v>
      </c>
      <c r="K127" s="86">
        <v>5.4319722011556033</v>
      </c>
      <c r="L127" s="88">
        <v>5.3828883718075264</v>
      </c>
      <c r="M127" s="86">
        <v>3.6899618772590186</v>
      </c>
      <c r="N127" s="86">
        <v>5.9815202581619813</v>
      </c>
      <c r="O127" s="86">
        <v>8.9155964238157033</v>
      </c>
      <c r="P127" s="86">
        <v>10.437666742604128</v>
      </c>
      <c r="Q127" s="86"/>
    </row>
    <row r="128" spans="2:17" x14ac:dyDescent="0.3">
      <c r="B128" s="292"/>
      <c r="C128" s="9" t="s">
        <v>218</v>
      </c>
      <c r="D128" s="86">
        <v>26.044573685816779</v>
      </c>
      <c r="E128" s="86">
        <v>19.584408197781336</v>
      </c>
      <c r="F128" s="88">
        <v>10.656807985991627</v>
      </c>
      <c r="G128" s="86">
        <v>11.255979082257522</v>
      </c>
      <c r="H128" s="88">
        <v>8.7148457421178307</v>
      </c>
      <c r="I128" s="86">
        <v>6.9766342300405322</v>
      </c>
      <c r="J128" s="86">
        <v>13.720963971252079</v>
      </c>
      <c r="K128" s="86">
        <v>5.275075510794335</v>
      </c>
      <c r="L128" s="88">
        <v>4.3177108746975401</v>
      </c>
      <c r="M128" s="86">
        <v>6.0338632545260378</v>
      </c>
      <c r="N128" s="86">
        <v>4.5507155615778299</v>
      </c>
      <c r="O128" s="86">
        <v>14.016785809314761</v>
      </c>
      <c r="P128" s="86"/>
      <c r="Q128" s="86">
        <v>1.2683354151608126</v>
      </c>
    </row>
    <row r="129" spans="2:17" x14ac:dyDescent="0.3">
      <c r="B129" s="292"/>
      <c r="C129" s="9" t="s">
        <v>219</v>
      </c>
      <c r="D129" s="86">
        <v>29.302536143602119</v>
      </c>
      <c r="E129" s="86">
        <v>20.947288004334627</v>
      </c>
      <c r="F129" s="88">
        <v>13.208434330686091</v>
      </c>
      <c r="G129" s="86">
        <v>11.12508070613714</v>
      </c>
      <c r="H129" s="88">
        <v>12.603895079528829</v>
      </c>
      <c r="I129" s="86">
        <v>6.2320052338760821</v>
      </c>
      <c r="J129" s="86">
        <v>10.983191884424686</v>
      </c>
      <c r="K129" s="86">
        <v>6.9495308893564411</v>
      </c>
      <c r="L129" s="88">
        <v>8.6588586816462865</v>
      </c>
      <c r="M129" s="86">
        <v>7.561734855557618</v>
      </c>
      <c r="N129" s="86">
        <v>3.7683311924163307</v>
      </c>
      <c r="O129" s="86">
        <v>5.1291900654581806</v>
      </c>
      <c r="P129" s="86">
        <v>10.169832308786944</v>
      </c>
      <c r="Q129" s="86">
        <v>11.867150043250218</v>
      </c>
    </row>
    <row r="130" spans="2:17" x14ac:dyDescent="0.3">
      <c r="B130" s="292"/>
      <c r="C130" s="9" t="s">
        <v>220</v>
      </c>
      <c r="D130" s="86">
        <v>28.381708826201915</v>
      </c>
      <c r="E130" s="86">
        <v>19.767032782252819</v>
      </c>
      <c r="F130" s="88">
        <v>12.787322163925372</v>
      </c>
      <c r="G130" s="86">
        <v>14.174451235792446</v>
      </c>
      <c r="H130" s="88">
        <v>9.9678776648431278</v>
      </c>
      <c r="I130" s="86">
        <v>6.6262051149673731</v>
      </c>
      <c r="J130" s="86">
        <v>6.0078482507138498</v>
      </c>
      <c r="K130" s="86">
        <v>6.0673165777877252</v>
      </c>
      <c r="L130" s="88">
        <v>7.626551688514823</v>
      </c>
      <c r="M130" s="86">
        <v>6.852441474480254</v>
      </c>
      <c r="N130" s="86">
        <v>4.9958102013623886</v>
      </c>
      <c r="O130" s="86">
        <v>5.5346653868870836</v>
      </c>
      <c r="P130" s="86">
        <v>5.164437248439655</v>
      </c>
      <c r="Q130" s="86">
        <v>13.31575326825511</v>
      </c>
    </row>
    <row r="131" spans="2:17" x14ac:dyDescent="0.3">
      <c r="B131" s="295"/>
      <c r="C131" s="9" t="s">
        <v>221</v>
      </c>
      <c r="D131" s="90">
        <v>18.339032860234003</v>
      </c>
      <c r="E131" s="90">
        <v>15.32073574265492</v>
      </c>
      <c r="F131" s="91">
        <v>10.222157192490576</v>
      </c>
      <c r="G131" s="90">
        <v>11.07878528101762</v>
      </c>
      <c r="H131" s="91">
        <v>6.8490432413015929</v>
      </c>
      <c r="I131" s="90">
        <v>7.2352476828581622</v>
      </c>
      <c r="J131" s="90">
        <v>5.9028517053709875</v>
      </c>
      <c r="K131" s="90">
        <v>8.4169331041466062</v>
      </c>
      <c r="L131" s="91">
        <v>5.0807801848043441</v>
      </c>
      <c r="M131" s="90">
        <v>5.8216310374592517</v>
      </c>
      <c r="N131" s="90">
        <v>3.9205156503278777</v>
      </c>
      <c r="O131" s="90">
        <v>9.5081933074727516</v>
      </c>
      <c r="P131" s="90">
        <v>6.0529510728114815</v>
      </c>
      <c r="Q131" s="90">
        <v>9.9046109013757633</v>
      </c>
    </row>
    <row r="132" spans="2:17" ht="16.5" customHeight="1" x14ac:dyDescent="0.3">
      <c r="B132" s="291" t="s">
        <v>222</v>
      </c>
      <c r="C132" s="13" t="s">
        <v>226</v>
      </c>
      <c r="D132" s="80">
        <v>13.421122417775916</v>
      </c>
      <c r="E132" s="80">
        <v>14.437365317538001</v>
      </c>
      <c r="F132" s="80">
        <v>8.3148633859308774</v>
      </c>
      <c r="G132" s="80">
        <v>9.8659794861301879</v>
      </c>
      <c r="H132" s="80">
        <v>6.4332544747555378</v>
      </c>
      <c r="I132" s="80">
        <v>5.4831847575323467</v>
      </c>
      <c r="J132" s="80">
        <v>7.224383291452301</v>
      </c>
      <c r="K132" s="80">
        <v>5.2276332616097294</v>
      </c>
      <c r="L132" s="80">
        <v>6.7971663585082762</v>
      </c>
      <c r="M132" s="80">
        <v>6.104570612691572</v>
      </c>
      <c r="N132" s="80">
        <v>6.3843046636056595</v>
      </c>
      <c r="O132" s="80">
        <v>5.43862237203252</v>
      </c>
      <c r="P132" s="80">
        <v>5.1564442110482949</v>
      </c>
      <c r="Q132" s="80">
        <v>5.3229089525855855</v>
      </c>
    </row>
    <row r="133" spans="2:17" ht="16.5" customHeight="1" x14ac:dyDescent="0.3">
      <c r="B133" s="294"/>
      <c r="C133" s="9" t="s">
        <v>227</v>
      </c>
      <c r="D133" s="79">
        <v>21.174140159250669</v>
      </c>
      <c r="E133" s="79">
        <v>17.55436452830029</v>
      </c>
      <c r="F133" s="79">
        <v>12.638391633304606</v>
      </c>
      <c r="G133" s="79">
        <v>12.290085294110897</v>
      </c>
      <c r="H133" s="79">
        <v>10.279017082828627</v>
      </c>
      <c r="I133" s="79">
        <v>6.6727240643847887</v>
      </c>
      <c r="J133" s="79">
        <v>7.2596523756577982</v>
      </c>
      <c r="K133" s="79">
        <v>6.0534271164305666</v>
      </c>
      <c r="L133" s="79">
        <v>7.069417679242437</v>
      </c>
      <c r="M133" s="79">
        <v>6.3178870678485763</v>
      </c>
      <c r="N133" s="79">
        <v>7.2908706815125335</v>
      </c>
      <c r="O133" s="79">
        <v>13.563522502099239</v>
      </c>
      <c r="P133" s="79">
        <v>5.8830245422841969</v>
      </c>
      <c r="Q133" s="79">
        <v>5.1023730879927331</v>
      </c>
    </row>
    <row r="134" spans="2:17" ht="16.5" customHeight="1" x14ac:dyDescent="0.3">
      <c r="B134" s="292"/>
      <c r="C134" s="9" t="s">
        <v>228</v>
      </c>
      <c r="D134" s="79">
        <v>23.994972825646087</v>
      </c>
      <c r="E134" s="79">
        <v>20.596366013029112</v>
      </c>
      <c r="F134" s="79">
        <v>12.743816194593194</v>
      </c>
      <c r="G134" s="79">
        <v>11.556152483059643</v>
      </c>
      <c r="H134" s="79">
        <v>9.2386238489753403</v>
      </c>
      <c r="I134" s="79">
        <v>7.8236576304865384</v>
      </c>
      <c r="J134" s="79">
        <v>7.5903429569188985</v>
      </c>
      <c r="K134" s="79">
        <v>7.6742032795492126</v>
      </c>
      <c r="L134" s="79">
        <v>7.962110112629798</v>
      </c>
      <c r="M134" s="79">
        <v>6.8715608276560154</v>
      </c>
      <c r="N134" s="79">
        <v>5.1692163976722139</v>
      </c>
      <c r="O134" s="79">
        <v>4.2457111332478403</v>
      </c>
      <c r="P134" s="79">
        <v>6.8186454012589284</v>
      </c>
      <c r="Q134" s="79">
        <v>12.318803127567813</v>
      </c>
    </row>
    <row r="135" spans="2:17" ht="16.5" customHeight="1" x14ac:dyDescent="0.3">
      <c r="B135" s="295"/>
      <c r="C135" s="12" t="s">
        <v>229</v>
      </c>
      <c r="D135" s="81">
        <v>27.737123333763684</v>
      </c>
      <c r="E135" s="81">
        <v>24.684903314041492</v>
      </c>
      <c r="F135" s="81">
        <v>13.295098835012624</v>
      </c>
      <c r="G135" s="81">
        <v>17.738877141527976</v>
      </c>
      <c r="H135" s="81">
        <v>10.812059222079894</v>
      </c>
      <c r="I135" s="81">
        <v>7.7479117917885079</v>
      </c>
      <c r="J135" s="81">
        <v>8.9770763723634026</v>
      </c>
      <c r="K135" s="81">
        <v>8.8801874468167004</v>
      </c>
      <c r="L135" s="81">
        <v>7.8225089985802683</v>
      </c>
      <c r="M135" s="81">
        <v>8.6972300972695571</v>
      </c>
      <c r="N135" s="81">
        <v>5.7417366226747362</v>
      </c>
      <c r="O135" s="81">
        <v>10.168809931916281</v>
      </c>
      <c r="P135" s="81">
        <v>12.456748590804828</v>
      </c>
      <c r="Q135" s="81">
        <v>7.889761272758772</v>
      </c>
    </row>
    <row r="136" spans="2:17" x14ac:dyDescent="0.3">
      <c r="B136" s="296" t="s">
        <v>199</v>
      </c>
      <c r="C136" s="13" t="s">
        <v>192</v>
      </c>
      <c r="D136" s="80">
        <v>22.396176165397051</v>
      </c>
      <c r="E136" s="80">
        <v>20.065818520042498</v>
      </c>
      <c r="F136" s="80">
        <v>12.2654855413834</v>
      </c>
      <c r="G136" s="80">
        <v>12.221641507464732</v>
      </c>
      <c r="H136" s="80">
        <v>9.5917908403146104</v>
      </c>
      <c r="I136" s="80">
        <v>6.7045260877078725</v>
      </c>
      <c r="J136" s="80">
        <v>7.6045359785694808</v>
      </c>
      <c r="K136" s="80">
        <v>6.4262631117735936</v>
      </c>
      <c r="L136" s="80">
        <v>6.6106869394078105</v>
      </c>
      <c r="M136" s="80">
        <v>6.7920134920349913</v>
      </c>
      <c r="N136" s="80">
        <v>5.6608359997526607</v>
      </c>
      <c r="O136" s="80">
        <v>9.6971053473306945</v>
      </c>
      <c r="P136" s="80">
        <v>9.5734173639084439</v>
      </c>
      <c r="Q136" s="80">
        <v>7.5559577497334978</v>
      </c>
    </row>
    <row r="137" spans="2:17" x14ac:dyDescent="0.3">
      <c r="B137" s="292"/>
      <c r="C137" s="9" t="s">
        <v>200</v>
      </c>
      <c r="D137" s="79">
        <v>20.039376503822353</v>
      </c>
      <c r="E137" s="79">
        <v>20.169323558132064</v>
      </c>
      <c r="F137" s="79">
        <v>14.681401380241001</v>
      </c>
      <c r="G137" s="79">
        <v>12.594945121507484</v>
      </c>
      <c r="H137" s="79">
        <v>8.2634672902268012</v>
      </c>
      <c r="I137" s="79">
        <v>6.289260779372853</v>
      </c>
      <c r="J137" s="79">
        <v>6.7568589840990709</v>
      </c>
      <c r="K137" s="79">
        <v>7.0329252323603875</v>
      </c>
      <c r="L137" s="79">
        <v>10.829477301124532</v>
      </c>
      <c r="M137" s="79">
        <v>7.1414482640850805</v>
      </c>
      <c r="N137" s="79">
        <v>6.1462378087647407</v>
      </c>
      <c r="O137" s="79">
        <v>3.5365979381443298</v>
      </c>
      <c r="P137" s="79">
        <v>6</v>
      </c>
      <c r="Q137" s="79">
        <v>9.1946606528467534</v>
      </c>
    </row>
    <row r="138" spans="2:17" x14ac:dyDescent="0.3">
      <c r="B138" s="292"/>
      <c r="C138" s="9" t="s">
        <v>201</v>
      </c>
      <c r="D138" s="79">
        <v>19.665660823954397</v>
      </c>
      <c r="E138" s="79">
        <v>22.243869366916588</v>
      </c>
      <c r="F138" s="79">
        <v>11.466385423470554</v>
      </c>
      <c r="G138" s="79">
        <v>16.487260744791676</v>
      </c>
      <c r="H138" s="79">
        <v>8.3557868869556042</v>
      </c>
      <c r="I138" s="79">
        <v>6.9486745539799202</v>
      </c>
      <c r="J138" s="79">
        <v>6.2535487619732475</v>
      </c>
      <c r="K138" s="79">
        <v>9.4211278130788916</v>
      </c>
      <c r="L138" s="79">
        <v>7.6256549476949482</v>
      </c>
      <c r="M138" s="79">
        <v>7.7401031925123274</v>
      </c>
      <c r="N138" s="79">
        <v>4.3279296018706033</v>
      </c>
      <c r="O138" s="79">
        <v>6.7303778856775907</v>
      </c>
      <c r="P138" s="79">
        <v>7.7530516017548887</v>
      </c>
      <c r="Q138" s="79">
        <v>6</v>
      </c>
    </row>
    <row r="139" spans="2:17" x14ac:dyDescent="0.3">
      <c r="B139" s="292"/>
      <c r="C139" s="9" t="s">
        <v>202</v>
      </c>
      <c r="D139" s="79">
        <v>14.912296423856796</v>
      </c>
      <c r="E139" s="79">
        <v>17.765452030444678</v>
      </c>
      <c r="F139" s="79">
        <v>12.637678125082534</v>
      </c>
      <c r="G139" s="79">
        <v>12.46078955725352</v>
      </c>
      <c r="H139" s="79">
        <v>9.2057884646448542</v>
      </c>
      <c r="I139" s="79">
        <v>7.5631638957035028</v>
      </c>
      <c r="J139" s="79">
        <v>8.5903814535766188</v>
      </c>
      <c r="K139" s="79">
        <v>8.2304670295887199</v>
      </c>
      <c r="L139" s="79">
        <v>9.6324384377320875</v>
      </c>
      <c r="M139" s="79">
        <v>7.8868409893516693</v>
      </c>
      <c r="N139" s="79">
        <v>9.6481318570981536</v>
      </c>
      <c r="O139" s="79">
        <v>10.782741393416913</v>
      </c>
      <c r="P139" s="79">
        <v>11.435400343726174</v>
      </c>
      <c r="Q139" s="79">
        <v>1.3402828271651508</v>
      </c>
    </row>
    <row r="140" spans="2:17" ht="16.5" customHeight="1" x14ac:dyDescent="0.3">
      <c r="B140" s="295"/>
      <c r="C140" s="12" t="s">
        <v>203</v>
      </c>
      <c r="D140" s="81">
        <v>25.667867245089383</v>
      </c>
      <c r="E140" s="81">
        <v>18.814091081660159</v>
      </c>
      <c r="F140" s="81">
        <v>10.924931094507135</v>
      </c>
      <c r="G140" s="81">
        <v>12.976351157576657</v>
      </c>
      <c r="H140" s="81">
        <v>9.5684842304658275</v>
      </c>
      <c r="I140" s="81">
        <v>7.2879210417116544</v>
      </c>
      <c r="J140" s="81">
        <v>8.5895733891455261</v>
      </c>
      <c r="K140" s="81">
        <v>6.2174650038859767</v>
      </c>
      <c r="L140" s="81">
        <v>7.6276835263293403</v>
      </c>
      <c r="M140" s="81">
        <v>7.1559441210837491</v>
      </c>
      <c r="N140" s="81">
        <v>6.4495813886232982</v>
      </c>
      <c r="O140" s="81">
        <v>5.4205755227379981</v>
      </c>
      <c r="P140" s="81">
        <v>4.9361118418978949</v>
      </c>
      <c r="Q140" s="81">
        <v>10.055840033233572</v>
      </c>
    </row>
    <row r="141" spans="2:17" x14ac:dyDescent="0.3">
      <c r="B141" s="291" t="s">
        <v>204</v>
      </c>
      <c r="C141" s="13" t="s">
        <v>192</v>
      </c>
      <c r="D141" s="80">
        <v>22.396176165397051</v>
      </c>
      <c r="E141" s="80">
        <v>20.065818520042498</v>
      </c>
      <c r="F141" s="80">
        <v>12.2654855413834</v>
      </c>
      <c r="G141" s="80">
        <v>12.221641507464732</v>
      </c>
      <c r="H141" s="80">
        <v>9.5917908403146104</v>
      </c>
      <c r="I141" s="80">
        <v>6.7045260877078725</v>
      </c>
      <c r="J141" s="80">
        <v>7.6045359785694808</v>
      </c>
      <c r="K141" s="80">
        <v>6.4262631117735936</v>
      </c>
      <c r="L141" s="80">
        <v>6.6106869394078105</v>
      </c>
      <c r="M141" s="80">
        <v>6.7920134920349913</v>
      </c>
      <c r="N141" s="80">
        <v>5.6608359997526607</v>
      </c>
      <c r="O141" s="80">
        <v>9.6971053473306945</v>
      </c>
      <c r="P141" s="80">
        <v>9.5734173639084439</v>
      </c>
      <c r="Q141" s="80">
        <v>7.5559577497334978</v>
      </c>
    </row>
    <row r="142" spans="2:17" x14ac:dyDescent="0.3">
      <c r="B142" s="295"/>
      <c r="C142" s="12" t="s">
        <v>193</v>
      </c>
      <c r="D142" s="81">
        <v>22.323648859383752</v>
      </c>
      <c r="E142" s="81">
        <v>19.553043582347907</v>
      </c>
      <c r="F142" s="81">
        <v>11.681801654505891</v>
      </c>
      <c r="G142" s="81">
        <v>13.601690089040122</v>
      </c>
      <c r="H142" s="81">
        <v>9.0895498602354277</v>
      </c>
      <c r="I142" s="81">
        <v>7.1712104640372605</v>
      </c>
      <c r="J142" s="81">
        <v>7.9614936930573643</v>
      </c>
      <c r="K142" s="81">
        <v>7.5388361425667529</v>
      </c>
      <c r="L142" s="81">
        <v>8.3942521349574264</v>
      </c>
      <c r="M142" s="81">
        <v>7.4361891914418017</v>
      </c>
      <c r="N142" s="81">
        <v>6.6017560643393169</v>
      </c>
      <c r="O142" s="81">
        <v>7.0644309554382252</v>
      </c>
      <c r="P142" s="81">
        <v>7.0572334983324678</v>
      </c>
      <c r="Q142" s="81">
        <v>6.9426756041105575</v>
      </c>
    </row>
    <row r="143" spans="2:17" x14ac:dyDescent="0.3">
      <c r="B143" s="291" t="s">
        <v>209</v>
      </c>
      <c r="C143" s="13" t="s">
        <v>205</v>
      </c>
      <c r="D143" s="80">
        <v>15.412369390615025</v>
      </c>
      <c r="E143" s="80">
        <v>15.988928647372337</v>
      </c>
      <c r="F143" s="80">
        <v>8.967064459048828</v>
      </c>
      <c r="G143" s="80">
        <v>10.766418220226646</v>
      </c>
      <c r="H143" s="80">
        <v>8.1574308583620656</v>
      </c>
      <c r="I143" s="80">
        <v>6.0232405497509722</v>
      </c>
      <c r="J143" s="80">
        <v>7.1123913210069549</v>
      </c>
      <c r="K143" s="80">
        <v>6.3941762696429931</v>
      </c>
      <c r="L143" s="80">
        <v>10.874419451475736</v>
      </c>
      <c r="M143" s="80">
        <v>6.1785420089516894</v>
      </c>
      <c r="N143" s="80">
        <v>11.390909925615647</v>
      </c>
      <c r="O143" s="80">
        <v>11.246542876615695</v>
      </c>
      <c r="P143" s="80">
        <v>5.1311014114855231</v>
      </c>
      <c r="Q143" s="80">
        <v>3.1836285925207672</v>
      </c>
    </row>
    <row r="144" spans="2:17" x14ac:dyDescent="0.3">
      <c r="B144" s="292"/>
      <c r="C144" s="9" t="s">
        <v>206</v>
      </c>
      <c r="D144" s="79">
        <v>24.335697396035123</v>
      </c>
      <c r="E144" s="79">
        <v>17.982696947696862</v>
      </c>
      <c r="F144" s="79">
        <v>10.366331609871009</v>
      </c>
      <c r="G144" s="79">
        <v>12.823562750103411</v>
      </c>
      <c r="H144" s="79">
        <v>8.756210811568927</v>
      </c>
      <c r="I144" s="79">
        <v>7.2959535648540319</v>
      </c>
      <c r="J144" s="79">
        <v>9.0042888574741085</v>
      </c>
      <c r="K144" s="79">
        <v>8.3565375455262441</v>
      </c>
      <c r="L144" s="79">
        <v>5.0994124531690233</v>
      </c>
      <c r="M144" s="79">
        <v>7.5789012771397664</v>
      </c>
      <c r="N144" s="79">
        <v>5.3312458704529204</v>
      </c>
      <c r="O144" s="79">
        <v>8.1325012760476643</v>
      </c>
      <c r="P144" s="79">
        <v>4.6200898727973874</v>
      </c>
      <c r="Q144" s="79">
        <v>4.6325746855344905</v>
      </c>
    </row>
    <row r="145" spans="2:21" x14ac:dyDescent="0.3">
      <c r="B145" s="292"/>
      <c r="C145" s="9" t="s">
        <v>207</v>
      </c>
      <c r="D145" s="79">
        <v>23.500050327941263</v>
      </c>
      <c r="E145" s="79">
        <v>21.439578767748174</v>
      </c>
      <c r="F145" s="79">
        <v>12.310051762522937</v>
      </c>
      <c r="G145" s="79">
        <v>13.185015807914173</v>
      </c>
      <c r="H145" s="79">
        <v>10.76959340750104</v>
      </c>
      <c r="I145" s="79">
        <v>7.0237723408585486</v>
      </c>
      <c r="J145" s="79">
        <v>7.8618480917152604</v>
      </c>
      <c r="K145" s="79">
        <v>6.9669216703325123</v>
      </c>
      <c r="L145" s="79">
        <v>7.8193004051870183</v>
      </c>
      <c r="M145" s="79">
        <v>7.1531455418427266</v>
      </c>
      <c r="N145" s="79">
        <v>6.6233860002248433</v>
      </c>
      <c r="O145" s="79">
        <v>7.5666577981386629</v>
      </c>
      <c r="P145" s="79">
        <v>9.5327321146969659</v>
      </c>
      <c r="Q145" s="79">
        <v>10.599904378107686</v>
      </c>
    </row>
    <row r="146" spans="2:21" x14ac:dyDescent="0.3">
      <c r="B146" s="293"/>
      <c r="C146" s="25" t="s">
        <v>208</v>
      </c>
      <c r="D146" s="82">
        <v>22.609905863823208</v>
      </c>
      <c r="E146" s="82">
        <v>20.471210838815228</v>
      </c>
      <c r="F146" s="82">
        <v>13.587877826102739</v>
      </c>
      <c r="G146" s="82">
        <v>13.197616825895356</v>
      </c>
      <c r="H146" s="82">
        <v>9.0862726884671794</v>
      </c>
      <c r="I146" s="82">
        <v>6.9326144976788342</v>
      </c>
      <c r="J146" s="82">
        <v>7.3542232842303319</v>
      </c>
      <c r="K146" s="82">
        <v>6.4230696941125949</v>
      </c>
      <c r="L146" s="82">
        <v>7.1662254394765181</v>
      </c>
      <c r="M146" s="82">
        <v>7.0104499371168165</v>
      </c>
      <c r="N146" s="82">
        <v>4.3736327749412487</v>
      </c>
      <c r="O146" s="82">
        <v>7.9276870615219641</v>
      </c>
      <c r="P146" s="82">
        <v>10.228328747356359</v>
      </c>
      <c r="Q146" s="82">
        <v>9.2714827544076446</v>
      </c>
    </row>
    <row r="147" spans="2:21" x14ac:dyDescent="0.3">
      <c r="B147" s="60"/>
      <c r="C147" s="9"/>
      <c r="D147" s="58"/>
      <c r="E147" s="58"/>
      <c r="F147" s="50"/>
      <c r="G147" s="58"/>
      <c r="H147" s="50"/>
      <c r="I147" s="58"/>
      <c r="J147" s="58"/>
      <c r="K147" s="58"/>
      <c r="L147" s="50"/>
      <c r="M147" s="58"/>
      <c r="N147" s="58"/>
    </row>
    <row r="148" spans="2:21" x14ac:dyDescent="0.3">
      <c r="B148" s="60"/>
      <c r="C148" s="9"/>
      <c r="D148" s="58"/>
      <c r="E148" s="58"/>
      <c r="F148" s="50"/>
      <c r="G148" s="58"/>
      <c r="H148" s="50"/>
      <c r="I148" s="58"/>
      <c r="J148" s="58"/>
      <c r="K148" s="58"/>
      <c r="L148" s="50"/>
      <c r="M148" s="58"/>
      <c r="N148" s="58"/>
    </row>
    <row r="149" spans="2:21" ht="17.25" customHeight="1" x14ac:dyDescent="0.3">
      <c r="B149" s="1" t="s">
        <v>487</v>
      </c>
      <c r="D149" s="59"/>
      <c r="E149" s="59"/>
      <c r="F149" s="304"/>
      <c r="G149" s="304"/>
      <c r="H149" s="304"/>
      <c r="I149" s="304"/>
      <c r="J149" s="304"/>
      <c r="K149" s="304"/>
      <c r="L149" s="304"/>
      <c r="M149" s="304"/>
      <c r="N149" s="304"/>
      <c r="O149" s="304"/>
      <c r="P149" s="304"/>
      <c r="Q149" s="304"/>
      <c r="R149" s="304"/>
      <c r="S149" s="304"/>
      <c r="T149" s="304"/>
      <c r="U149" s="304"/>
    </row>
    <row r="150" spans="2:21" ht="10.5" customHeight="1" x14ac:dyDescent="0.3"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30"/>
      <c r="P150" s="30"/>
      <c r="Q150" s="30" t="s">
        <v>52</v>
      </c>
    </row>
    <row r="151" spans="2:21" s="22" customFormat="1" ht="20.25" customHeight="1" x14ac:dyDescent="0.3">
      <c r="B151" s="307"/>
      <c r="C151" s="307"/>
      <c r="D151" s="300" t="s">
        <v>120</v>
      </c>
      <c r="E151" s="300"/>
      <c r="F151" s="300"/>
      <c r="G151" s="300"/>
      <c r="H151" s="300"/>
      <c r="I151" s="300"/>
      <c r="J151" s="301"/>
      <c r="K151" s="299" t="s">
        <v>125</v>
      </c>
      <c r="L151" s="300"/>
      <c r="M151" s="300"/>
      <c r="N151" s="300"/>
      <c r="O151" s="300"/>
      <c r="P151" s="301"/>
      <c r="Q151" s="212" t="s">
        <v>38</v>
      </c>
    </row>
    <row r="152" spans="2:21" s="22" customFormat="1" ht="27" x14ac:dyDescent="0.3">
      <c r="B152" s="300"/>
      <c r="C152" s="300"/>
      <c r="D152" s="202" t="s">
        <v>39</v>
      </c>
      <c r="E152" s="202" t="s">
        <v>40</v>
      </c>
      <c r="F152" s="202" t="s">
        <v>116</v>
      </c>
      <c r="G152" s="202" t="s">
        <v>117</v>
      </c>
      <c r="H152" s="202" t="s">
        <v>115</v>
      </c>
      <c r="I152" s="202" t="s">
        <v>119</v>
      </c>
      <c r="J152" s="202" t="s">
        <v>300</v>
      </c>
      <c r="K152" s="214" t="s">
        <v>298</v>
      </c>
      <c r="L152" s="202" t="s">
        <v>299</v>
      </c>
      <c r="M152" s="202" t="s">
        <v>121</v>
      </c>
      <c r="N152" s="202" t="s">
        <v>118</v>
      </c>
      <c r="O152" s="202" t="s">
        <v>122</v>
      </c>
      <c r="P152" s="202" t="s">
        <v>124</v>
      </c>
      <c r="Q152" s="214" t="s">
        <v>38</v>
      </c>
    </row>
    <row r="153" spans="2:21" ht="21.75" customHeight="1" x14ac:dyDescent="0.3">
      <c r="B153" s="292" t="s">
        <v>20</v>
      </c>
      <c r="C153" s="292"/>
      <c r="D153" s="86">
        <v>16.018473784958339</v>
      </c>
      <c r="E153" s="86">
        <v>11.284594463214283</v>
      </c>
      <c r="F153" s="88">
        <v>13.62023724044743</v>
      </c>
      <c r="G153" s="88">
        <v>10.565140538399355</v>
      </c>
      <c r="H153" s="88">
        <v>20.01960741252342</v>
      </c>
      <c r="I153" s="86">
        <v>1.2400861815316999</v>
      </c>
      <c r="J153" s="86">
        <v>1.6334822208006403</v>
      </c>
      <c r="K153" s="92">
        <v>5.3376339832349187</v>
      </c>
      <c r="L153" s="86">
        <v>2.9166455982250148</v>
      </c>
      <c r="M153" s="88">
        <v>2.8299490308008663</v>
      </c>
      <c r="N153" s="86">
        <v>12.340252935169419</v>
      </c>
      <c r="O153" s="86">
        <v>1.4024825955009326</v>
      </c>
      <c r="P153" s="86">
        <v>0.53615211576080202</v>
      </c>
      <c r="Q153" s="92">
        <v>0.25526189943280586</v>
      </c>
    </row>
    <row r="154" spans="2:21" x14ac:dyDescent="0.3">
      <c r="B154" s="296" t="s">
        <v>5</v>
      </c>
      <c r="C154" s="13" t="s">
        <v>0</v>
      </c>
      <c r="D154" s="84">
        <v>16.438886794149603</v>
      </c>
      <c r="E154" s="84">
        <v>11.535358521445243</v>
      </c>
      <c r="F154" s="89">
        <v>12.028926934540095</v>
      </c>
      <c r="G154" s="89">
        <v>11.670362504589995</v>
      </c>
      <c r="H154" s="89">
        <v>18.978402982973279</v>
      </c>
      <c r="I154" s="84">
        <v>1.3169272014180196</v>
      </c>
      <c r="J154" s="84">
        <v>1.5735679861100205</v>
      </c>
      <c r="K154" s="93">
        <v>4.3691558964220265</v>
      </c>
      <c r="L154" s="84">
        <v>2.2269937231435604</v>
      </c>
      <c r="M154" s="89">
        <v>2.7372192252827121</v>
      </c>
      <c r="N154" s="84">
        <v>14.76957144970585</v>
      </c>
      <c r="O154" s="84">
        <v>1.3608469396680081</v>
      </c>
      <c r="P154" s="84">
        <v>0.67697194236024327</v>
      </c>
      <c r="Q154" s="93">
        <v>0.31680789819115035</v>
      </c>
    </row>
    <row r="155" spans="2:21" x14ac:dyDescent="0.3">
      <c r="B155" s="295"/>
      <c r="C155" s="12" t="s">
        <v>1</v>
      </c>
      <c r="D155" s="90">
        <v>15.304094248299824</v>
      </c>
      <c r="E155" s="90">
        <v>10.858487973136226</v>
      </c>
      <c r="F155" s="91">
        <v>16.324243762987628</v>
      </c>
      <c r="G155" s="91">
        <v>8.6871112223444449</v>
      </c>
      <c r="H155" s="91">
        <v>21.78885603634604</v>
      </c>
      <c r="I155" s="90">
        <v>1.1095154071202407</v>
      </c>
      <c r="J155" s="90">
        <v>1.7352904481432434</v>
      </c>
      <c r="K155" s="94">
        <v>6.9833036266462898</v>
      </c>
      <c r="L155" s="90">
        <v>4.0885246224352381</v>
      </c>
      <c r="M155" s="91">
        <v>2.9875185494699452</v>
      </c>
      <c r="N155" s="90">
        <v>8.2122754538139517</v>
      </c>
      <c r="O155" s="90">
        <v>1.4732312637679144</v>
      </c>
      <c r="P155" s="90">
        <v>0.2968664602765525</v>
      </c>
      <c r="Q155" s="94">
        <v>0.15068092521236395</v>
      </c>
    </row>
    <row r="156" spans="2:21" x14ac:dyDescent="0.3">
      <c r="B156" s="296" t="s">
        <v>4</v>
      </c>
      <c r="C156" s="9" t="s">
        <v>175</v>
      </c>
      <c r="D156" s="86">
        <v>17.002038578586163</v>
      </c>
      <c r="E156" s="86">
        <v>6.3180595841777025</v>
      </c>
      <c r="F156" s="88">
        <v>10.296576581197138</v>
      </c>
      <c r="G156" s="88">
        <v>12.595466019089525</v>
      </c>
      <c r="H156" s="88">
        <v>11.364760896871601</v>
      </c>
      <c r="I156" s="86">
        <v>1.185501019943775</v>
      </c>
      <c r="J156" s="86">
        <v>0</v>
      </c>
      <c r="K156" s="92">
        <v>35.807804902178532</v>
      </c>
      <c r="L156" s="86">
        <v>2.1380812839659979</v>
      </c>
      <c r="M156" s="88">
        <v>0</v>
      </c>
      <c r="N156" s="86">
        <v>3.2917111339895881</v>
      </c>
      <c r="O156" s="86">
        <v>0</v>
      </c>
      <c r="P156" s="86">
        <v>0</v>
      </c>
      <c r="Q156" s="92">
        <v>0</v>
      </c>
    </row>
    <row r="157" spans="2:21" x14ac:dyDescent="0.3">
      <c r="B157" s="292"/>
      <c r="C157" s="9" t="s">
        <v>176</v>
      </c>
      <c r="D157" s="86">
        <v>22.473052594436169</v>
      </c>
      <c r="E157" s="86">
        <v>17.221317642053965</v>
      </c>
      <c r="F157" s="88">
        <v>18.767245406170641</v>
      </c>
      <c r="G157" s="88">
        <v>8.3425609612630218</v>
      </c>
      <c r="H157" s="88">
        <v>13.352253737250924</v>
      </c>
      <c r="I157" s="86">
        <v>2.1430052600796974</v>
      </c>
      <c r="J157" s="86">
        <v>1.0957695383362125</v>
      </c>
      <c r="K157" s="92">
        <v>8.2829440150131113</v>
      </c>
      <c r="L157" s="86">
        <v>4.0041484222826478</v>
      </c>
      <c r="M157" s="88">
        <v>0.47441629107114458</v>
      </c>
      <c r="N157" s="86">
        <v>2.9620543497366718</v>
      </c>
      <c r="O157" s="86">
        <v>0</v>
      </c>
      <c r="P157" s="86">
        <v>0.88123178230576538</v>
      </c>
      <c r="Q157" s="92">
        <v>0</v>
      </c>
    </row>
    <row r="158" spans="2:21" x14ac:dyDescent="0.3">
      <c r="B158" s="292"/>
      <c r="C158" s="9" t="s">
        <v>177</v>
      </c>
      <c r="D158" s="86">
        <v>16.3149402378038</v>
      </c>
      <c r="E158" s="86">
        <v>11.58341740198188</v>
      </c>
      <c r="F158" s="88">
        <v>14.727698448990672</v>
      </c>
      <c r="G158" s="88">
        <v>5.9845446725695144</v>
      </c>
      <c r="H158" s="88">
        <v>20.343019238928772</v>
      </c>
      <c r="I158" s="86">
        <v>2.0398481072505872</v>
      </c>
      <c r="J158" s="86">
        <v>2.1816541823008606</v>
      </c>
      <c r="K158" s="92">
        <v>7.1828834537449513</v>
      </c>
      <c r="L158" s="86">
        <v>3.6399445767742615</v>
      </c>
      <c r="M158" s="88">
        <v>2.1730409720097539</v>
      </c>
      <c r="N158" s="86">
        <v>12.275731596273973</v>
      </c>
      <c r="O158" s="86">
        <v>0.27263060887684237</v>
      </c>
      <c r="P158" s="86">
        <v>0.89558882238503901</v>
      </c>
      <c r="Q158" s="92">
        <v>0.38505768010902741</v>
      </c>
    </row>
    <row r="159" spans="2:21" x14ac:dyDescent="0.3">
      <c r="B159" s="292"/>
      <c r="C159" s="9" t="s">
        <v>178</v>
      </c>
      <c r="D159" s="86">
        <v>15.549225346327045</v>
      </c>
      <c r="E159" s="86">
        <v>10.717013079949124</v>
      </c>
      <c r="F159" s="88">
        <v>15.017253358120136</v>
      </c>
      <c r="G159" s="88">
        <v>8.9102308522179978</v>
      </c>
      <c r="H159" s="88">
        <v>19.433250151722813</v>
      </c>
      <c r="I159" s="86">
        <v>1.6210651214507088</v>
      </c>
      <c r="J159" s="86">
        <v>2.7325774074260485</v>
      </c>
      <c r="K159" s="92">
        <v>5.047823069080434</v>
      </c>
      <c r="L159" s="86">
        <v>2.6712402306454184</v>
      </c>
      <c r="M159" s="88">
        <v>3.9106649537286464</v>
      </c>
      <c r="N159" s="86">
        <v>13.645767813615176</v>
      </c>
      <c r="O159" s="86">
        <v>0.18897441813403898</v>
      </c>
      <c r="P159" s="86">
        <v>0.27385513723715121</v>
      </c>
      <c r="Q159" s="92">
        <v>0.28105906034540795</v>
      </c>
    </row>
    <row r="160" spans="2:21" x14ac:dyDescent="0.3">
      <c r="B160" s="292"/>
      <c r="C160" s="9" t="s">
        <v>179</v>
      </c>
      <c r="D160" s="86">
        <v>13.831203474467735</v>
      </c>
      <c r="E160" s="86">
        <v>11.541252389077446</v>
      </c>
      <c r="F160" s="88">
        <v>12.830369360952018</v>
      </c>
      <c r="G160" s="88">
        <v>10.643242178462483</v>
      </c>
      <c r="H160" s="88">
        <v>21.284398822598952</v>
      </c>
      <c r="I160" s="86">
        <v>0.740889837045695</v>
      </c>
      <c r="J160" s="86">
        <v>1.1826610149963561</v>
      </c>
      <c r="K160" s="92">
        <v>3.0129669083656725</v>
      </c>
      <c r="L160" s="86">
        <v>3.3888084400782317</v>
      </c>
      <c r="M160" s="88">
        <v>3.7009889620480552</v>
      </c>
      <c r="N160" s="86">
        <v>14.007768362973897</v>
      </c>
      <c r="O160" s="86">
        <v>2.5483063050153376</v>
      </c>
      <c r="P160" s="86">
        <v>0.7336466043988501</v>
      </c>
      <c r="Q160" s="92">
        <v>0.55349733951930558</v>
      </c>
    </row>
    <row r="161" spans="2:17" x14ac:dyDescent="0.3">
      <c r="B161" s="298"/>
      <c r="C161" s="12" t="s">
        <v>180</v>
      </c>
      <c r="D161" s="90">
        <v>15.233001864123102</v>
      </c>
      <c r="E161" s="90">
        <v>8.9572044799094694</v>
      </c>
      <c r="F161" s="91">
        <v>10.549304273871845</v>
      </c>
      <c r="G161" s="91">
        <v>15.3006170700867</v>
      </c>
      <c r="H161" s="91">
        <v>23.333041020843176</v>
      </c>
      <c r="I161" s="90">
        <v>0.56428570477370599</v>
      </c>
      <c r="J161" s="90">
        <v>1.3796458331134525</v>
      </c>
      <c r="K161" s="94">
        <v>1.7932248992571485</v>
      </c>
      <c r="L161" s="90">
        <v>1.751617637099993</v>
      </c>
      <c r="M161" s="91">
        <v>2.9218355075164566</v>
      </c>
      <c r="N161" s="90">
        <v>15.313365761829015</v>
      </c>
      <c r="O161" s="90">
        <v>2.6772797570277418</v>
      </c>
      <c r="P161" s="90">
        <v>0.22557619054804223</v>
      </c>
      <c r="Q161" s="94">
        <v>0</v>
      </c>
    </row>
    <row r="162" spans="2:17" x14ac:dyDescent="0.3">
      <c r="B162" s="292" t="s">
        <v>223</v>
      </c>
      <c r="C162" s="9" t="s">
        <v>210</v>
      </c>
      <c r="D162" s="86">
        <v>23.838567261093445</v>
      </c>
      <c r="E162" s="86">
        <v>3.7276796922262418</v>
      </c>
      <c r="F162" s="88">
        <v>14.63732388732884</v>
      </c>
      <c r="G162" s="88">
        <v>17.995400201742289</v>
      </c>
      <c r="H162" s="88">
        <v>10.598068463169859</v>
      </c>
      <c r="I162" s="86">
        <v>2.0785678226979862</v>
      </c>
      <c r="J162" s="86">
        <v>0</v>
      </c>
      <c r="K162" s="92">
        <v>20.020730939753921</v>
      </c>
      <c r="L162" s="86">
        <v>3.7487500089837908</v>
      </c>
      <c r="M162" s="88">
        <v>0</v>
      </c>
      <c r="N162" s="86">
        <v>3.3549117230036183</v>
      </c>
      <c r="O162" s="86">
        <v>0</v>
      </c>
      <c r="P162" s="86">
        <v>0</v>
      </c>
      <c r="Q162" s="92">
        <v>0</v>
      </c>
    </row>
    <row r="163" spans="2:17" x14ac:dyDescent="0.3">
      <c r="B163" s="292"/>
      <c r="C163" s="9" t="s">
        <v>211</v>
      </c>
      <c r="D163" s="86">
        <v>22.933333679959897</v>
      </c>
      <c r="E163" s="86">
        <v>14.466989111966019</v>
      </c>
      <c r="F163" s="88">
        <v>19.528584289445998</v>
      </c>
      <c r="G163" s="88">
        <v>9.2400368408733105</v>
      </c>
      <c r="H163" s="88">
        <v>13.998182007390705</v>
      </c>
      <c r="I163" s="86">
        <v>2.8838884009196741</v>
      </c>
      <c r="J163" s="86">
        <v>1.3158026297405201</v>
      </c>
      <c r="K163" s="92">
        <v>6.5516240653729696</v>
      </c>
      <c r="L163" s="86">
        <v>4.0203737485027657</v>
      </c>
      <c r="M163" s="88">
        <v>0.81478899887792633</v>
      </c>
      <c r="N163" s="86">
        <v>2.7329196132715521</v>
      </c>
      <c r="O163" s="86">
        <v>0</v>
      </c>
      <c r="P163" s="86">
        <v>1.5134766136786175</v>
      </c>
      <c r="Q163" s="92">
        <v>0</v>
      </c>
    </row>
    <row r="164" spans="2:17" x14ac:dyDescent="0.3">
      <c r="B164" s="292"/>
      <c r="C164" s="9" t="s">
        <v>212</v>
      </c>
      <c r="D164" s="86">
        <v>14.981864313297272</v>
      </c>
      <c r="E164" s="86">
        <v>13.380939830023902</v>
      </c>
      <c r="F164" s="88">
        <v>13.444524468239868</v>
      </c>
      <c r="G164" s="88">
        <v>6.218807657688882</v>
      </c>
      <c r="H164" s="88">
        <v>19.879506004630613</v>
      </c>
      <c r="I164" s="86">
        <v>3.1030973523017038</v>
      </c>
      <c r="J164" s="86">
        <v>1.8075506201752694</v>
      </c>
      <c r="K164" s="92">
        <v>8.599796627560492</v>
      </c>
      <c r="L164" s="86">
        <v>1.7961975020577687</v>
      </c>
      <c r="M164" s="88">
        <v>1.8260683390192083</v>
      </c>
      <c r="N164" s="86">
        <v>13.013477341861549</v>
      </c>
      <c r="O164" s="86">
        <v>0</v>
      </c>
      <c r="P164" s="86">
        <v>1.3624050210482725</v>
      </c>
      <c r="Q164" s="92">
        <v>0.58576492209523823</v>
      </c>
    </row>
    <row r="165" spans="2:17" x14ac:dyDescent="0.3">
      <c r="B165" s="292"/>
      <c r="C165" s="9" t="s">
        <v>213</v>
      </c>
      <c r="D165" s="86">
        <v>18.037222060810251</v>
      </c>
      <c r="E165" s="86">
        <v>11.509500886615438</v>
      </c>
      <c r="F165" s="88">
        <v>10.80285371032633</v>
      </c>
      <c r="G165" s="88">
        <v>9.1071556170058443</v>
      </c>
      <c r="H165" s="88">
        <v>16.969907760926198</v>
      </c>
      <c r="I165" s="86">
        <v>1.6758607550382054</v>
      </c>
      <c r="J165" s="86">
        <v>2.8562924332166442</v>
      </c>
      <c r="K165" s="92">
        <v>4.7059185801882251</v>
      </c>
      <c r="L165" s="86">
        <v>1.8257193212098604</v>
      </c>
      <c r="M165" s="88">
        <v>3.7143765896323289</v>
      </c>
      <c r="N165" s="86">
        <v>18.061496054915498</v>
      </c>
      <c r="O165" s="86">
        <v>0.29956993144476896</v>
      </c>
      <c r="P165" s="86">
        <v>0.43412629867044406</v>
      </c>
      <c r="Q165" s="92">
        <v>0</v>
      </c>
    </row>
    <row r="166" spans="2:17" x14ac:dyDescent="0.3">
      <c r="B166" s="292"/>
      <c r="C166" s="9" t="s">
        <v>214</v>
      </c>
      <c r="D166" s="86">
        <v>14.370025820958087</v>
      </c>
      <c r="E166" s="86">
        <v>12.014270938525485</v>
      </c>
      <c r="F166" s="88">
        <v>11.41566339087478</v>
      </c>
      <c r="G166" s="88">
        <v>11.833930290673916</v>
      </c>
      <c r="H166" s="88">
        <v>21.526581825947762</v>
      </c>
      <c r="I166" s="86">
        <v>0.26874429597476851</v>
      </c>
      <c r="J166" s="86">
        <v>1.5518708853411425</v>
      </c>
      <c r="K166" s="92">
        <v>1.3901980162311669</v>
      </c>
      <c r="L166" s="86">
        <v>2.9912675492159582</v>
      </c>
      <c r="M166" s="88">
        <v>3.0971879702963814</v>
      </c>
      <c r="N166" s="86">
        <v>15.910582644698993</v>
      </c>
      <c r="O166" s="86">
        <v>2.319766140123054</v>
      </c>
      <c r="P166" s="86">
        <v>0.47440627450270623</v>
      </c>
      <c r="Q166" s="92">
        <v>0.83550395663593113</v>
      </c>
    </row>
    <row r="167" spans="2:17" x14ac:dyDescent="0.3">
      <c r="B167" s="292"/>
      <c r="C167" s="12" t="s">
        <v>215</v>
      </c>
      <c r="D167" s="90">
        <v>14.465759840439279</v>
      </c>
      <c r="E167" s="90">
        <v>9.3598837860697444</v>
      </c>
      <c r="F167" s="91">
        <v>9.0236493366666153</v>
      </c>
      <c r="G167" s="91">
        <v>17.43603478485586</v>
      </c>
      <c r="H167" s="91">
        <v>20.475208018140755</v>
      </c>
      <c r="I167" s="90">
        <v>0.2940180711539675</v>
      </c>
      <c r="J167" s="90">
        <v>0.68239899640094082</v>
      </c>
      <c r="K167" s="94">
        <v>2.087953878898241</v>
      </c>
      <c r="L167" s="90">
        <v>0.91388682807770105</v>
      </c>
      <c r="M167" s="91">
        <v>3.2941905320190834</v>
      </c>
      <c r="N167" s="90">
        <v>18.812745019040776</v>
      </c>
      <c r="O167" s="90">
        <v>2.7833290568175082</v>
      </c>
      <c r="P167" s="90">
        <v>0.37094185141951536</v>
      </c>
      <c r="Q167" s="94">
        <v>0</v>
      </c>
    </row>
    <row r="168" spans="2:17" x14ac:dyDescent="0.3">
      <c r="B168" s="292"/>
      <c r="C168" s="9" t="s">
        <v>216</v>
      </c>
      <c r="D168" s="86">
        <v>7.9268924629849646</v>
      </c>
      <c r="E168" s="86">
        <v>9.7566579000927849</v>
      </c>
      <c r="F168" s="88">
        <v>4.5344540357534786</v>
      </c>
      <c r="G168" s="88">
        <v>5.4273264561570151</v>
      </c>
      <c r="H168" s="88">
        <v>12.382506332412929</v>
      </c>
      <c r="I168" s="86">
        <v>0</v>
      </c>
      <c r="J168" s="86">
        <v>0</v>
      </c>
      <c r="K168" s="92">
        <v>56.764347264590178</v>
      </c>
      <c r="L168" s="86">
        <v>0</v>
      </c>
      <c r="M168" s="88">
        <v>0</v>
      </c>
      <c r="N168" s="86">
        <v>3.2078155480086563</v>
      </c>
      <c r="O168" s="86">
        <v>0</v>
      </c>
      <c r="P168" s="86">
        <v>0</v>
      </c>
      <c r="Q168" s="92">
        <v>0</v>
      </c>
    </row>
    <row r="169" spans="2:17" x14ac:dyDescent="0.3">
      <c r="B169" s="292"/>
      <c r="C169" s="9" t="s">
        <v>217</v>
      </c>
      <c r="D169" s="86">
        <v>21.831506311682162</v>
      </c>
      <c r="E169" s="86">
        <v>21.060339677797021</v>
      </c>
      <c r="F169" s="88">
        <v>17.706080509669093</v>
      </c>
      <c r="G169" s="88">
        <v>7.0916463950686488</v>
      </c>
      <c r="H169" s="88">
        <v>12.451949784585983</v>
      </c>
      <c r="I169" s="86">
        <v>1.1103518665121688</v>
      </c>
      <c r="J169" s="86">
        <v>0.7890843055231076</v>
      </c>
      <c r="K169" s="92">
        <v>10.696082231817549</v>
      </c>
      <c r="L169" s="86">
        <v>3.9815333332634157</v>
      </c>
      <c r="M169" s="88">
        <v>0</v>
      </c>
      <c r="N169" s="86">
        <v>3.2814255840809206</v>
      </c>
      <c r="O169" s="86">
        <v>0</v>
      </c>
      <c r="P169" s="86">
        <v>0</v>
      </c>
      <c r="Q169" s="92">
        <v>0</v>
      </c>
    </row>
    <row r="170" spans="2:17" x14ac:dyDescent="0.3">
      <c r="B170" s="292"/>
      <c r="C170" s="9" t="s">
        <v>218</v>
      </c>
      <c r="D170" s="86">
        <v>18.872451953972771</v>
      </c>
      <c r="E170" s="86">
        <v>8.1348631334051866</v>
      </c>
      <c r="F170" s="88">
        <v>17.189473078120042</v>
      </c>
      <c r="G170" s="88">
        <v>5.5351101594308547</v>
      </c>
      <c r="H170" s="88">
        <v>21.23227131041584</v>
      </c>
      <c r="I170" s="86">
        <v>0</v>
      </c>
      <c r="J170" s="86">
        <v>2.8993734251496153</v>
      </c>
      <c r="K170" s="92">
        <v>4.464529625422144</v>
      </c>
      <c r="L170" s="86">
        <v>7.1771810226166979</v>
      </c>
      <c r="M170" s="88">
        <v>2.8387094142568023</v>
      </c>
      <c r="N170" s="86">
        <v>10.860363309135801</v>
      </c>
      <c r="O170" s="86">
        <v>0.79567356807430556</v>
      </c>
      <c r="P170" s="86">
        <v>0</v>
      </c>
      <c r="Q170" s="92">
        <v>0</v>
      </c>
    </row>
    <row r="171" spans="2:17" x14ac:dyDescent="0.3">
      <c r="B171" s="292"/>
      <c r="C171" s="9" t="s">
        <v>219</v>
      </c>
      <c r="D171" s="86">
        <v>11.297988407646882</v>
      </c>
      <c r="E171" s="86">
        <v>9.3628901353562135</v>
      </c>
      <c r="F171" s="88">
        <v>22.218392874408789</v>
      </c>
      <c r="G171" s="88">
        <v>8.5737457478230965</v>
      </c>
      <c r="H171" s="88">
        <v>23.642360277716794</v>
      </c>
      <c r="I171" s="86">
        <v>1.5274358894547395</v>
      </c>
      <c r="J171" s="86">
        <v>2.5211856943867446</v>
      </c>
      <c r="K171" s="92">
        <v>5.6320348504778153</v>
      </c>
      <c r="L171" s="86">
        <v>4.1159807729838986</v>
      </c>
      <c r="M171" s="88">
        <v>4.2460626410413722</v>
      </c>
      <c r="N171" s="86">
        <v>6.1006183761938786</v>
      </c>
      <c r="O171" s="86">
        <v>0</v>
      </c>
      <c r="P171" s="86">
        <v>0</v>
      </c>
      <c r="Q171" s="92">
        <v>0.76130433250980734</v>
      </c>
    </row>
    <row r="172" spans="2:17" x14ac:dyDescent="0.3">
      <c r="B172" s="292"/>
      <c r="C172" s="9" t="s">
        <v>220</v>
      </c>
      <c r="D172" s="86">
        <v>12.773651214505644</v>
      </c>
      <c r="E172" s="86">
        <v>10.612853930418256</v>
      </c>
      <c r="F172" s="88">
        <v>15.607027577861905</v>
      </c>
      <c r="G172" s="88">
        <v>8.3062661562518443</v>
      </c>
      <c r="H172" s="88">
        <v>20.809063706703792</v>
      </c>
      <c r="I172" s="86">
        <v>1.6675748330243052</v>
      </c>
      <c r="J172" s="86">
        <v>0.45800893750416816</v>
      </c>
      <c r="K172" s="92">
        <v>6.1979924004437077</v>
      </c>
      <c r="L172" s="86">
        <v>4.1690661081151754</v>
      </c>
      <c r="M172" s="88">
        <v>4.8860754892746874</v>
      </c>
      <c r="N172" s="86">
        <v>10.27309485317247</v>
      </c>
      <c r="O172" s="86">
        <v>2.9968644790558803</v>
      </c>
      <c r="P172" s="86">
        <v>1.2424603136682417</v>
      </c>
      <c r="Q172" s="92">
        <v>0</v>
      </c>
    </row>
    <row r="173" spans="2:17" x14ac:dyDescent="0.3">
      <c r="B173" s="295"/>
      <c r="C173" s="9" t="s">
        <v>221</v>
      </c>
      <c r="D173" s="86">
        <v>16.423596203208447</v>
      </c>
      <c r="E173" s="86">
        <v>8.3323329431820294</v>
      </c>
      <c r="F173" s="88">
        <v>12.916792075064873</v>
      </c>
      <c r="G173" s="88">
        <v>11.986908795115699</v>
      </c>
      <c r="H173" s="88">
        <v>27.767782197730124</v>
      </c>
      <c r="I173" s="86">
        <v>0.98368285025415714</v>
      </c>
      <c r="J173" s="86">
        <v>2.4616227206009706</v>
      </c>
      <c r="K173" s="92">
        <v>1.3358690142910912</v>
      </c>
      <c r="L173" s="86">
        <v>3.0515953861163987</v>
      </c>
      <c r="M173" s="88">
        <v>2.3440207233702264</v>
      </c>
      <c r="N173" s="86">
        <v>9.8830830018407347</v>
      </c>
      <c r="O173" s="86">
        <v>2.5127140892252724</v>
      </c>
      <c r="P173" s="86">
        <v>0</v>
      </c>
      <c r="Q173" s="92">
        <v>0</v>
      </c>
    </row>
    <row r="174" spans="2:17" ht="16.5" customHeight="1" x14ac:dyDescent="0.3">
      <c r="B174" s="291" t="s">
        <v>222</v>
      </c>
      <c r="C174" s="13" t="s">
        <v>226</v>
      </c>
      <c r="D174" s="84">
        <v>13.304696822166745</v>
      </c>
      <c r="E174" s="84">
        <v>12.036818464688443</v>
      </c>
      <c r="F174" s="89">
        <v>14.606959453057241</v>
      </c>
      <c r="G174" s="89">
        <v>10.899570719019707</v>
      </c>
      <c r="H174" s="89">
        <v>13.422766100093938</v>
      </c>
      <c r="I174" s="84">
        <v>1.2896997996569404</v>
      </c>
      <c r="J174" s="84">
        <v>1.9219288118686382</v>
      </c>
      <c r="K174" s="93">
        <v>7.8181251973827912</v>
      </c>
      <c r="L174" s="84">
        <v>3.5966150510257311</v>
      </c>
      <c r="M174" s="89">
        <v>2.6763466600498278</v>
      </c>
      <c r="N174" s="84">
        <v>13.899674872537624</v>
      </c>
      <c r="O174" s="84">
        <v>3.2242565283668743</v>
      </c>
      <c r="P174" s="84">
        <v>1.029516768553604</v>
      </c>
      <c r="Q174" s="93">
        <v>0.27302475153194189</v>
      </c>
    </row>
    <row r="175" spans="2:17" ht="16.5" customHeight="1" x14ac:dyDescent="0.3">
      <c r="B175" s="294"/>
      <c r="C175" s="9" t="s">
        <v>227</v>
      </c>
      <c r="D175" s="86">
        <v>12.275094370174976</v>
      </c>
      <c r="E175" s="86">
        <v>10.484537185797</v>
      </c>
      <c r="F175" s="88">
        <v>16.274247466690852</v>
      </c>
      <c r="G175" s="88">
        <v>11.800332256727353</v>
      </c>
      <c r="H175" s="88">
        <v>20.992761140476425</v>
      </c>
      <c r="I175" s="86">
        <v>1.4204116293544715</v>
      </c>
      <c r="J175" s="86">
        <v>2.00214242325836</v>
      </c>
      <c r="K175" s="92">
        <v>5.0106851919260436</v>
      </c>
      <c r="L175" s="86">
        <v>2.6616032487969954</v>
      </c>
      <c r="M175" s="88">
        <v>2.5341092166411494</v>
      </c>
      <c r="N175" s="86">
        <v>12.6365389383609</v>
      </c>
      <c r="O175" s="86">
        <v>1.079401050405645</v>
      </c>
      <c r="P175" s="86">
        <v>0.47463011253257925</v>
      </c>
      <c r="Q175" s="92">
        <v>0.35350576885727603</v>
      </c>
    </row>
    <row r="176" spans="2:17" x14ac:dyDescent="0.3">
      <c r="B176" s="292"/>
      <c r="C176" s="9" t="s">
        <v>228</v>
      </c>
      <c r="D176" s="86">
        <v>16.653458556315954</v>
      </c>
      <c r="E176" s="86">
        <v>11.415885772716216</v>
      </c>
      <c r="F176" s="88">
        <v>11.600272524309913</v>
      </c>
      <c r="G176" s="88">
        <v>12.534319545846099</v>
      </c>
      <c r="H176" s="88">
        <v>21.700890039182173</v>
      </c>
      <c r="I176" s="86">
        <v>1.0788361578719989</v>
      </c>
      <c r="J176" s="86">
        <v>1.069511364393668</v>
      </c>
      <c r="K176" s="92">
        <v>3.8366147681138654</v>
      </c>
      <c r="L176" s="86">
        <v>3.3469538809056281</v>
      </c>
      <c r="M176" s="88">
        <v>2.5287608071264467</v>
      </c>
      <c r="N176" s="86">
        <v>12.773735166787075</v>
      </c>
      <c r="O176" s="86">
        <v>0.83374770832654743</v>
      </c>
      <c r="P176" s="86">
        <v>0.62701370810449242</v>
      </c>
      <c r="Q176" s="92">
        <v>0</v>
      </c>
    </row>
    <row r="177" spans="2:21" x14ac:dyDescent="0.3">
      <c r="B177" s="295"/>
      <c r="C177" s="12" t="s">
        <v>229</v>
      </c>
      <c r="D177" s="90">
        <v>21.321950083668963</v>
      </c>
      <c r="E177" s="90">
        <v>11.487181175488228</v>
      </c>
      <c r="F177" s="91">
        <v>11.74980483951609</v>
      </c>
      <c r="G177" s="91">
        <v>7.4983638131000712</v>
      </c>
      <c r="H177" s="91">
        <v>22.313064487976586</v>
      </c>
      <c r="I177" s="90">
        <v>1.1440680016763298</v>
      </c>
      <c r="J177" s="90">
        <v>1.4899483567587399</v>
      </c>
      <c r="K177" s="94">
        <v>5.1167212948442371</v>
      </c>
      <c r="L177" s="90">
        <v>2.3675655618412095</v>
      </c>
      <c r="M177" s="91">
        <v>3.4822203932044991</v>
      </c>
      <c r="N177" s="90">
        <v>10.597677242004591</v>
      </c>
      <c r="O177" s="90">
        <v>0.90769608231951715</v>
      </c>
      <c r="P177" s="90">
        <v>0.18287133434995365</v>
      </c>
      <c r="Q177" s="94">
        <v>0.34086733325103591</v>
      </c>
    </row>
    <row r="178" spans="2:21" x14ac:dyDescent="0.3">
      <c r="B178" s="296" t="s">
        <v>199</v>
      </c>
      <c r="C178" s="13" t="s">
        <v>192</v>
      </c>
      <c r="D178" s="84">
        <v>17.903108802958645</v>
      </c>
      <c r="E178" s="84">
        <v>14.793216893652389</v>
      </c>
      <c r="F178" s="89">
        <v>13.409121656298392</v>
      </c>
      <c r="G178" s="89">
        <v>10.165766922158838</v>
      </c>
      <c r="H178" s="89">
        <v>18.057919000138888</v>
      </c>
      <c r="I178" s="84">
        <v>1.8309147796222065</v>
      </c>
      <c r="J178" s="84">
        <v>1.6004716751701125</v>
      </c>
      <c r="K178" s="93">
        <v>5.0174284727817913</v>
      </c>
      <c r="L178" s="84">
        <v>2.7287474404031444</v>
      </c>
      <c r="M178" s="89">
        <v>2.9170568618578785</v>
      </c>
      <c r="N178" s="84">
        <v>10.184684557520988</v>
      </c>
      <c r="O178" s="84">
        <v>0.75912205221120133</v>
      </c>
      <c r="P178" s="84">
        <v>0.41705952953155878</v>
      </c>
      <c r="Q178" s="93">
        <v>0.21538135569382508</v>
      </c>
    </row>
    <row r="179" spans="2:21" x14ac:dyDescent="0.3">
      <c r="B179" s="292"/>
      <c r="C179" s="9" t="s">
        <v>200</v>
      </c>
      <c r="D179" s="86">
        <v>9.2210008237942418</v>
      </c>
      <c r="E179" s="86">
        <v>6.2204085171314736</v>
      </c>
      <c r="F179" s="88">
        <v>12.535846846782944</v>
      </c>
      <c r="G179" s="88">
        <v>14.411016342620824</v>
      </c>
      <c r="H179" s="88">
        <v>15.44419841759184</v>
      </c>
      <c r="I179" s="86">
        <v>0</v>
      </c>
      <c r="J179" s="86">
        <v>3.1135427417818038</v>
      </c>
      <c r="K179" s="92">
        <v>8.1003088887548831</v>
      </c>
      <c r="L179" s="86">
        <v>3.2282554232335565</v>
      </c>
      <c r="M179" s="88">
        <v>4.2042931642600214</v>
      </c>
      <c r="N179" s="86">
        <v>17.119032346176752</v>
      </c>
      <c r="O179" s="86">
        <v>6.4020964878716944</v>
      </c>
      <c r="P179" s="86">
        <v>0</v>
      </c>
      <c r="Q179" s="92">
        <v>0</v>
      </c>
    </row>
    <row r="180" spans="2:21" x14ac:dyDescent="0.3">
      <c r="B180" s="292"/>
      <c r="C180" s="9" t="s">
        <v>201</v>
      </c>
      <c r="D180" s="86">
        <v>18.148895431377422</v>
      </c>
      <c r="E180" s="86">
        <v>8.9035439057157681</v>
      </c>
      <c r="F180" s="88">
        <v>16.859078678351885</v>
      </c>
      <c r="G180" s="88">
        <v>9.4003847290880493</v>
      </c>
      <c r="H180" s="88">
        <v>21.519752208084096</v>
      </c>
      <c r="I180" s="86">
        <v>0.33518880532112921</v>
      </c>
      <c r="J180" s="86">
        <v>0.49330737884083115</v>
      </c>
      <c r="K180" s="92">
        <v>5.9741527598574189</v>
      </c>
      <c r="L180" s="86">
        <v>4.3662280343571584</v>
      </c>
      <c r="M180" s="88">
        <v>2.2796514883590335</v>
      </c>
      <c r="N180" s="86">
        <v>8.9385728247082348</v>
      </c>
      <c r="O180" s="86">
        <v>1.181018219999256</v>
      </c>
      <c r="P180" s="86">
        <v>1.2176324914647112</v>
      </c>
      <c r="Q180" s="92">
        <v>0.38259304447507098</v>
      </c>
    </row>
    <row r="181" spans="2:21" x14ac:dyDescent="0.3">
      <c r="B181" s="292"/>
      <c r="C181" s="9" t="s">
        <v>202</v>
      </c>
      <c r="D181" s="86">
        <v>10.621747522546359</v>
      </c>
      <c r="E181" s="86">
        <v>6.7041369392712227</v>
      </c>
      <c r="F181" s="88">
        <v>15.315274045137798</v>
      </c>
      <c r="G181" s="88">
        <v>11.09303223342601</v>
      </c>
      <c r="H181" s="88">
        <v>22.30821622550345</v>
      </c>
      <c r="I181" s="86">
        <v>0.37659274372789109</v>
      </c>
      <c r="J181" s="86">
        <v>1.2190674704573112</v>
      </c>
      <c r="K181" s="92">
        <v>4.80719078185688</v>
      </c>
      <c r="L181" s="86">
        <v>1.8671743655707265</v>
      </c>
      <c r="M181" s="88">
        <v>3.9986780152557349</v>
      </c>
      <c r="N181" s="86">
        <v>20.251710440349722</v>
      </c>
      <c r="O181" s="86">
        <v>1.0386066819371069</v>
      </c>
      <c r="P181" s="86">
        <v>0.39857253495981082</v>
      </c>
      <c r="Q181" s="92">
        <v>0</v>
      </c>
    </row>
    <row r="182" spans="2:21" x14ac:dyDescent="0.3">
      <c r="B182" s="295"/>
      <c r="C182" s="12" t="s">
        <v>203</v>
      </c>
      <c r="D182" s="90">
        <v>13.739132741921331</v>
      </c>
      <c r="E182" s="90">
        <v>6.4081708146715295</v>
      </c>
      <c r="F182" s="91">
        <v>11.947863761897057</v>
      </c>
      <c r="G182" s="91">
        <v>11.271170957649838</v>
      </c>
      <c r="H182" s="91">
        <v>24.072680668753833</v>
      </c>
      <c r="I182" s="90">
        <v>0.78185063248892417</v>
      </c>
      <c r="J182" s="90">
        <v>2.2247841163972053</v>
      </c>
      <c r="K182" s="94">
        <v>5.606990431081722</v>
      </c>
      <c r="L182" s="90">
        <v>3.0995192746866298</v>
      </c>
      <c r="M182" s="91">
        <v>2.1074174971967095</v>
      </c>
      <c r="N182" s="90">
        <v>15.155853233494627</v>
      </c>
      <c r="O182" s="90">
        <v>2.4720909713405765</v>
      </c>
      <c r="P182" s="90">
        <v>0.65698595632245671</v>
      </c>
      <c r="Q182" s="94">
        <v>0.45548894209748259</v>
      </c>
    </row>
    <row r="183" spans="2:21" x14ac:dyDescent="0.3">
      <c r="B183" s="291" t="s">
        <v>204</v>
      </c>
      <c r="C183" s="13" t="s">
        <v>192</v>
      </c>
      <c r="D183" s="84">
        <v>17.903108802958645</v>
      </c>
      <c r="E183" s="84">
        <v>14.793216893652389</v>
      </c>
      <c r="F183" s="89">
        <v>13.409121656298392</v>
      </c>
      <c r="G183" s="89">
        <v>10.165766922158838</v>
      </c>
      <c r="H183" s="89">
        <v>18.057919000138888</v>
      </c>
      <c r="I183" s="84">
        <v>1.8309147796222065</v>
      </c>
      <c r="J183" s="84">
        <v>1.6004716751701125</v>
      </c>
      <c r="K183" s="93">
        <v>5.0174284727817913</v>
      </c>
      <c r="L183" s="84">
        <v>2.7287474404031444</v>
      </c>
      <c r="M183" s="89">
        <v>2.9170568618578785</v>
      </c>
      <c r="N183" s="84">
        <v>10.184684557520988</v>
      </c>
      <c r="O183" s="84">
        <v>0.75912205221120133</v>
      </c>
      <c r="P183" s="84">
        <v>0.41705952953155878</v>
      </c>
      <c r="Q183" s="93">
        <v>0.21538135569382508</v>
      </c>
    </row>
    <row r="184" spans="2:21" x14ac:dyDescent="0.3">
      <c r="B184" s="295"/>
      <c r="C184" s="12" t="s">
        <v>193</v>
      </c>
      <c r="D184" s="90">
        <v>13.740740645805118</v>
      </c>
      <c r="E184" s="90">
        <v>7.0441417993002355</v>
      </c>
      <c r="F184" s="91">
        <v>13.875387419455617</v>
      </c>
      <c r="G184" s="91">
        <v>11.047815704639062</v>
      </c>
      <c r="H184" s="91">
        <v>22.390465781865412</v>
      </c>
      <c r="I184" s="90">
        <v>0.52602225691138815</v>
      </c>
      <c r="J184" s="90">
        <v>1.6733781226628268</v>
      </c>
      <c r="K184" s="94">
        <v>5.7246281203132039</v>
      </c>
      <c r="L184" s="90">
        <v>3.143735648430499</v>
      </c>
      <c r="M184" s="91">
        <v>2.7246722044746479</v>
      </c>
      <c r="N184" s="90">
        <v>14.945430850567609</v>
      </c>
      <c r="O184" s="90">
        <v>2.1800356049051022</v>
      </c>
      <c r="P184" s="90">
        <v>0.68008509360052516</v>
      </c>
      <c r="Q184" s="94">
        <v>0.30346074706862408</v>
      </c>
    </row>
    <row r="185" spans="2:21" ht="16.5" customHeight="1" x14ac:dyDescent="0.3">
      <c r="B185" s="291" t="s">
        <v>209</v>
      </c>
      <c r="C185" s="13" t="s">
        <v>205</v>
      </c>
      <c r="D185" s="84">
        <v>13.857714176557456</v>
      </c>
      <c r="E185" s="84">
        <v>6.6216418587931019</v>
      </c>
      <c r="F185" s="89">
        <v>15.513314454770658</v>
      </c>
      <c r="G185" s="89">
        <v>8.19010835649709</v>
      </c>
      <c r="H185" s="89">
        <v>15.992784186161963</v>
      </c>
      <c r="I185" s="84">
        <v>0.82705009094320403</v>
      </c>
      <c r="J185" s="84">
        <v>1.672928092721395</v>
      </c>
      <c r="K185" s="93">
        <v>7.2044183251363592</v>
      </c>
      <c r="L185" s="84">
        <v>6.2715299184584623</v>
      </c>
      <c r="M185" s="89">
        <v>3.1178714111005612</v>
      </c>
      <c r="N185" s="84">
        <v>17.551205902288931</v>
      </c>
      <c r="O185" s="84">
        <v>1.9652448746002176</v>
      </c>
      <c r="P185" s="84">
        <v>0.8318268611755808</v>
      </c>
      <c r="Q185" s="93">
        <v>0.38236149079506104</v>
      </c>
    </row>
    <row r="186" spans="2:21" x14ac:dyDescent="0.3">
      <c r="B186" s="292"/>
      <c r="C186" s="9" t="s">
        <v>206</v>
      </c>
      <c r="D186" s="86">
        <v>15.60729726155126</v>
      </c>
      <c r="E186" s="86">
        <v>10.732725993392307</v>
      </c>
      <c r="F186" s="88">
        <v>10.365981808902095</v>
      </c>
      <c r="G186" s="88">
        <v>15.606562178873279</v>
      </c>
      <c r="H186" s="88">
        <v>21.993709419769321</v>
      </c>
      <c r="I186" s="86">
        <v>1.1390474421850219</v>
      </c>
      <c r="J186" s="86">
        <v>1.6685868725327124</v>
      </c>
      <c r="K186" s="92">
        <v>2.7395108839223443</v>
      </c>
      <c r="L186" s="86">
        <v>3.1275204754306714</v>
      </c>
      <c r="M186" s="88">
        <v>1.5943956337560616</v>
      </c>
      <c r="N186" s="86">
        <v>13.070617908142751</v>
      </c>
      <c r="O186" s="86">
        <v>2.0512003539335191</v>
      </c>
      <c r="P186" s="86">
        <v>0</v>
      </c>
      <c r="Q186" s="92">
        <v>0.30284376760878173</v>
      </c>
    </row>
    <row r="187" spans="2:21" x14ac:dyDescent="0.3">
      <c r="B187" s="292"/>
      <c r="C187" s="9" t="s">
        <v>207</v>
      </c>
      <c r="D187" s="86">
        <v>17.027007007821755</v>
      </c>
      <c r="E187" s="86">
        <v>12.204061774191713</v>
      </c>
      <c r="F187" s="88">
        <v>12.41581985683289</v>
      </c>
      <c r="G187" s="88">
        <v>8.7256204274339275</v>
      </c>
      <c r="H187" s="88">
        <v>21.023036009485867</v>
      </c>
      <c r="I187" s="86">
        <v>1.4343630499198723</v>
      </c>
      <c r="J187" s="86">
        <v>1.8896622794836064</v>
      </c>
      <c r="K187" s="92">
        <v>4.6799402262493945</v>
      </c>
      <c r="L187" s="86">
        <v>2.7149523902155703</v>
      </c>
      <c r="M187" s="88">
        <v>3.4944395725611157</v>
      </c>
      <c r="N187" s="86">
        <v>12.244449616706163</v>
      </c>
      <c r="O187" s="86">
        <v>1.2981290887364014</v>
      </c>
      <c r="P187" s="86">
        <v>0.53987876760084075</v>
      </c>
      <c r="Q187" s="92">
        <v>0.30863993276087742</v>
      </c>
    </row>
    <row r="188" spans="2:21" x14ac:dyDescent="0.3">
      <c r="B188" s="293"/>
      <c r="C188" s="25" t="s">
        <v>208</v>
      </c>
      <c r="D188" s="87">
        <v>16.239676795862344</v>
      </c>
      <c r="E188" s="87">
        <v>12.716830360545719</v>
      </c>
      <c r="F188" s="95">
        <v>15.898604980778153</v>
      </c>
      <c r="G188" s="95">
        <v>10.213220096614736</v>
      </c>
      <c r="H188" s="95">
        <v>19.587767069606503</v>
      </c>
      <c r="I188" s="87">
        <v>1.29451154970182</v>
      </c>
      <c r="J188" s="87">
        <v>1.360088316430601</v>
      </c>
      <c r="K188" s="96">
        <v>6.7286054756944296</v>
      </c>
      <c r="L188" s="87">
        <v>1.5750772151009826</v>
      </c>
      <c r="M188" s="95">
        <v>2.8423125521021433</v>
      </c>
      <c r="N188" s="87">
        <v>9.8136987462930936</v>
      </c>
      <c r="O188" s="87">
        <v>0.87295409441405114</v>
      </c>
      <c r="P188" s="87">
        <v>0.73222356301003866</v>
      </c>
      <c r="Q188" s="96">
        <v>0.12442918384555827</v>
      </c>
    </row>
    <row r="189" spans="2:21" x14ac:dyDescent="0.3">
      <c r="B189" s="136"/>
    </row>
    <row r="190" spans="2:21" x14ac:dyDescent="0.3">
      <c r="B190" s="60"/>
      <c r="C190" s="9"/>
      <c r="D190" s="58"/>
      <c r="E190" s="58"/>
      <c r="F190" s="50"/>
      <c r="G190" s="58"/>
      <c r="H190" s="50"/>
      <c r="I190" s="58"/>
      <c r="J190" s="58"/>
      <c r="K190" s="58"/>
      <c r="L190" s="50"/>
      <c r="M190" s="58"/>
      <c r="N190" s="58"/>
    </row>
    <row r="191" spans="2:21" ht="17.25" customHeight="1" x14ac:dyDescent="0.3">
      <c r="B191" s="1" t="s">
        <v>488</v>
      </c>
      <c r="D191" s="59"/>
      <c r="E191" s="59"/>
      <c r="F191" s="304"/>
      <c r="G191" s="304"/>
      <c r="H191" s="304"/>
      <c r="I191" s="304"/>
      <c r="J191" s="304"/>
      <c r="K191" s="304"/>
      <c r="L191" s="304"/>
      <c r="M191" s="304"/>
      <c r="N191" s="304"/>
      <c r="O191" s="304"/>
      <c r="P191" s="304"/>
      <c r="Q191" s="304"/>
      <c r="R191" s="304"/>
      <c r="S191" s="304"/>
      <c r="T191" s="304"/>
      <c r="U191" s="304"/>
    </row>
    <row r="192" spans="2:21" ht="10.5" customHeight="1" x14ac:dyDescent="0.3"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30"/>
      <c r="P192" s="30"/>
      <c r="Q192" s="30" t="s">
        <v>157</v>
      </c>
    </row>
    <row r="193" spans="2:17" s="22" customFormat="1" ht="20.25" customHeight="1" x14ac:dyDescent="0.3">
      <c r="B193" s="307"/>
      <c r="C193" s="307"/>
      <c r="D193" s="300" t="s">
        <v>120</v>
      </c>
      <c r="E193" s="300"/>
      <c r="F193" s="300"/>
      <c r="G193" s="300"/>
      <c r="H193" s="300"/>
      <c r="I193" s="300"/>
      <c r="J193" s="301"/>
      <c r="K193" s="299" t="s">
        <v>125</v>
      </c>
      <c r="L193" s="300"/>
      <c r="M193" s="300"/>
      <c r="N193" s="300"/>
      <c r="O193" s="300"/>
      <c r="P193" s="301"/>
      <c r="Q193" s="212" t="s">
        <v>38</v>
      </c>
    </row>
    <row r="194" spans="2:17" s="22" customFormat="1" ht="27" x14ac:dyDescent="0.3">
      <c r="B194" s="300"/>
      <c r="C194" s="300"/>
      <c r="D194" s="202" t="s">
        <v>39</v>
      </c>
      <c r="E194" s="202" t="s">
        <v>40</v>
      </c>
      <c r="F194" s="202" t="s">
        <v>116</v>
      </c>
      <c r="G194" s="202" t="s">
        <v>117</v>
      </c>
      <c r="H194" s="202" t="s">
        <v>115</v>
      </c>
      <c r="I194" s="202" t="s">
        <v>119</v>
      </c>
      <c r="J194" s="202" t="s">
        <v>300</v>
      </c>
      <c r="K194" s="214" t="s">
        <v>298</v>
      </c>
      <c r="L194" s="202" t="s">
        <v>299</v>
      </c>
      <c r="M194" s="202" t="s">
        <v>121</v>
      </c>
      <c r="N194" s="202" t="s">
        <v>118</v>
      </c>
      <c r="O194" s="202" t="s">
        <v>122</v>
      </c>
      <c r="P194" s="202" t="s">
        <v>124</v>
      </c>
      <c r="Q194" s="214" t="s">
        <v>38</v>
      </c>
    </row>
    <row r="195" spans="2:17" ht="21.75" customHeight="1" x14ac:dyDescent="0.3">
      <c r="B195" s="292" t="s">
        <v>20</v>
      </c>
      <c r="C195" s="292"/>
      <c r="D195" s="86">
        <v>29.837733619802247</v>
      </c>
      <c r="E195" s="86">
        <v>28.651989345335004</v>
      </c>
      <c r="F195" s="88">
        <v>33.457300227042381</v>
      </c>
      <c r="G195" s="88">
        <v>30.178662211998176</v>
      </c>
      <c r="H195" s="88">
        <v>52.205468805724962</v>
      </c>
      <c r="I195" s="86">
        <v>6.0989944984551938</v>
      </c>
      <c r="J195" s="86">
        <v>11.647488867060137</v>
      </c>
      <c r="K195" s="92">
        <v>23.266064774966107</v>
      </c>
      <c r="L195" s="86">
        <v>15.075899541244569</v>
      </c>
      <c r="M195" s="88">
        <v>19.696298705593264</v>
      </c>
      <c r="N195" s="86">
        <v>36.924169673983499</v>
      </c>
      <c r="O195" s="86">
        <v>9.7019592879206318</v>
      </c>
      <c r="P195" s="86">
        <v>2.7420603794830662</v>
      </c>
      <c r="Q195" s="92">
        <v>0.5159100613906118</v>
      </c>
    </row>
    <row r="196" spans="2:17" x14ac:dyDescent="0.3">
      <c r="B196" s="296" t="s">
        <v>5</v>
      </c>
      <c r="C196" s="13" t="s">
        <v>0</v>
      </c>
      <c r="D196" s="84">
        <v>29.653252569525119</v>
      </c>
      <c r="E196" s="84">
        <v>29.105828683218022</v>
      </c>
      <c r="F196" s="89">
        <v>31.842480613961072</v>
      </c>
      <c r="G196" s="89">
        <v>32.322081848555669</v>
      </c>
      <c r="H196" s="89">
        <v>51.825389631751818</v>
      </c>
      <c r="I196" s="84">
        <v>5.7150872718241805</v>
      </c>
      <c r="J196" s="84">
        <v>11.384054688391018</v>
      </c>
      <c r="K196" s="93">
        <v>20.73962222035868</v>
      </c>
      <c r="L196" s="84">
        <v>13.649236634248766</v>
      </c>
      <c r="M196" s="89">
        <v>20.44624729775688</v>
      </c>
      <c r="N196" s="84">
        <v>40.806523441175926</v>
      </c>
      <c r="O196" s="84">
        <v>9.0535398120013308</v>
      </c>
      <c r="P196" s="84">
        <v>2.8851503186894649</v>
      </c>
      <c r="Q196" s="93">
        <v>0.57150496854153932</v>
      </c>
    </row>
    <row r="197" spans="2:17" x14ac:dyDescent="0.3">
      <c r="B197" s="295"/>
      <c r="C197" s="12" t="s">
        <v>1</v>
      </c>
      <c r="D197" s="90">
        <v>30.151209854690396</v>
      </c>
      <c r="E197" s="90">
        <v>27.880810697609597</v>
      </c>
      <c r="F197" s="91">
        <v>36.201254533307079</v>
      </c>
      <c r="G197" s="91">
        <v>26.536493455673927</v>
      </c>
      <c r="H197" s="91">
        <v>52.8513117702865</v>
      </c>
      <c r="I197" s="90">
        <v>6.7513422153064857</v>
      </c>
      <c r="J197" s="90">
        <v>12.095124840218215</v>
      </c>
      <c r="K197" s="94">
        <v>27.559078602075388</v>
      </c>
      <c r="L197" s="90">
        <v>17.500131818043169</v>
      </c>
      <c r="M197" s="91">
        <v>18.421961527449866</v>
      </c>
      <c r="N197" s="90">
        <v>30.327147163460971</v>
      </c>
      <c r="O197" s="90">
        <v>10.803774870789105</v>
      </c>
      <c r="P197" s="90">
        <v>2.4989172744031425</v>
      </c>
      <c r="Q197" s="94">
        <v>0.42144137668589327</v>
      </c>
    </row>
    <row r="198" spans="2:17" x14ac:dyDescent="0.3">
      <c r="B198" s="296" t="s">
        <v>4</v>
      </c>
      <c r="C198" s="9" t="s">
        <v>175</v>
      </c>
      <c r="D198" s="86">
        <v>42.412679757839342</v>
      </c>
      <c r="E198" s="86">
        <v>31.587629382681754</v>
      </c>
      <c r="F198" s="88">
        <v>26.514430799247869</v>
      </c>
      <c r="G198" s="88">
        <v>25.391442560135104</v>
      </c>
      <c r="H198" s="88">
        <v>36.199814106409896</v>
      </c>
      <c r="I198" s="86">
        <v>6.4243834961281516</v>
      </c>
      <c r="J198" s="86">
        <v>8.0628434087004557</v>
      </c>
      <c r="K198" s="92">
        <v>54.312668748264038</v>
      </c>
      <c r="L198" s="86">
        <v>21.664831128713235</v>
      </c>
      <c r="M198" s="88">
        <v>8.1920490440975726</v>
      </c>
      <c r="N198" s="86">
        <v>23.245126362919986</v>
      </c>
      <c r="O198" s="86">
        <v>7.0987135335421057</v>
      </c>
      <c r="P198" s="86">
        <v>8.89338767132055</v>
      </c>
      <c r="Q198" s="92">
        <v>0</v>
      </c>
    </row>
    <row r="199" spans="2:17" x14ac:dyDescent="0.3">
      <c r="B199" s="292"/>
      <c r="C199" s="9" t="s">
        <v>176</v>
      </c>
      <c r="D199" s="86">
        <v>37.96879021360192</v>
      </c>
      <c r="E199" s="86">
        <v>43.171562019004227</v>
      </c>
      <c r="F199" s="88">
        <v>45.587110120308758</v>
      </c>
      <c r="G199" s="88">
        <v>25.565917643453268</v>
      </c>
      <c r="H199" s="88">
        <v>47.160723485579418</v>
      </c>
      <c r="I199" s="86">
        <v>10.589267994944374</v>
      </c>
      <c r="J199" s="86">
        <v>9.267821718394929</v>
      </c>
      <c r="K199" s="92">
        <v>25.780106082422265</v>
      </c>
      <c r="L199" s="86">
        <v>18.629723910719566</v>
      </c>
      <c r="M199" s="88">
        <v>10.237226102695725</v>
      </c>
      <c r="N199" s="86">
        <v>18.893312351962336</v>
      </c>
      <c r="O199" s="86">
        <v>2.143713700098401</v>
      </c>
      <c r="P199" s="86">
        <v>4.2768109225117605</v>
      </c>
      <c r="Q199" s="92">
        <v>0.72791373430294426</v>
      </c>
    </row>
    <row r="200" spans="2:17" x14ac:dyDescent="0.3">
      <c r="B200" s="292"/>
      <c r="C200" s="9" t="s">
        <v>177</v>
      </c>
      <c r="D200" s="86">
        <v>31.379863770488459</v>
      </c>
      <c r="E200" s="86">
        <v>34.576127516466201</v>
      </c>
      <c r="F200" s="88">
        <v>37.542087874941203</v>
      </c>
      <c r="G200" s="88">
        <v>20.460668719082626</v>
      </c>
      <c r="H200" s="88">
        <v>47.117493095902255</v>
      </c>
      <c r="I200" s="86">
        <v>9.288287990042809</v>
      </c>
      <c r="J200" s="86">
        <v>10.972313436288882</v>
      </c>
      <c r="K200" s="92">
        <v>32.417913929742873</v>
      </c>
      <c r="L200" s="86">
        <v>15.242168012163807</v>
      </c>
      <c r="M200" s="88">
        <v>20.050221585324739</v>
      </c>
      <c r="N200" s="86">
        <v>34.847320660793486</v>
      </c>
      <c r="O200" s="86">
        <v>3.2636084764617239</v>
      </c>
      <c r="P200" s="86">
        <v>2.4568672521916692</v>
      </c>
      <c r="Q200" s="92">
        <v>0.38505768010902741</v>
      </c>
    </row>
    <row r="201" spans="2:17" x14ac:dyDescent="0.3">
      <c r="B201" s="292"/>
      <c r="C201" s="9" t="s">
        <v>178</v>
      </c>
      <c r="D201" s="86">
        <v>28.881216699870642</v>
      </c>
      <c r="E201" s="86">
        <v>27.313678723129598</v>
      </c>
      <c r="F201" s="88">
        <v>34.62841160913797</v>
      </c>
      <c r="G201" s="88">
        <v>27.712320537067285</v>
      </c>
      <c r="H201" s="88">
        <v>50.874668688262602</v>
      </c>
      <c r="I201" s="86">
        <v>5.9276027298310563</v>
      </c>
      <c r="J201" s="86">
        <v>12.959134894268074</v>
      </c>
      <c r="K201" s="92">
        <v>21.439813593010236</v>
      </c>
      <c r="L201" s="86">
        <v>18.459334288408908</v>
      </c>
      <c r="M201" s="88">
        <v>21.794611354208779</v>
      </c>
      <c r="N201" s="86">
        <v>39.989295077449668</v>
      </c>
      <c r="O201" s="86">
        <v>8.2742449786398424</v>
      </c>
      <c r="P201" s="86">
        <v>1.4646077663702313</v>
      </c>
      <c r="Q201" s="92">
        <v>0.28105906034540795</v>
      </c>
    </row>
    <row r="202" spans="2:17" x14ac:dyDescent="0.3">
      <c r="B202" s="292"/>
      <c r="C202" s="9" t="s">
        <v>179</v>
      </c>
      <c r="D202" s="86">
        <v>27.823420642777187</v>
      </c>
      <c r="E202" s="86">
        <v>23.512142207893675</v>
      </c>
      <c r="F202" s="88">
        <v>31.313927586677089</v>
      </c>
      <c r="G202" s="88">
        <v>31.918612809421727</v>
      </c>
      <c r="H202" s="88">
        <v>55.78930614071804</v>
      </c>
      <c r="I202" s="86">
        <v>4.5208382230746222</v>
      </c>
      <c r="J202" s="86">
        <v>10.774271782834292</v>
      </c>
      <c r="K202" s="92">
        <v>21.88224052053075</v>
      </c>
      <c r="L202" s="86">
        <v>10.686928818950541</v>
      </c>
      <c r="M202" s="88">
        <v>22.407588863135615</v>
      </c>
      <c r="N202" s="86">
        <v>44.492584640809071</v>
      </c>
      <c r="O202" s="86">
        <v>11.171921136384301</v>
      </c>
      <c r="P202" s="86">
        <v>2.7546703464957951</v>
      </c>
      <c r="Q202" s="92">
        <v>0.95154628029726351</v>
      </c>
    </row>
    <row r="203" spans="2:17" x14ac:dyDescent="0.3">
      <c r="B203" s="298"/>
      <c r="C203" s="12" t="s">
        <v>180</v>
      </c>
      <c r="D203" s="90">
        <v>26.292596797566762</v>
      </c>
      <c r="E203" s="90">
        <v>24.244649859709885</v>
      </c>
      <c r="F203" s="91">
        <v>27.279745997604397</v>
      </c>
      <c r="G203" s="91">
        <v>38.766354307306969</v>
      </c>
      <c r="H203" s="91">
        <v>56.844530339256195</v>
      </c>
      <c r="I203" s="90">
        <v>3.8211900680009063</v>
      </c>
      <c r="J203" s="90">
        <v>13.528504249173364</v>
      </c>
      <c r="K203" s="94">
        <v>15.913431166283365</v>
      </c>
      <c r="L203" s="90">
        <v>14.355099776670111</v>
      </c>
      <c r="M203" s="91">
        <v>21.016902622947999</v>
      </c>
      <c r="N203" s="90">
        <v>38.202099700340341</v>
      </c>
      <c r="O203" s="90">
        <v>17.053828213345415</v>
      </c>
      <c r="P203" s="90">
        <v>2.4071781264158512</v>
      </c>
      <c r="Q203" s="94">
        <v>0.27388877537792139</v>
      </c>
    </row>
    <row r="204" spans="2:17" x14ac:dyDescent="0.3">
      <c r="B204" s="292" t="s">
        <v>223</v>
      </c>
      <c r="C204" s="9" t="s">
        <v>210</v>
      </c>
      <c r="D204" s="86">
        <v>39.786923266815002</v>
      </c>
      <c r="E204" s="86">
        <v>30.920453273775355</v>
      </c>
      <c r="F204" s="88">
        <v>34.941264649124548</v>
      </c>
      <c r="G204" s="88">
        <v>35.41414354058913</v>
      </c>
      <c r="H204" s="88">
        <v>27.779035734626145</v>
      </c>
      <c r="I204" s="86">
        <v>11.264028112229958</v>
      </c>
      <c r="J204" s="86">
        <v>7.5993544403220534</v>
      </c>
      <c r="K204" s="92">
        <v>39.757713006102676</v>
      </c>
      <c r="L204" s="86">
        <v>17.319751847950808</v>
      </c>
      <c r="M204" s="88">
        <v>11.197030957528781</v>
      </c>
      <c r="N204" s="86">
        <v>25.819612416872957</v>
      </c>
      <c r="O204" s="86">
        <v>8.7831403503681766</v>
      </c>
      <c r="P204" s="86">
        <v>9.4175484036944042</v>
      </c>
      <c r="Q204" s="92">
        <v>0</v>
      </c>
    </row>
    <row r="205" spans="2:17" x14ac:dyDescent="0.3">
      <c r="B205" s="292"/>
      <c r="C205" s="9" t="s">
        <v>211</v>
      </c>
      <c r="D205" s="86">
        <v>40.621857798531664</v>
      </c>
      <c r="E205" s="86">
        <v>48.836068415727617</v>
      </c>
      <c r="F205" s="88">
        <v>47.580146908406086</v>
      </c>
      <c r="G205" s="88">
        <v>28.090097080364007</v>
      </c>
      <c r="H205" s="88">
        <v>43.669887054094772</v>
      </c>
      <c r="I205" s="86">
        <v>9.8617004938030597</v>
      </c>
      <c r="J205" s="86">
        <v>7.7144487141069158</v>
      </c>
      <c r="K205" s="92">
        <v>17.939665370590522</v>
      </c>
      <c r="L205" s="86">
        <v>16.549700224630683</v>
      </c>
      <c r="M205" s="88">
        <v>11.589757306616947</v>
      </c>
      <c r="N205" s="86">
        <v>18.148064230668869</v>
      </c>
      <c r="O205" s="86">
        <v>3.0458407188182517</v>
      </c>
      <c r="P205" s="86">
        <v>5.746183239168162</v>
      </c>
      <c r="Q205" s="92">
        <v>0.60658244447226406</v>
      </c>
    </row>
    <row r="206" spans="2:17" x14ac:dyDescent="0.3">
      <c r="B206" s="292"/>
      <c r="C206" s="9" t="s">
        <v>212</v>
      </c>
      <c r="D206" s="86">
        <v>30.420681867685424</v>
      </c>
      <c r="E206" s="86">
        <v>32.128865464135146</v>
      </c>
      <c r="F206" s="88">
        <v>37.111887297773904</v>
      </c>
      <c r="G206" s="88">
        <v>21.226117106293284</v>
      </c>
      <c r="H206" s="88">
        <v>50.065744645225031</v>
      </c>
      <c r="I206" s="86">
        <v>9.9928403546195241</v>
      </c>
      <c r="J206" s="86">
        <v>13.186752940381355</v>
      </c>
      <c r="K206" s="92">
        <v>31.274517680164326</v>
      </c>
      <c r="L206" s="86">
        <v>12.515975783523489</v>
      </c>
      <c r="M206" s="88">
        <v>18.570264907476879</v>
      </c>
      <c r="N206" s="86">
        <v>37.037571439275325</v>
      </c>
      <c r="O206" s="86">
        <v>2.5378206520306761</v>
      </c>
      <c r="P206" s="86">
        <v>3.3451949393204532</v>
      </c>
      <c r="Q206" s="92">
        <v>0.58576492209523823</v>
      </c>
    </row>
    <row r="207" spans="2:17" x14ac:dyDescent="0.3">
      <c r="B207" s="292"/>
      <c r="C207" s="9" t="s">
        <v>213</v>
      </c>
      <c r="D207" s="86">
        <v>30.378149412900683</v>
      </c>
      <c r="E207" s="86">
        <v>28.872005801295629</v>
      </c>
      <c r="F207" s="88">
        <v>31.609191666122555</v>
      </c>
      <c r="G207" s="88">
        <v>29.867917317691649</v>
      </c>
      <c r="H207" s="88">
        <v>47.14706444073348</v>
      </c>
      <c r="I207" s="86">
        <v>5.0290768727680808</v>
      </c>
      <c r="J207" s="86">
        <v>12.358818248159878</v>
      </c>
      <c r="K207" s="92">
        <v>18.615831182090485</v>
      </c>
      <c r="L207" s="86">
        <v>16.49356788574875</v>
      </c>
      <c r="M207" s="88">
        <v>24.178246163640093</v>
      </c>
      <c r="N207" s="86">
        <v>46.136231701964455</v>
      </c>
      <c r="O207" s="86">
        <v>8.5164148218012592</v>
      </c>
      <c r="P207" s="86">
        <v>0.79748448508302661</v>
      </c>
      <c r="Q207" s="92">
        <v>0</v>
      </c>
    </row>
    <row r="208" spans="2:17" x14ac:dyDescent="0.3">
      <c r="B208" s="292"/>
      <c r="C208" s="9" t="s">
        <v>214</v>
      </c>
      <c r="D208" s="86">
        <v>27.666180063040773</v>
      </c>
      <c r="E208" s="86">
        <v>22.86921694295788</v>
      </c>
      <c r="F208" s="88">
        <v>29.513624714714819</v>
      </c>
      <c r="G208" s="88">
        <v>34.546529787587524</v>
      </c>
      <c r="H208" s="88">
        <v>57.178677372646156</v>
      </c>
      <c r="I208" s="86">
        <v>3.5550566447601502</v>
      </c>
      <c r="J208" s="86">
        <v>10.764109625786341</v>
      </c>
      <c r="K208" s="92">
        <v>21.702716764198744</v>
      </c>
      <c r="L208" s="86">
        <v>10.63725951774212</v>
      </c>
      <c r="M208" s="88">
        <v>21.047140500264437</v>
      </c>
      <c r="N208" s="86">
        <v>46.81990720636712</v>
      </c>
      <c r="O208" s="86">
        <v>10.380466812566793</v>
      </c>
      <c r="P208" s="86">
        <v>2.196639683577446</v>
      </c>
      <c r="Q208" s="92">
        <v>1.1224743637899046</v>
      </c>
    </row>
    <row r="209" spans="2:17" x14ac:dyDescent="0.3">
      <c r="B209" s="292"/>
      <c r="C209" s="12" t="s">
        <v>215</v>
      </c>
      <c r="D209" s="90">
        <v>24.4952385111336</v>
      </c>
      <c r="E209" s="90">
        <v>25.08000666460865</v>
      </c>
      <c r="F209" s="91">
        <v>23.634529345279844</v>
      </c>
      <c r="G209" s="91">
        <v>40.328921613845814</v>
      </c>
      <c r="H209" s="91">
        <v>57.261619303242227</v>
      </c>
      <c r="I209" s="90">
        <v>3.5377157823605834</v>
      </c>
      <c r="J209" s="90">
        <v>12.351428492364715</v>
      </c>
      <c r="K209" s="94">
        <v>14.015250198331541</v>
      </c>
      <c r="L209" s="90">
        <v>13.666023226569497</v>
      </c>
      <c r="M209" s="91">
        <v>23.060524704670208</v>
      </c>
      <c r="N209" s="90">
        <v>44.191701991810248</v>
      </c>
      <c r="O209" s="90">
        <v>14.889494067987025</v>
      </c>
      <c r="P209" s="90">
        <v>3.0371580972943368</v>
      </c>
      <c r="Q209" s="94">
        <v>0.45038800050164118</v>
      </c>
    </row>
    <row r="210" spans="2:17" x14ac:dyDescent="0.3">
      <c r="B210" s="292"/>
      <c r="C210" s="9" t="s">
        <v>216</v>
      </c>
      <c r="D210" s="86">
        <v>45.898238720095435</v>
      </c>
      <c r="E210" s="86">
        <v>32.473271929411069</v>
      </c>
      <c r="F210" s="88">
        <v>15.328234992712018</v>
      </c>
      <c r="G210" s="88">
        <v>12.086813837764087</v>
      </c>
      <c r="H210" s="88">
        <v>47.377971571991509</v>
      </c>
      <c r="I210" s="86">
        <v>0</v>
      </c>
      <c r="J210" s="86">
        <v>8.6781015764553526</v>
      </c>
      <c r="K210" s="92">
        <v>73.633636479182655</v>
      </c>
      <c r="L210" s="86">
        <v>27.432704151419347</v>
      </c>
      <c r="M210" s="88">
        <v>4.2030875103143757</v>
      </c>
      <c r="N210" s="86">
        <v>19.827626313226336</v>
      </c>
      <c r="O210" s="86">
        <v>4.8627221125089202</v>
      </c>
      <c r="P210" s="86">
        <v>8.1975908049189439</v>
      </c>
      <c r="Q210" s="92">
        <v>0</v>
      </c>
    </row>
    <row r="211" spans="2:17" x14ac:dyDescent="0.3">
      <c r="B211" s="292"/>
      <c r="C211" s="9" t="s">
        <v>217</v>
      </c>
      <c r="D211" s="86">
        <v>34.270907114473047</v>
      </c>
      <c r="E211" s="86">
        <v>35.276292939416926</v>
      </c>
      <c r="F211" s="88">
        <v>42.809187274878333</v>
      </c>
      <c r="G211" s="88">
        <v>22.047680666777016</v>
      </c>
      <c r="H211" s="88">
        <v>52.026300644313061</v>
      </c>
      <c r="I211" s="86">
        <v>11.603361861692662</v>
      </c>
      <c r="J211" s="86">
        <v>11.432934967612027</v>
      </c>
      <c r="K211" s="92">
        <v>36.708223165716547</v>
      </c>
      <c r="L211" s="86">
        <v>21.528890324069582</v>
      </c>
      <c r="M211" s="88">
        <v>8.3520489935881717</v>
      </c>
      <c r="N211" s="86">
        <v>19.932049716981894</v>
      </c>
      <c r="O211" s="86">
        <v>0.88631631047251869</v>
      </c>
      <c r="P211" s="86">
        <v>2.2287790190065513</v>
      </c>
      <c r="Q211" s="92">
        <v>0.89702700100182786</v>
      </c>
    </row>
    <row r="212" spans="2:17" x14ac:dyDescent="0.3">
      <c r="B212" s="292"/>
      <c r="C212" s="9" t="s">
        <v>218</v>
      </c>
      <c r="D212" s="86">
        <v>33.220058247981683</v>
      </c>
      <c r="E212" s="86">
        <v>39.271209961743466</v>
      </c>
      <c r="F212" s="88">
        <v>38.36742947490702</v>
      </c>
      <c r="G212" s="88">
        <v>18.992152798552116</v>
      </c>
      <c r="H212" s="88">
        <v>41.461260212994929</v>
      </c>
      <c r="I212" s="86">
        <v>7.9366013426926729</v>
      </c>
      <c r="J212" s="86">
        <v>6.7239020199922548</v>
      </c>
      <c r="K212" s="92">
        <v>34.611524399156544</v>
      </c>
      <c r="L212" s="86">
        <v>20.472379163008249</v>
      </c>
      <c r="M212" s="88">
        <v>22.88952463883949</v>
      </c>
      <c r="N212" s="86">
        <v>30.645315415376746</v>
      </c>
      <c r="O212" s="86">
        <v>4.6560354420318095</v>
      </c>
      <c r="P212" s="86">
        <v>0.75260688272315157</v>
      </c>
      <c r="Q212" s="92">
        <v>0</v>
      </c>
    </row>
    <row r="213" spans="2:17" x14ac:dyDescent="0.3">
      <c r="B213" s="292"/>
      <c r="C213" s="9" t="s">
        <v>219</v>
      </c>
      <c r="D213" s="86">
        <v>26.323409606594794</v>
      </c>
      <c r="E213" s="86">
        <v>24.650967153343153</v>
      </c>
      <c r="F213" s="88">
        <v>39.787349027756264</v>
      </c>
      <c r="G213" s="88">
        <v>24.029054958240405</v>
      </c>
      <c r="H213" s="88">
        <v>57.244021500357555</v>
      </c>
      <c r="I213" s="86">
        <v>7.4629127612587709</v>
      </c>
      <c r="J213" s="86">
        <v>13.984895212191065</v>
      </c>
      <c r="K213" s="92">
        <v>26.265148879668164</v>
      </c>
      <c r="L213" s="86">
        <v>21.818236932916971</v>
      </c>
      <c r="M213" s="88">
        <v>17.721697474865845</v>
      </c>
      <c r="N213" s="86">
        <v>29.48603199605482</v>
      </c>
      <c r="O213" s="86">
        <v>7.8604496642452668</v>
      </c>
      <c r="P213" s="86">
        <v>2.6045204999972675</v>
      </c>
      <c r="Q213" s="92">
        <v>0.76130433250980734</v>
      </c>
    </row>
    <row r="214" spans="2:17" x14ac:dyDescent="0.3">
      <c r="B214" s="292"/>
      <c r="C214" s="9" t="s">
        <v>220</v>
      </c>
      <c r="D214" s="86">
        <v>28.132038374653362</v>
      </c>
      <c r="E214" s="86">
        <v>24.774018355659997</v>
      </c>
      <c r="F214" s="88">
        <v>34.847400879426118</v>
      </c>
      <c r="G214" s="88">
        <v>26.760772646788816</v>
      </c>
      <c r="H214" s="88">
        <v>53.062372679582872</v>
      </c>
      <c r="I214" s="86">
        <v>6.4163878368368703</v>
      </c>
      <c r="J214" s="86">
        <v>10.794217154851927</v>
      </c>
      <c r="K214" s="92">
        <v>22.23459367637609</v>
      </c>
      <c r="L214" s="86">
        <v>10.784415276381006</v>
      </c>
      <c r="M214" s="88">
        <v>25.077755106402201</v>
      </c>
      <c r="N214" s="86">
        <v>39.92472427848687</v>
      </c>
      <c r="O214" s="86">
        <v>12.725316822851063</v>
      </c>
      <c r="P214" s="86">
        <v>3.8499229701878419</v>
      </c>
      <c r="Q214" s="92">
        <v>0.61606394151517574</v>
      </c>
    </row>
    <row r="215" spans="2:17" x14ac:dyDescent="0.3">
      <c r="B215" s="295"/>
      <c r="C215" s="9" t="s">
        <v>221</v>
      </c>
      <c r="D215" s="86">
        <v>29.081709665577932</v>
      </c>
      <c r="E215" s="86">
        <v>22.948356053677895</v>
      </c>
      <c r="F215" s="88">
        <v>32.93633697806095</v>
      </c>
      <c r="G215" s="88">
        <v>36.341586460686287</v>
      </c>
      <c r="H215" s="88">
        <v>56.197298117756759</v>
      </c>
      <c r="I215" s="86">
        <v>4.2610810923991087</v>
      </c>
      <c r="J215" s="86">
        <v>15.355072254406195</v>
      </c>
      <c r="K215" s="92">
        <v>18.858999116474582</v>
      </c>
      <c r="L215" s="86">
        <v>15.42439813940465</v>
      </c>
      <c r="M215" s="88">
        <v>17.845641395564055</v>
      </c>
      <c r="N215" s="86">
        <v>28.907527242803827</v>
      </c>
      <c r="O215" s="86">
        <v>20.412408559323257</v>
      </c>
      <c r="P215" s="86">
        <v>1.4295849238645175</v>
      </c>
      <c r="Q215" s="92">
        <v>0</v>
      </c>
    </row>
    <row r="216" spans="2:17" ht="16.5" customHeight="1" x14ac:dyDescent="0.3">
      <c r="B216" s="291" t="s">
        <v>222</v>
      </c>
      <c r="C216" s="13" t="s">
        <v>226</v>
      </c>
      <c r="D216" s="84">
        <v>24.582564814889988</v>
      </c>
      <c r="E216" s="84">
        <v>27.548646180541205</v>
      </c>
      <c r="F216" s="89">
        <v>32.993647125905241</v>
      </c>
      <c r="G216" s="89">
        <v>32.15548217901528</v>
      </c>
      <c r="H216" s="89">
        <v>39.118796652382933</v>
      </c>
      <c r="I216" s="84">
        <v>7.8462237295313413</v>
      </c>
      <c r="J216" s="84">
        <v>17.376478861140548</v>
      </c>
      <c r="K216" s="93">
        <v>22.404423194707864</v>
      </c>
      <c r="L216" s="84">
        <v>18.701965198294829</v>
      </c>
      <c r="M216" s="89">
        <v>20.164194451031825</v>
      </c>
      <c r="N216" s="84">
        <v>38.126699709043962</v>
      </c>
      <c r="O216" s="84">
        <v>14.274037909601924</v>
      </c>
      <c r="P216" s="84">
        <v>4.0573124841706196</v>
      </c>
      <c r="Q216" s="93">
        <v>0.6495275097424672</v>
      </c>
    </row>
    <row r="217" spans="2:17" ht="16.5" customHeight="1" x14ac:dyDescent="0.3">
      <c r="B217" s="294"/>
      <c r="C217" s="9" t="s">
        <v>227</v>
      </c>
      <c r="D217" s="86">
        <v>25.879171526323752</v>
      </c>
      <c r="E217" s="86">
        <v>26.005491530730907</v>
      </c>
      <c r="F217" s="88">
        <v>34.752120336787449</v>
      </c>
      <c r="G217" s="88">
        <v>33.249801016718813</v>
      </c>
      <c r="H217" s="88">
        <v>53.530194671214545</v>
      </c>
      <c r="I217" s="86">
        <v>6.2753563387782663</v>
      </c>
      <c r="J217" s="86">
        <v>13.476793186525542</v>
      </c>
      <c r="K217" s="92">
        <v>22.371945138307129</v>
      </c>
      <c r="L217" s="86">
        <v>13.238217987121534</v>
      </c>
      <c r="M217" s="88">
        <v>19.241877496780997</v>
      </c>
      <c r="N217" s="86">
        <v>38.258665365144076</v>
      </c>
      <c r="O217" s="86">
        <v>9.3204438451176106</v>
      </c>
      <c r="P217" s="86">
        <v>3.546655247778391</v>
      </c>
      <c r="Q217" s="92">
        <v>0.85326631267098019</v>
      </c>
    </row>
    <row r="218" spans="2:17" x14ac:dyDescent="0.3">
      <c r="B218" s="292"/>
      <c r="C218" s="9" t="s">
        <v>228</v>
      </c>
      <c r="D218" s="86">
        <v>32.062097433101975</v>
      </c>
      <c r="E218" s="86">
        <v>29.036235136543283</v>
      </c>
      <c r="F218" s="88">
        <v>32.562661691392378</v>
      </c>
      <c r="G218" s="88">
        <v>32.628142976523506</v>
      </c>
      <c r="H218" s="88">
        <v>55.205845374655915</v>
      </c>
      <c r="I218" s="86">
        <v>6.124090896132051</v>
      </c>
      <c r="J218" s="86">
        <v>8.2000626050416816</v>
      </c>
      <c r="K218" s="92">
        <v>26.083319432926679</v>
      </c>
      <c r="L218" s="86">
        <v>13.545278516302966</v>
      </c>
      <c r="M218" s="88">
        <v>20.163424995670265</v>
      </c>
      <c r="N218" s="86">
        <v>35.638133889570675</v>
      </c>
      <c r="O218" s="86">
        <v>6.9083971733723128</v>
      </c>
      <c r="P218" s="86">
        <v>1.670368652183003</v>
      </c>
      <c r="Q218" s="92">
        <v>0.17194122658360275</v>
      </c>
    </row>
    <row r="219" spans="2:17" x14ac:dyDescent="0.3">
      <c r="B219" s="295"/>
      <c r="C219" s="12" t="s">
        <v>229</v>
      </c>
      <c r="D219" s="90">
        <v>35.900084564457259</v>
      </c>
      <c r="E219" s="90">
        <v>31.880434793778395</v>
      </c>
      <c r="F219" s="91">
        <v>33.136271869101044</v>
      </c>
      <c r="G219" s="91">
        <v>23.670861860848845</v>
      </c>
      <c r="H219" s="91">
        <v>57.649004712721677</v>
      </c>
      <c r="I219" s="90">
        <v>4.6701786818411231</v>
      </c>
      <c r="J219" s="90">
        <v>8.4304734329722457</v>
      </c>
      <c r="K219" s="94">
        <v>22.590030332397397</v>
      </c>
      <c r="L219" s="90">
        <v>15.64813802899171</v>
      </c>
      <c r="M219" s="91">
        <v>19.474703108892307</v>
      </c>
      <c r="N219" s="90">
        <v>35.700470742257309</v>
      </c>
      <c r="O219" s="90">
        <v>9.0855652408037741</v>
      </c>
      <c r="P219" s="90">
        <v>1.8229152976859879</v>
      </c>
      <c r="Q219" s="94">
        <v>0.34086733325103591</v>
      </c>
    </row>
    <row r="220" spans="2:17" x14ac:dyDescent="0.3">
      <c r="B220" s="296" t="s">
        <v>199</v>
      </c>
      <c r="C220" s="13" t="s">
        <v>192</v>
      </c>
      <c r="D220" s="84">
        <v>32.675686474001957</v>
      </c>
      <c r="E220" s="84">
        <v>35.545831690154344</v>
      </c>
      <c r="F220" s="89">
        <v>35.39105550638611</v>
      </c>
      <c r="G220" s="89">
        <v>29.146424277327775</v>
      </c>
      <c r="H220" s="89">
        <v>51.31537328128443</v>
      </c>
      <c r="I220" s="84">
        <v>7.2074684841425931</v>
      </c>
      <c r="J220" s="84">
        <v>10.399088027608904</v>
      </c>
      <c r="K220" s="93">
        <v>22.489556445662913</v>
      </c>
      <c r="L220" s="84">
        <v>14.309404286922517</v>
      </c>
      <c r="M220" s="89">
        <v>18.416225042909378</v>
      </c>
      <c r="N220" s="84">
        <v>32.920430847317661</v>
      </c>
      <c r="O220" s="84">
        <v>7.6574595824163874</v>
      </c>
      <c r="P220" s="84">
        <v>2.2109590953255021</v>
      </c>
      <c r="Q220" s="93">
        <v>0.3150369585391119</v>
      </c>
    </row>
    <row r="221" spans="2:17" x14ac:dyDescent="0.3">
      <c r="B221" s="292"/>
      <c r="C221" s="9" t="s">
        <v>200</v>
      </c>
      <c r="D221" s="86">
        <v>15.418667204028486</v>
      </c>
      <c r="E221" s="86">
        <v>15.115742978140446</v>
      </c>
      <c r="F221" s="88">
        <v>29.641988884253433</v>
      </c>
      <c r="G221" s="88">
        <v>33.591546613389689</v>
      </c>
      <c r="H221" s="88">
        <v>39.245120478182287</v>
      </c>
      <c r="I221" s="86">
        <v>3.6472806823362118</v>
      </c>
      <c r="J221" s="86">
        <v>20.328850848908758</v>
      </c>
      <c r="K221" s="92">
        <v>30.034114855518251</v>
      </c>
      <c r="L221" s="86">
        <v>17.080183917780449</v>
      </c>
      <c r="M221" s="88">
        <v>24.302032674074685</v>
      </c>
      <c r="N221" s="86">
        <v>47.349574683182013</v>
      </c>
      <c r="O221" s="86">
        <v>18.741206430145361</v>
      </c>
      <c r="P221" s="86">
        <v>4.3326502726117546</v>
      </c>
      <c r="Q221" s="92">
        <v>1.1710394774482566</v>
      </c>
    </row>
    <row r="222" spans="2:17" x14ac:dyDescent="0.3">
      <c r="B222" s="292"/>
      <c r="C222" s="9" t="s">
        <v>201</v>
      </c>
      <c r="D222" s="86">
        <v>32.645576802981239</v>
      </c>
      <c r="E222" s="86">
        <v>26.903241109664265</v>
      </c>
      <c r="F222" s="88">
        <v>33.293975083809599</v>
      </c>
      <c r="G222" s="88">
        <v>34.662636514439541</v>
      </c>
      <c r="H222" s="88">
        <v>52.738016349571005</v>
      </c>
      <c r="I222" s="86">
        <v>5.4619353308873242</v>
      </c>
      <c r="J222" s="86">
        <v>11.378860136179009</v>
      </c>
      <c r="K222" s="92">
        <v>22.45423924182391</v>
      </c>
      <c r="L222" s="86">
        <v>15.918843732878557</v>
      </c>
      <c r="M222" s="88">
        <v>14.837642143929299</v>
      </c>
      <c r="N222" s="86">
        <v>33.894465494077828</v>
      </c>
      <c r="O222" s="86">
        <v>11.593309478351085</v>
      </c>
      <c r="P222" s="86">
        <v>3.8346655369325204</v>
      </c>
      <c r="Q222" s="92">
        <v>0.38259304447507098</v>
      </c>
    </row>
    <row r="223" spans="2:17" x14ac:dyDescent="0.3">
      <c r="B223" s="292"/>
      <c r="C223" s="9" t="s">
        <v>202</v>
      </c>
      <c r="D223" s="86">
        <v>20.93479520671136</v>
      </c>
      <c r="E223" s="86">
        <v>17.303212523158027</v>
      </c>
      <c r="F223" s="88">
        <v>31.185378947790131</v>
      </c>
      <c r="G223" s="88">
        <v>29.081207436918938</v>
      </c>
      <c r="H223" s="88">
        <v>57.355941516142529</v>
      </c>
      <c r="I223" s="86">
        <v>5.7103240532049577</v>
      </c>
      <c r="J223" s="86">
        <v>11.93573193336832</v>
      </c>
      <c r="K223" s="92">
        <v>24.658732279432051</v>
      </c>
      <c r="L223" s="86">
        <v>15.660299817459251</v>
      </c>
      <c r="M223" s="88">
        <v>26.280608991305538</v>
      </c>
      <c r="N223" s="86">
        <v>42.112697258235279</v>
      </c>
      <c r="O223" s="86">
        <v>13.396781821270254</v>
      </c>
      <c r="P223" s="86">
        <v>3.9907258771203025</v>
      </c>
      <c r="Q223" s="92">
        <v>0.39356233788306588</v>
      </c>
    </row>
    <row r="224" spans="2:17" x14ac:dyDescent="0.3">
      <c r="B224" s="295"/>
      <c r="C224" s="12" t="s">
        <v>203</v>
      </c>
      <c r="D224" s="90">
        <v>27.689219439108548</v>
      </c>
      <c r="E224" s="90">
        <v>19.297291873041782</v>
      </c>
      <c r="F224" s="91">
        <v>30.254133042552688</v>
      </c>
      <c r="G224" s="91">
        <v>30.497627820618984</v>
      </c>
      <c r="H224" s="91">
        <v>54.124961773285797</v>
      </c>
      <c r="I224" s="90">
        <v>4.163295810025029</v>
      </c>
      <c r="J224" s="90">
        <v>13.363426156598077</v>
      </c>
      <c r="K224" s="94">
        <v>23.863688277316321</v>
      </c>
      <c r="L224" s="90">
        <v>16.013713385435913</v>
      </c>
      <c r="M224" s="91">
        <v>21.623916522510779</v>
      </c>
      <c r="N224" s="90">
        <v>44.588579368883799</v>
      </c>
      <c r="O224" s="90">
        <v>10.762275678405928</v>
      </c>
      <c r="P224" s="90">
        <v>2.7143632290305595</v>
      </c>
      <c r="Q224" s="94">
        <v>1.0435076231855194</v>
      </c>
    </row>
    <row r="225" spans="2:19" x14ac:dyDescent="0.3">
      <c r="B225" s="291" t="s">
        <v>204</v>
      </c>
      <c r="C225" s="13" t="s">
        <v>192</v>
      </c>
      <c r="D225" s="84">
        <v>32.675686474001957</v>
      </c>
      <c r="E225" s="84">
        <v>35.545831690154344</v>
      </c>
      <c r="F225" s="89">
        <v>35.39105550638611</v>
      </c>
      <c r="G225" s="89">
        <v>29.146424277327775</v>
      </c>
      <c r="H225" s="89">
        <v>51.31537328128443</v>
      </c>
      <c r="I225" s="84">
        <v>7.2074684841425931</v>
      </c>
      <c r="J225" s="84">
        <v>10.399088027608904</v>
      </c>
      <c r="K225" s="93">
        <v>22.489556445662913</v>
      </c>
      <c r="L225" s="84">
        <v>14.309404286922517</v>
      </c>
      <c r="M225" s="89">
        <v>18.416225042909378</v>
      </c>
      <c r="N225" s="84">
        <v>32.920430847317661</v>
      </c>
      <c r="O225" s="84">
        <v>7.6574595824163874</v>
      </c>
      <c r="P225" s="84">
        <v>2.2109590953255021</v>
      </c>
      <c r="Q225" s="93">
        <v>0.3150369585391119</v>
      </c>
    </row>
    <row r="226" spans="2:19" x14ac:dyDescent="0.3">
      <c r="B226" s="295"/>
      <c r="C226" s="12" t="s">
        <v>193</v>
      </c>
      <c r="D226" s="90">
        <v>26.407839130086312</v>
      </c>
      <c r="E226" s="90">
        <v>20.32022589250818</v>
      </c>
      <c r="F226" s="91">
        <v>31.120201297697925</v>
      </c>
      <c r="G226" s="91">
        <v>31.426204854914975</v>
      </c>
      <c r="H226" s="91">
        <v>53.281220902903392</v>
      </c>
      <c r="I226" s="90">
        <v>4.7593144506078566</v>
      </c>
      <c r="J226" s="90">
        <v>13.156281782296238</v>
      </c>
      <c r="K226" s="94">
        <v>24.204537602643356</v>
      </c>
      <c r="L226" s="90">
        <v>16.002270761718535</v>
      </c>
      <c r="M226" s="91">
        <v>21.243370777482202</v>
      </c>
      <c r="N226" s="90">
        <v>41.763010361389988</v>
      </c>
      <c r="O226" s="90">
        <v>12.172901771604856</v>
      </c>
      <c r="P226" s="90">
        <v>3.3839390369517441</v>
      </c>
      <c r="Q226" s="94">
        <v>0.75868137719416495</v>
      </c>
    </row>
    <row r="227" spans="2:19" ht="16.5" customHeight="1" x14ac:dyDescent="0.3">
      <c r="B227" s="291" t="s">
        <v>209</v>
      </c>
      <c r="C227" s="13" t="s">
        <v>205</v>
      </c>
      <c r="D227" s="84">
        <v>23.147213684109818</v>
      </c>
      <c r="E227" s="84">
        <v>26.137027430197236</v>
      </c>
      <c r="F227" s="89">
        <v>38.207711651788472</v>
      </c>
      <c r="G227" s="89">
        <v>26.655212211193241</v>
      </c>
      <c r="H227" s="89">
        <v>40.037266352744034</v>
      </c>
      <c r="I227" s="84">
        <v>6.2472730362407152</v>
      </c>
      <c r="J227" s="84">
        <v>16.207148333006526</v>
      </c>
      <c r="K227" s="93">
        <v>25.245412753803286</v>
      </c>
      <c r="L227" s="84">
        <v>18.784681695434955</v>
      </c>
      <c r="M227" s="89">
        <v>21.847092389688509</v>
      </c>
      <c r="N227" s="84">
        <v>42.355067908964088</v>
      </c>
      <c r="O227" s="84">
        <v>9.491269018025589</v>
      </c>
      <c r="P227" s="84">
        <v>4.9040502011371245</v>
      </c>
      <c r="Q227" s="93">
        <v>0.73357333366652799</v>
      </c>
    </row>
    <row r="228" spans="2:19" x14ac:dyDescent="0.3">
      <c r="B228" s="292"/>
      <c r="C228" s="9" t="s">
        <v>206</v>
      </c>
      <c r="D228" s="86">
        <v>27.702284488323848</v>
      </c>
      <c r="E228" s="86">
        <v>26.312296696437258</v>
      </c>
      <c r="F228" s="88">
        <v>31.903576723512607</v>
      </c>
      <c r="G228" s="88">
        <v>33.949951721242009</v>
      </c>
      <c r="H228" s="88">
        <v>58.320379710768854</v>
      </c>
      <c r="I228" s="86">
        <v>5.0545263996973659</v>
      </c>
      <c r="J228" s="86">
        <v>14.823615758765554</v>
      </c>
      <c r="K228" s="92">
        <v>19.253050904823692</v>
      </c>
      <c r="L228" s="86">
        <v>14.078190920883571</v>
      </c>
      <c r="M228" s="88">
        <v>18.518660307067645</v>
      </c>
      <c r="N228" s="86">
        <v>37.163051555345</v>
      </c>
      <c r="O228" s="86">
        <v>11.048918398738071</v>
      </c>
      <c r="P228" s="86">
        <v>1.3451885596338344</v>
      </c>
      <c r="Q228" s="92">
        <v>0.52630785476097997</v>
      </c>
    </row>
    <row r="229" spans="2:19" x14ac:dyDescent="0.3">
      <c r="B229" s="292"/>
      <c r="C229" s="9" t="s">
        <v>207</v>
      </c>
      <c r="D229" s="86">
        <v>32.032501608279915</v>
      </c>
      <c r="E229" s="86">
        <v>28.507222901160912</v>
      </c>
      <c r="F229" s="88">
        <v>31.545239654028773</v>
      </c>
      <c r="G229" s="88">
        <v>31.127409770814772</v>
      </c>
      <c r="H229" s="88">
        <v>51.667770766707719</v>
      </c>
      <c r="I229" s="86">
        <v>6.0122601058614951</v>
      </c>
      <c r="J229" s="86">
        <v>8.6665931933576594</v>
      </c>
      <c r="K229" s="92">
        <v>21.931111140572032</v>
      </c>
      <c r="L229" s="86">
        <v>15.822970170674017</v>
      </c>
      <c r="M229" s="88">
        <v>22.346382514327264</v>
      </c>
      <c r="N229" s="86">
        <v>37.422205228961161</v>
      </c>
      <c r="O229" s="86">
        <v>9.5202365958738024</v>
      </c>
      <c r="P229" s="86">
        <v>3.0894564166196159</v>
      </c>
      <c r="Q229" s="92">
        <v>0.30863993276087742</v>
      </c>
    </row>
    <row r="230" spans="2:19" x14ac:dyDescent="0.3">
      <c r="B230" s="293"/>
      <c r="C230" s="25" t="s">
        <v>208</v>
      </c>
      <c r="D230" s="87">
        <v>31.896146873078752</v>
      </c>
      <c r="E230" s="87">
        <v>31.243997488767754</v>
      </c>
      <c r="F230" s="95">
        <v>34.170268527323685</v>
      </c>
      <c r="G230" s="95">
        <v>28.504679487809703</v>
      </c>
      <c r="H230" s="95">
        <v>54.096133092225017</v>
      </c>
      <c r="I230" s="87">
        <v>6.7459845714730724</v>
      </c>
      <c r="J230" s="87">
        <v>10.575207845970972</v>
      </c>
      <c r="K230" s="96">
        <v>26.085544945991085</v>
      </c>
      <c r="L230" s="87">
        <v>13.441270534137253</v>
      </c>
      <c r="M230" s="95">
        <v>17.0687464602277</v>
      </c>
      <c r="N230" s="87">
        <v>34.055251181162255</v>
      </c>
      <c r="O230" s="87">
        <v>9.1459262620212574</v>
      </c>
      <c r="P230" s="87">
        <v>2.3612678505496825</v>
      </c>
      <c r="Q230" s="96">
        <v>0.60957487926236475</v>
      </c>
    </row>
    <row r="231" spans="2:19" x14ac:dyDescent="0.3">
      <c r="B231" s="136"/>
    </row>
    <row r="232" spans="2:19" x14ac:dyDescent="0.3">
      <c r="B232" s="60"/>
      <c r="C232" s="9"/>
      <c r="D232" s="58"/>
      <c r="E232" s="58"/>
      <c r="F232" s="50"/>
      <c r="G232" s="58"/>
      <c r="H232" s="50"/>
      <c r="I232" s="58"/>
      <c r="J232" s="58"/>
      <c r="K232" s="58"/>
      <c r="L232" s="50"/>
      <c r="M232" s="58"/>
      <c r="N232" s="58"/>
    </row>
    <row r="233" spans="2:19" x14ac:dyDescent="0.3">
      <c r="B233" s="1" t="s">
        <v>489</v>
      </c>
      <c r="D233" s="59"/>
      <c r="E233" s="304"/>
      <c r="F233" s="304"/>
      <c r="G233" s="304"/>
      <c r="H233" s="304"/>
      <c r="I233" s="304"/>
      <c r="J233" s="304"/>
      <c r="K233" s="304"/>
      <c r="L233" s="304"/>
      <c r="M233" s="304"/>
      <c r="N233" s="304"/>
      <c r="O233" s="304"/>
      <c r="P233" s="304"/>
      <c r="Q233" s="304"/>
      <c r="R233" s="304"/>
      <c r="S233" s="304"/>
    </row>
    <row r="234" spans="2:19" ht="10.5" customHeight="1" x14ac:dyDescent="0.3"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30"/>
      <c r="O234" s="30"/>
      <c r="P234" s="30" t="s">
        <v>52</v>
      </c>
    </row>
    <row r="235" spans="2:19" s="125" customFormat="1" ht="27" x14ac:dyDescent="0.3">
      <c r="B235" s="297"/>
      <c r="C235" s="297"/>
      <c r="D235" s="215" t="s">
        <v>57</v>
      </c>
      <c r="E235" s="215" t="s">
        <v>59</v>
      </c>
      <c r="F235" s="215" t="s">
        <v>126</v>
      </c>
      <c r="G235" s="215" t="s">
        <v>58</v>
      </c>
      <c r="H235" s="215" t="s">
        <v>127</v>
      </c>
      <c r="I235" s="202" t="s">
        <v>376</v>
      </c>
      <c r="J235" s="215" t="s">
        <v>60</v>
      </c>
      <c r="K235" s="215" t="s">
        <v>61</v>
      </c>
      <c r="L235" s="215" t="s">
        <v>128</v>
      </c>
      <c r="M235" s="215" t="s">
        <v>129</v>
      </c>
      <c r="N235" s="202" t="s">
        <v>377</v>
      </c>
      <c r="O235" s="215" t="s">
        <v>130</v>
      </c>
      <c r="P235" s="215" t="s">
        <v>38</v>
      </c>
      <c r="Q235" s="126"/>
    </row>
    <row r="236" spans="2:19" ht="21.75" customHeight="1" x14ac:dyDescent="0.3">
      <c r="B236" s="292" t="s">
        <v>20</v>
      </c>
      <c r="C236" s="292"/>
      <c r="D236" s="86">
        <v>13.21328982170183</v>
      </c>
      <c r="E236" s="86">
        <v>17.679294518863344</v>
      </c>
      <c r="F236" s="88">
        <v>26.394730223007624</v>
      </c>
      <c r="G236" s="86">
        <v>4.350778445060195</v>
      </c>
      <c r="H236" s="88">
        <v>7.5091677043589637</v>
      </c>
      <c r="I236" s="86">
        <v>10.560612175411196</v>
      </c>
      <c r="J236" s="86">
        <v>4.0024517944178699</v>
      </c>
      <c r="K236" s="86">
        <v>6.9637519280865297</v>
      </c>
      <c r="L236" s="88">
        <v>7.0822729875711126</v>
      </c>
      <c r="M236" s="86">
        <v>1.892271023144712</v>
      </c>
      <c r="N236" s="86">
        <v>0.31254870541665547</v>
      </c>
      <c r="O236" s="86">
        <v>3.88306729599215E-2</v>
      </c>
      <c r="P236" s="86">
        <v>0</v>
      </c>
    </row>
    <row r="237" spans="2:19" x14ac:dyDescent="0.3">
      <c r="B237" s="296" t="s">
        <v>5</v>
      </c>
      <c r="C237" s="13" t="s">
        <v>0</v>
      </c>
      <c r="D237" s="84">
        <v>13.989717717561479</v>
      </c>
      <c r="E237" s="84">
        <v>16.17264347435129</v>
      </c>
      <c r="F237" s="89">
        <v>26.251758198645192</v>
      </c>
      <c r="G237" s="84">
        <v>4.5763170869432948</v>
      </c>
      <c r="H237" s="89">
        <v>7.3406986878540597</v>
      </c>
      <c r="I237" s="84">
        <v>10.532871308869204</v>
      </c>
      <c r="J237" s="84">
        <v>3.7380881465148925</v>
      </c>
      <c r="K237" s="84">
        <v>6.8314155257244451</v>
      </c>
      <c r="L237" s="89">
        <v>8.0701030626141321</v>
      </c>
      <c r="M237" s="84">
        <v>2.0727577870454246</v>
      </c>
      <c r="N237" s="84">
        <v>0.36194644444678309</v>
      </c>
      <c r="O237" s="84">
        <v>6.1682559429629663E-2</v>
      </c>
      <c r="P237" s="84">
        <v>0</v>
      </c>
    </row>
    <row r="238" spans="2:19" x14ac:dyDescent="0.3">
      <c r="B238" s="295"/>
      <c r="C238" s="12" t="s">
        <v>1</v>
      </c>
      <c r="D238" s="90">
        <v>11.893958144597082</v>
      </c>
      <c r="E238" s="90">
        <v>20.239445255290388</v>
      </c>
      <c r="F238" s="90">
        <v>26.637672963327635</v>
      </c>
      <c r="G238" s="90">
        <v>3.9675358075476743</v>
      </c>
      <c r="H238" s="90">
        <v>7.7954357677178985</v>
      </c>
      <c r="I238" s="90">
        <v>10.607750363225351</v>
      </c>
      <c r="J238" s="90">
        <v>4.4516671521004758</v>
      </c>
      <c r="K238" s="90">
        <v>7.1886222716192743</v>
      </c>
      <c r="L238" s="90">
        <v>5.4037198127679469</v>
      </c>
      <c r="M238" s="90">
        <v>1.5855820103179874</v>
      </c>
      <c r="N238" s="90">
        <v>0.2286104514882068</v>
      </c>
      <c r="O238" s="90">
        <v>0</v>
      </c>
      <c r="P238" s="90">
        <v>0</v>
      </c>
    </row>
    <row r="239" spans="2:19" x14ac:dyDescent="0.3">
      <c r="B239" s="296" t="s">
        <v>4</v>
      </c>
      <c r="C239" s="9" t="s">
        <v>175</v>
      </c>
      <c r="D239" s="86">
        <v>25.931171075649679</v>
      </c>
      <c r="E239" s="86">
        <v>8.2101532480726469</v>
      </c>
      <c r="F239" s="88">
        <v>36.817705075501053</v>
      </c>
      <c r="G239" s="86">
        <v>5.5142496989738543</v>
      </c>
      <c r="H239" s="88">
        <v>5.395021252217421</v>
      </c>
      <c r="I239" s="86">
        <v>6.4501232046236758</v>
      </c>
      <c r="J239" s="86">
        <v>4.9243523184371902</v>
      </c>
      <c r="K239" s="86">
        <v>0</v>
      </c>
      <c r="L239" s="88">
        <v>4.4138044289950669</v>
      </c>
      <c r="M239" s="86">
        <v>1.4443850138585594</v>
      </c>
      <c r="N239" s="86">
        <v>0.89903468367088046</v>
      </c>
      <c r="O239" s="86">
        <v>0</v>
      </c>
      <c r="P239" s="86">
        <v>0</v>
      </c>
    </row>
    <row r="240" spans="2:19" x14ac:dyDescent="0.3">
      <c r="B240" s="292"/>
      <c r="C240" s="9" t="s">
        <v>176</v>
      </c>
      <c r="D240" s="86">
        <v>13.316104109758658</v>
      </c>
      <c r="E240" s="86">
        <v>17.560523367809814</v>
      </c>
      <c r="F240" s="88">
        <v>32.005621515512196</v>
      </c>
      <c r="G240" s="86">
        <v>4.3042356165702405</v>
      </c>
      <c r="H240" s="88">
        <v>6.2528093022081652</v>
      </c>
      <c r="I240" s="86">
        <v>6.9607867290626473</v>
      </c>
      <c r="J240" s="86">
        <v>6.1413169656837674</v>
      </c>
      <c r="K240" s="86">
        <v>4.6571841003633123</v>
      </c>
      <c r="L240" s="88">
        <v>5.9263827390592896</v>
      </c>
      <c r="M240" s="86">
        <v>1.5955047439488108</v>
      </c>
      <c r="N240" s="86">
        <v>0.96166282881746601</v>
      </c>
      <c r="O240" s="86">
        <v>0.31786798120560211</v>
      </c>
      <c r="P240" s="86">
        <v>0</v>
      </c>
    </row>
    <row r="241" spans="2:16" x14ac:dyDescent="0.3">
      <c r="B241" s="292"/>
      <c r="C241" s="9" t="s">
        <v>177</v>
      </c>
      <c r="D241" s="86">
        <v>10.42963436099391</v>
      </c>
      <c r="E241" s="86">
        <v>19.438987297679311</v>
      </c>
      <c r="F241" s="88">
        <v>26.894646227987224</v>
      </c>
      <c r="G241" s="86">
        <v>7.5863324697285588</v>
      </c>
      <c r="H241" s="88">
        <v>9.6454301762231154</v>
      </c>
      <c r="I241" s="86">
        <v>8.8313372136877355</v>
      </c>
      <c r="J241" s="86">
        <v>2.9015379340913543</v>
      </c>
      <c r="K241" s="86">
        <v>3.9139494460899704</v>
      </c>
      <c r="L241" s="88">
        <v>6.6281865890557263</v>
      </c>
      <c r="M241" s="86">
        <v>2.9272327582149322</v>
      </c>
      <c r="N241" s="86">
        <v>0.80272552624810012</v>
      </c>
      <c r="O241" s="86">
        <v>0</v>
      </c>
      <c r="P241" s="86">
        <v>0</v>
      </c>
    </row>
    <row r="242" spans="2:16" x14ac:dyDescent="0.3">
      <c r="B242" s="292"/>
      <c r="C242" s="9" t="s">
        <v>178</v>
      </c>
      <c r="D242" s="86">
        <v>12.566419464210494</v>
      </c>
      <c r="E242" s="86">
        <v>18.416243325732438</v>
      </c>
      <c r="F242" s="88">
        <v>21.825491111726752</v>
      </c>
      <c r="G242" s="86">
        <v>5.334511700774895</v>
      </c>
      <c r="H242" s="88">
        <v>7.4859530638104852</v>
      </c>
      <c r="I242" s="86">
        <v>11.303795809881272</v>
      </c>
      <c r="J242" s="86">
        <v>4.6522387630849318</v>
      </c>
      <c r="K242" s="86">
        <v>6.9367337076473596</v>
      </c>
      <c r="L242" s="88">
        <v>10.611227807582663</v>
      </c>
      <c r="M242" s="86">
        <v>0.86738524554885676</v>
      </c>
      <c r="N242" s="86">
        <v>0</v>
      </c>
      <c r="O242" s="86">
        <v>0</v>
      </c>
      <c r="P242" s="86">
        <v>0</v>
      </c>
    </row>
    <row r="243" spans="2:16" x14ac:dyDescent="0.3">
      <c r="B243" s="292"/>
      <c r="C243" s="9" t="s">
        <v>179</v>
      </c>
      <c r="D243" s="86">
        <v>10.796611237716052</v>
      </c>
      <c r="E243" s="86">
        <v>17.415770622235978</v>
      </c>
      <c r="F243" s="88">
        <v>26.70398045934272</v>
      </c>
      <c r="G243" s="86">
        <v>3.7074024016455183</v>
      </c>
      <c r="H243" s="88">
        <v>8.0280638617786479</v>
      </c>
      <c r="I243" s="86">
        <v>11.66440151998747</v>
      </c>
      <c r="J243" s="86">
        <v>3.9797327828465865</v>
      </c>
      <c r="K243" s="86">
        <v>9.1065989388501212</v>
      </c>
      <c r="L243" s="88">
        <v>5.8772243217713473</v>
      </c>
      <c r="M243" s="86">
        <v>2.7202138538255971</v>
      </c>
      <c r="N243" s="86">
        <v>0</v>
      </c>
      <c r="O243" s="86">
        <v>0</v>
      </c>
      <c r="P243" s="86">
        <v>0</v>
      </c>
    </row>
    <row r="244" spans="2:16" x14ac:dyDescent="0.3">
      <c r="B244" s="298"/>
      <c r="C244" s="12" t="s">
        <v>180</v>
      </c>
      <c r="D244" s="90">
        <v>16.299159089467942</v>
      </c>
      <c r="E244" s="90">
        <v>17.576364068073662</v>
      </c>
      <c r="F244" s="91">
        <v>25.40338031172249</v>
      </c>
      <c r="G244" s="90">
        <v>2.2675816653990313</v>
      </c>
      <c r="H244" s="91">
        <v>6.6330518514673447</v>
      </c>
      <c r="I244" s="90">
        <v>12.06709969558438</v>
      </c>
      <c r="J244" s="90">
        <v>2.9571309566379931</v>
      </c>
      <c r="K244" s="90">
        <v>8.4485513284209031</v>
      </c>
      <c r="L244" s="91">
        <v>6.6787143602614796</v>
      </c>
      <c r="M244" s="90">
        <v>1.446026256760222</v>
      </c>
      <c r="N244" s="90">
        <v>0.22294041620440824</v>
      </c>
      <c r="O244" s="90">
        <v>0</v>
      </c>
      <c r="P244" s="90">
        <v>0</v>
      </c>
    </row>
    <row r="245" spans="2:16" x14ac:dyDescent="0.3">
      <c r="B245" s="292" t="s">
        <v>223</v>
      </c>
      <c r="C245" s="9" t="s">
        <v>210</v>
      </c>
      <c r="D245" s="86">
        <v>26.213883627675159</v>
      </c>
      <c r="E245" s="86">
        <v>11.0349936543758</v>
      </c>
      <c r="F245" s="88">
        <v>28.523707573331503</v>
      </c>
      <c r="G245" s="86">
        <v>9.6682683505010463</v>
      </c>
      <c r="H245" s="88">
        <v>9.4592222098322392</v>
      </c>
      <c r="I245" s="86">
        <v>2.7171876747938519</v>
      </c>
      <c r="J245" s="86">
        <v>8.6339869005066046</v>
      </c>
      <c r="K245" s="86">
        <v>0</v>
      </c>
      <c r="L245" s="88">
        <v>3.7487500089837908</v>
      </c>
      <c r="M245" s="86">
        <v>0</v>
      </c>
      <c r="N245" s="86">
        <v>0</v>
      </c>
      <c r="O245" s="86">
        <v>0</v>
      </c>
      <c r="P245" s="86">
        <v>0</v>
      </c>
    </row>
    <row r="246" spans="2:16" x14ac:dyDescent="0.3">
      <c r="B246" s="292"/>
      <c r="C246" s="9" t="s">
        <v>211</v>
      </c>
      <c r="D246" s="86">
        <v>13.894900152555314</v>
      </c>
      <c r="E246" s="86">
        <v>17.657635185404981</v>
      </c>
      <c r="F246" s="88">
        <v>29.928266824382316</v>
      </c>
      <c r="G246" s="86">
        <v>3.0449693075548891</v>
      </c>
      <c r="H246" s="88">
        <v>5.7623420756386681</v>
      </c>
      <c r="I246" s="86">
        <v>9.6896289611942805</v>
      </c>
      <c r="J246" s="86">
        <v>7.3841339669314552</v>
      </c>
      <c r="K246" s="86">
        <v>2.5730990575358663</v>
      </c>
      <c r="L246" s="88">
        <v>5.8990605204210098</v>
      </c>
      <c r="M246" s="86">
        <v>1.9684263693526711</v>
      </c>
      <c r="N246" s="86">
        <v>1.6516133790034508</v>
      </c>
      <c r="O246" s="86">
        <v>0.54592420002503772</v>
      </c>
      <c r="P246" s="86">
        <v>0</v>
      </c>
    </row>
    <row r="247" spans="2:16" x14ac:dyDescent="0.3">
      <c r="B247" s="292"/>
      <c r="C247" s="9" t="s">
        <v>212</v>
      </c>
      <c r="D247" s="86">
        <v>10.732196562556261</v>
      </c>
      <c r="E247" s="86">
        <v>19.087897658888199</v>
      </c>
      <c r="F247" s="88">
        <v>23.551567923469712</v>
      </c>
      <c r="G247" s="86">
        <v>9.3303916635764335</v>
      </c>
      <c r="H247" s="88">
        <v>8.9534278437129142</v>
      </c>
      <c r="I247" s="86">
        <v>7.6990742226870106</v>
      </c>
      <c r="J247" s="86">
        <v>2.6363741098145477</v>
      </c>
      <c r="K247" s="86">
        <v>4.467767629551413</v>
      </c>
      <c r="L247" s="88">
        <v>9.1734954819811474</v>
      </c>
      <c r="M247" s="86">
        <v>3.7681379377420248</v>
      </c>
      <c r="N247" s="86">
        <v>0.59966896602036668</v>
      </c>
      <c r="O247" s="86">
        <v>0</v>
      </c>
      <c r="P247" s="86">
        <v>0</v>
      </c>
    </row>
    <row r="248" spans="2:16" x14ac:dyDescent="0.3">
      <c r="B248" s="292"/>
      <c r="C248" s="9" t="s">
        <v>213</v>
      </c>
      <c r="D248" s="86">
        <v>14.431728930220004</v>
      </c>
      <c r="E248" s="86">
        <v>16.892781760995117</v>
      </c>
      <c r="F248" s="88">
        <v>23.644890825549631</v>
      </c>
      <c r="G248" s="86">
        <v>4.5340403444528983</v>
      </c>
      <c r="H248" s="88">
        <v>8.9875037012273644</v>
      </c>
      <c r="I248" s="86">
        <v>9.1527567677359105</v>
      </c>
      <c r="J248" s="86">
        <v>2.774066373274398</v>
      </c>
      <c r="K248" s="86">
        <v>7.2553673689471934</v>
      </c>
      <c r="L248" s="88">
        <v>12.326863927597515</v>
      </c>
      <c r="M248" s="86">
        <v>0</v>
      </c>
      <c r="N248" s="86">
        <v>0</v>
      </c>
      <c r="O248" s="86">
        <v>0</v>
      </c>
      <c r="P248" s="86">
        <v>0</v>
      </c>
    </row>
    <row r="249" spans="2:16" x14ac:dyDescent="0.3">
      <c r="B249" s="292"/>
      <c r="C249" s="9" t="s">
        <v>214</v>
      </c>
      <c r="D249" s="86">
        <v>11.175041879948976</v>
      </c>
      <c r="E249" s="86">
        <v>16.365416234476893</v>
      </c>
      <c r="F249" s="88">
        <v>28.658598551520605</v>
      </c>
      <c r="G249" s="86">
        <v>4.1496325026171119</v>
      </c>
      <c r="H249" s="88">
        <v>6.1754214556811853</v>
      </c>
      <c r="I249" s="86">
        <v>11.759545997421791</v>
      </c>
      <c r="J249" s="86">
        <v>4.0648145610302571</v>
      </c>
      <c r="K249" s="86">
        <v>7.7260598696950327</v>
      </c>
      <c r="L249" s="88">
        <v>6.5499552909987173</v>
      </c>
      <c r="M249" s="86">
        <v>3.3755136566095314</v>
      </c>
      <c r="N249" s="86">
        <v>0</v>
      </c>
      <c r="O249" s="86">
        <v>0</v>
      </c>
      <c r="P249" s="86">
        <v>0</v>
      </c>
    </row>
    <row r="250" spans="2:16" x14ac:dyDescent="0.3">
      <c r="B250" s="292"/>
      <c r="C250" s="12" t="s">
        <v>215</v>
      </c>
      <c r="D250" s="90">
        <v>17.548300141947575</v>
      </c>
      <c r="E250" s="90">
        <v>13.422653986999306</v>
      </c>
      <c r="F250" s="91">
        <v>25.302627206367706</v>
      </c>
      <c r="G250" s="90">
        <v>2.3038410898715265</v>
      </c>
      <c r="H250" s="91">
        <v>6.8224065314426614</v>
      </c>
      <c r="I250" s="90">
        <v>13.320539071212304</v>
      </c>
      <c r="J250" s="90">
        <v>2.5513787547540892</v>
      </c>
      <c r="K250" s="90">
        <v>9.7131726075528331</v>
      </c>
      <c r="L250" s="91">
        <v>7.1153219039858735</v>
      </c>
      <c r="M250" s="90">
        <v>1.5331511727652882</v>
      </c>
      <c r="N250" s="90">
        <v>0.36660753310083</v>
      </c>
      <c r="O250" s="90">
        <v>0</v>
      </c>
      <c r="P250" s="90">
        <v>0</v>
      </c>
    </row>
    <row r="251" spans="2:16" x14ac:dyDescent="0.3">
      <c r="B251" s="292"/>
      <c r="C251" s="9" t="s">
        <v>216</v>
      </c>
      <c r="D251" s="86">
        <v>25.555884459079113</v>
      </c>
      <c r="E251" s="86">
        <v>4.4603204555839495</v>
      </c>
      <c r="F251" s="88">
        <v>47.827567347740491</v>
      </c>
      <c r="G251" s="86">
        <v>0</v>
      </c>
      <c r="H251" s="88">
        <v>0</v>
      </c>
      <c r="I251" s="86">
        <v>11.405406352927601</v>
      </c>
      <c r="J251" s="86">
        <v>0</v>
      </c>
      <c r="K251" s="86">
        <v>0</v>
      </c>
      <c r="L251" s="88">
        <v>5.29663054100594</v>
      </c>
      <c r="M251" s="86">
        <v>3.3617330799159273</v>
      </c>
      <c r="N251" s="86">
        <v>2.0924577637469928</v>
      </c>
      <c r="O251" s="86">
        <v>0</v>
      </c>
      <c r="P251" s="86">
        <v>0</v>
      </c>
    </row>
    <row r="252" spans="2:16" x14ac:dyDescent="0.3">
      <c r="B252" s="292"/>
      <c r="C252" s="9" t="s">
        <v>217</v>
      </c>
      <c r="D252" s="86">
        <v>12.509370004431622</v>
      </c>
      <c r="E252" s="86">
        <v>17.425167543838086</v>
      </c>
      <c r="F252" s="88">
        <v>34.901067845964015</v>
      </c>
      <c r="G252" s="86">
        <v>6.0594187969239544</v>
      </c>
      <c r="H252" s="88">
        <v>6.936429455011778</v>
      </c>
      <c r="I252" s="86">
        <v>3.1572878556421067</v>
      </c>
      <c r="J252" s="86">
        <v>4.4090610629960763</v>
      </c>
      <c r="K252" s="86">
        <v>7.5620112901399681</v>
      </c>
      <c r="L252" s="88">
        <v>5.9644648335777646</v>
      </c>
      <c r="M252" s="86">
        <v>1.075721311474684</v>
      </c>
      <c r="N252" s="86">
        <v>0</v>
      </c>
      <c r="O252" s="86">
        <v>0</v>
      </c>
      <c r="P252" s="86">
        <v>0</v>
      </c>
    </row>
    <row r="253" spans="2:16" x14ac:dyDescent="0.3">
      <c r="B253" s="292"/>
      <c r="C253" s="9" t="s">
        <v>218</v>
      </c>
      <c r="D253" s="86">
        <v>9.8491675165026731</v>
      </c>
      <c r="E253" s="86">
        <v>20.1125542327106</v>
      </c>
      <c r="F253" s="88">
        <v>33.308355886001408</v>
      </c>
      <c r="G253" s="86">
        <v>4.2403476387376609</v>
      </c>
      <c r="H253" s="88">
        <v>10.973039534757014</v>
      </c>
      <c r="I253" s="86">
        <v>11.003588480126879</v>
      </c>
      <c r="J253" s="86">
        <v>3.4102558359191404</v>
      </c>
      <c r="K253" s="86">
        <v>2.851446953327363</v>
      </c>
      <c r="L253" s="88">
        <v>1.7450008715315262</v>
      </c>
      <c r="M253" s="86">
        <v>1.3139526671925443</v>
      </c>
      <c r="N253" s="86">
        <v>1.1922903831932345</v>
      </c>
      <c r="O253" s="86">
        <v>0</v>
      </c>
      <c r="P253" s="86">
        <v>0</v>
      </c>
    </row>
    <row r="254" spans="2:16" x14ac:dyDescent="0.3">
      <c r="B254" s="292"/>
      <c r="C254" s="9" t="s">
        <v>219</v>
      </c>
      <c r="D254" s="86">
        <v>9.3791674643152501</v>
      </c>
      <c r="E254" s="86">
        <v>21.019380235427203</v>
      </c>
      <c r="F254" s="88">
        <v>18.716685049161409</v>
      </c>
      <c r="G254" s="86">
        <v>6.7022761268859847</v>
      </c>
      <c r="H254" s="88">
        <v>4.9202553287910531</v>
      </c>
      <c r="I254" s="86">
        <v>14.979273586551416</v>
      </c>
      <c r="J254" s="86">
        <v>7.861469625124121</v>
      </c>
      <c r="K254" s="86">
        <v>6.3922847608543751</v>
      </c>
      <c r="L254" s="88">
        <v>7.6797224706650384</v>
      </c>
      <c r="M254" s="86">
        <v>2.3494853522241796</v>
      </c>
      <c r="N254" s="86">
        <v>0</v>
      </c>
      <c r="O254" s="86">
        <v>0</v>
      </c>
      <c r="P254" s="86">
        <v>0</v>
      </c>
    </row>
    <row r="255" spans="2:16" x14ac:dyDescent="0.3">
      <c r="B255" s="292"/>
      <c r="C255" s="9" t="s">
        <v>220</v>
      </c>
      <c r="D255" s="86">
        <v>10.053861454714037</v>
      </c>
      <c r="E255" s="86">
        <v>19.477312174421133</v>
      </c>
      <c r="F255" s="88">
        <v>22.867631068472487</v>
      </c>
      <c r="G255" s="86">
        <v>2.839432753110986</v>
      </c>
      <c r="H255" s="88">
        <v>11.664264506076018</v>
      </c>
      <c r="I255" s="86">
        <v>11.477660458134766</v>
      </c>
      <c r="J255" s="86">
        <v>3.8127418861515743</v>
      </c>
      <c r="K255" s="86">
        <v>11.816197421653793</v>
      </c>
      <c r="L255" s="88">
        <v>4.5568482061796978</v>
      </c>
      <c r="M255" s="86">
        <v>1.4340500710855866</v>
      </c>
      <c r="N255" s="86">
        <v>0</v>
      </c>
      <c r="O255" s="86">
        <v>0</v>
      </c>
      <c r="P255" s="86">
        <v>0</v>
      </c>
    </row>
    <row r="256" spans="2:16" x14ac:dyDescent="0.3">
      <c r="B256" s="295"/>
      <c r="C256" s="9" t="s">
        <v>221</v>
      </c>
      <c r="D256" s="90">
        <v>14.360761269884822</v>
      </c>
      <c r="E256" s="90">
        <v>24.022027308707958</v>
      </c>
      <c r="F256" s="91">
        <v>25.559727426684738</v>
      </c>
      <c r="G256" s="90">
        <v>2.2113148497361448</v>
      </c>
      <c r="H256" s="91">
        <v>6.3392141795219921</v>
      </c>
      <c r="I256" s="90">
        <v>10.122031804433297</v>
      </c>
      <c r="J256" s="90">
        <v>3.5867709655557709</v>
      </c>
      <c r="K256" s="90">
        <v>6.4861315318721635</v>
      </c>
      <c r="L256" s="91">
        <v>6.001193507761367</v>
      </c>
      <c r="M256" s="90">
        <v>1.3108271558417672</v>
      </c>
      <c r="N256" s="90">
        <v>0</v>
      </c>
      <c r="O256" s="90">
        <v>0</v>
      </c>
      <c r="P256" s="90">
        <v>0</v>
      </c>
    </row>
    <row r="257" spans="2:16" ht="16.5" customHeight="1" x14ac:dyDescent="0.3">
      <c r="B257" s="291" t="s">
        <v>222</v>
      </c>
      <c r="C257" s="13" t="s">
        <v>226</v>
      </c>
      <c r="D257" s="80">
        <v>13.673892419424938</v>
      </c>
      <c r="E257" s="80">
        <v>16.042749816772819</v>
      </c>
      <c r="F257" s="80">
        <v>27.311637183536831</v>
      </c>
      <c r="G257" s="80">
        <v>4.8270312819637704</v>
      </c>
      <c r="H257" s="80">
        <v>7.6864571439935361</v>
      </c>
      <c r="I257" s="80">
        <v>9.4288688412760049</v>
      </c>
      <c r="J257" s="80">
        <v>3.221182848590932</v>
      </c>
      <c r="K257" s="80">
        <v>5.476059179853749</v>
      </c>
      <c r="L257" s="80">
        <v>9.398181956873449</v>
      </c>
      <c r="M257" s="80">
        <v>1.5925229302218074</v>
      </c>
      <c r="N257" s="80">
        <v>1.1460992782650803</v>
      </c>
      <c r="O257" s="80">
        <v>0.19531711922711167</v>
      </c>
      <c r="P257" s="80">
        <v>0</v>
      </c>
    </row>
    <row r="258" spans="2:16" x14ac:dyDescent="0.3">
      <c r="B258" s="294"/>
      <c r="C258" s="9" t="s">
        <v>227</v>
      </c>
      <c r="D258" s="79">
        <v>12.999558387946777</v>
      </c>
      <c r="E258" s="79">
        <v>18.462260105927822</v>
      </c>
      <c r="F258" s="79">
        <v>27.141815010765558</v>
      </c>
      <c r="G258" s="79">
        <v>4.0812392875674908</v>
      </c>
      <c r="H258" s="79">
        <v>8.4295995265681096</v>
      </c>
      <c r="I258" s="79">
        <v>10.104301683591869</v>
      </c>
      <c r="J258" s="79">
        <v>4.2322721144666469</v>
      </c>
      <c r="K258" s="79">
        <v>6.7916174872335251</v>
      </c>
      <c r="L258" s="79">
        <v>6.3097652452666573</v>
      </c>
      <c r="M258" s="79">
        <v>1.3557512750313783</v>
      </c>
      <c r="N258" s="79">
        <v>9.1819875634191347E-2</v>
      </c>
      <c r="O258" s="79">
        <v>0</v>
      </c>
      <c r="P258" s="79">
        <v>0</v>
      </c>
    </row>
    <row r="259" spans="2:16" x14ac:dyDescent="0.3">
      <c r="B259" s="292"/>
      <c r="C259" s="9" t="s">
        <v>228</v>
      </c>
      <c r="D259" s="79">
        <v>13.592659802044887</v>
      </c>
      <c r="E259" s="79">
        <v>18.738236708453808</v>
      </c>
      <c r="F259" s="79">
        <v>26.414806251533367</v>
      </c>
      <c r="G259" s="79">
        <v>5.0252224223098354</v>
      </c>
      <c r="H259" s="79">
        <v>5.6158627071431342</v>
      </c>
      <c r="I259" s="79">
        <v>10.242804727525964</v>
      </c>
      <c r="J259" s="79">
        <v>3.8534539963249799</v>
      </c>
      <c r="K259" s="79">
        <v>7.6498712706190961</v>
      </c>
      <c r="L259" s="79">
        <v>7.5419803471026352</v>
      </c>
      <c r="M259" s="79">
        <v>1.3251017669423528</v>
      </c>
      <c r="N259" s="79">
        <v>0</v>
      </c>
      <c r="O259" s="79">
        <v>0</v>
      </c>
      <c r="P259" s="79">
        <v>0</v>
      </c>
    </row>
    <row r="260" spans="2:16" x14ac:dyDescent="0.3">
      <c r="B260" s="295"/>
      <c r="C260" s="12" t="s">
        <v>229</v>
      </c>
      <c r="D260" s="81">
        <v>12.815028174711015</v>
      </c>
      <c r="E260" s="81">
        <v>17.180400926565675</v>
      </c>
      <c r="F260" s="81">
        <v>24.957823658283516</v>
      </c>
      <c r="G260" s="81">
        <v>3.7680283092783413</v>
      </c>
      <c r="H260" s="81">
        <v>7.9124747433979694</v>
      </c>
      <c r="I260" s="81">
        <v>12.079085318773364</v>
      </c>
      <c r="J260" s="81">
        <v>4.4280178920233482</v>
      </c>
      <c r="K260" s="81">
        <v>7.6478298727603571</v>
      </c>
      <c r="L260" s="81">
        <v>5.9016510697381275</v>
      </c>
      <c r="M260" s="81">
        <v>3.1064990889581843</v>
      </c>
      <c r="N260" s="81">
        <v>0.20316094551017672</v>
      </c>
      <c r="O260" s="81">
        <v>0</v>
      </c>
      <c r="P260" s="81">
        <v>0</v>
      </c>
    </row>
    <row r="261" spans="2:16" x14ac:dyDescent="0.3">
      <c r="B261" s="296" t="s">
        <v>199</v>
      </c>
      <c r="C261" s="13" t="s">
        <v>192</v>
      </c>
      <c r="D261" s="80">
        <v>11.808969040297622</v>
      </c>
      <c r="E261" s="80">
        <v>19.018623961077108</v>
      </c>
      <c r="F261" s="80">
        <v>25.593013695008558</v>
      </c>
      <c r="G261" s="80">
        <v>4.9901389167687276</v>
      </c>
      <c r="H261" s="80">
        <v>7.790701804761242</v>
      </c>
      <c r="I261" s="80">
        <v>10.732220413288301</v>
      </c>
      <c r="J261" s="80">
        <v>5.0529524249540962</v>
      </c>
      <c r="K261" s="80">
        <v>6.6830137980652484</v>
      </c>
      <c r="L261" s="80">
        <v>5.9647150822268173</v>
      </c>
      <c r="M261" s="80">
        <v>1.8440289950025421</v>
      </c>
      <c r="N261" s="80">
        <v>0.52162186854959525</v>
      </c>
      <c r="O261" s="80">
        <v>0</v>
      </c>
      <c r="P261" s="80">
        <v>0</v>
      </c>
    </row>
    <row r="262" spans="2:16" ht="16.5" customHeight="1" x14ac:dyDescent="0.3">
      <c r="B262" s="292"/>
      <c r="C262" s="9" t="s">
        <v>200</v>
      </c>
      <c r="D262" s="79">
        <v>23.619705718031803</v>
      </c>
      <c r="E262" s="79">
        <v>11.077969802120029</v>
      </c>
      <c r="F262" s="79">
        <v>21.47445355062046</v>
      </c>
      <c r="G262" s="79">
        <v>5.8512677834495808</v>
      </c>
      <c r="H262" s="79">
        <v>8.6167462321847292</v>
      </c>
      <c r="I262" s="79">
        <v>12.520253170631454</v>
      </c>
      <c r="J262" s="79">
        <v>1.7474923822324386</v>
      </c>
      <c r="K262" s="79">
        <v>3.8557753473930432</v>
      </c>
      <c r="L262" s="79">
        <v>8.7841756286750119</v>
      </c>
      <c r="M262" s="79">
        <v>0.66250398575226077</v>
      </c>
      <c r="N262" s="79">
        <v>0.73572086920578716</v>
      </c>
      <c r="O262" s="79">
        <v>1.053935529703431</v>
      </c>
      <c r="P262" s="79">
        <v>0</v>
      </c>
    </row>
    <row r="263" spans="2:16" ht="16.5" customHeight="1" x14ac:dyDescent="0.3">
      <c r="B263" s="292"/>
      <c r="C263" s="9" t="s">
        <v>201</v>
      </c>
      <c r="D263" s="79">
        <v>14.420366728963273</v>
      </c>
      <c r="E263" s="79">
        <v>16.176026094352085</v>
      </c>
      <c r="F263" s="79">
        <v>30.789221435163483</v>
      </c>
      <c r="G263" s="79">
        <v>4.0406982084677363</v>
      </c>
      <c r="H263" s="79">
        <v>7.4386878936811147</v>
      </c>
      <c r="I263" s="79">
        <v>9.6861071798998761</v>
      </c>
      <c r="J263" s="79">
        <v>2.402130738675881</v>
      </c>
      <c r="K263" s="79">
        <v>5.1114798451491232</v>
      </c>
      <c r="L263" s="79">
        <v>6.6829819088497278</v>
      </c>
      <c r="M263" s="79">
        <v>3.2522999667977852</v>
      </c>
      <c r="N263" s="79">
        <v>0</v>
      </c>
      <c r="O263" s="79">
        <v>0</v>
      </c>
      <c r="P263" s="79">
        <v>0</v>
      </c>
    </row>
    <row r="264" spans="2:16" x14ac:dyDescent="0.3">
      <c r="B264" s="292"/>
      <c r="C264" s="9" t="s">
        <v>202</v>
      </c>
      <c r="D264" s="79">
        <v>15.663264856802714</v>
      </c>
      <c r="E264" s="79">
        <v>15.892773028548667</v>
      </c>
      <c r="F264" s="79">
        <v>25.236616358864755</v>
      </c>
      <c r="G264" s="79">
        <v>3.8714220473134069</v>
      </c>
      <c r="H264" s="79">
        <v>8.4114958283488654</v>
      </c>
      <c r="I264" s="79">
        <v>8.9637914941638375</v>
      </c>
      <c r="J264" s="79">
        <v>3.1078666806959911</v>
      </c>
      <c r="K264" s="79">
        <v>10.046945851615677</v>
      </c>
      <c r="L264" s="79">
        <v>7.2087420738547872</v>
      </c>
      <c r="M264" s="79">
        <v>1.5970817797913051</v>
      </c>
      <c r="N264" s="79">
        <v>0</v>
      </c>
      <c r="O264" s="79">
        <v>0</v>
      </c>
      <c r="P264" s="79">
        <v>0</v>
      </c>
    </row>
    <row r="265" spans="2:16" x14ac:dyDescent="0.3">
      <c r="B265" s="295"/>
      <c r="C265" s="12" t="s">
        <v>203</v>
      </c>
      <c r="D265" s="81">
        <v>13.29897378421769</v>
      </c>
      <c r="E265" s="81">
        <v>16.945093425599314</v>
      </c>
      <c r="F265" s="81">
        <v>27.639346494787169</v>
      </c>
      <c r="G265" s="81">
        <v>2.816067908608634</v>
      </c>
      <c r="H265" s="81">
        <v>6.2121755726835692</v>
      </c>
      <c r="I265" s="81">
        <v>10.949048066643291</v>
      </c>
      <c r="J265" s="81">
        <v>2.8983895941008231</v>
      </c>
      <c r="K265" s="81">
        <v>7.7461092902924467</v>
      </c>
      <c r="L265" s="81">
        <v>9.8129389855001783</v>
      </c>
      <c r="M265" s="81">
        <v>1.6818568775668039</v>
      </c>
      <c r="N265" s="81">
        <v>0</v>
      </c>
      <c r="O265" s="81">
        <v>0</v>
      </c>
      <c r="P265" s="81">
        <v>0</v>
      </c>
    </row>
    <row r="266" spans="2:16" x14ac:dyDescent="0.3">
      <c r="B266" s="291" t="s">
        <v>204</v>
      </c>
      <c r="C266" s="13" t="s">
        <v>192</v>
      </c>
      <c r="D266" s="80">
        <v>11.808969040297622</v>
      </c>
      <c r="E266" s="80">
        <v>19.018623961077108</v>
      </c>
      <c r="F266" s="80">
        <v>25.593013695008558</v>
      </c>
      <c r="G266" s="80">
        <v>4.9901389167687276</v>
      </c>
      <c r="H266" s="80">
        <v>7.790701804761242</v>
      </c>
      <c r="I266" s="80">
        <v>10.732220413288301</v>
      </c>
      <c r="J266" s="80">
        <v>5.0529524249540962</v>
      </c>
      <c r="K266" s="80">
        <v>6.6830137980652484</v>
      </c>
      <c r="L266" s="80">
        <v>5.9647150822268173</v>
      </c>
      <c r="M266" s="80">
        <v>1.8440289950025421</v>
      </c>
      <c r="N266" s="80">
        <v>0.52162186854959525</v>
      </c>
      <c r="O266" s="80">
        <v>0</v>
      </c>
      <c r="P266" s="80">
        <v>0</v>
      </c>
    </row>
    <row r="267" spans="2:16" x14ac:dyDescent="0.3">
      <c r="B267" s="295"/>
      <c r="C267" s="12" t="s">
        <v>193</v>
      </c>
      <c r="D267" s="81">
        <v>14.910524538904369</v>
      </c>
      <c r="E267" s="81">
        <v>16.060607067109</v>
      </c>
      <c r="F267" s="81">
        <v>27.363669188159463</v>
      </c>
      <c r="G267" s="81">
        <v>3.5780598441820537</v>
      </c>
      <c r="H267" s="81">
        <v>7.1689110795147766</v>
      </c>
      <c r="I267" s="81">
        <v>10.35320980485613</v>
      </c>
      <c r="J267" s="81">
        <v>2.7328372133344061</v>
      </c>
      <c r="K267" s="81">
        <v>7.3030465586467992</v>
      </c>
      <c r="L267" s="81">
        <v>8.4329316836120167</v>
      </c>
      <c r="M267" s="81">
        <v>1.9505753978113616</v>
      </c>
      <c r="N267" s="81">
        <v>5.9866956628625165E-2</v>
      </c>
      <c r="O267" s="81">
        <v>8.5760667240871669E-2</v>
      </c>
      <c r="P267" s="81">
        <v>0</v>
      </c>
    </row>
    <row r="268" spans="2:16" x14ac:dyDescent="0.3">
      <c r="B268" s="291" t="s">
        <v>209</v>
      </c>
      <c r="C268" s="13" t="s">
        <v>205</v>
      </c>
      <c r="D268" s="80">
        <v>12.269791312006269</v>
      </c>
      <c r="E268" s="80">
        <v>13.905608755152596</v>
      </c>
      <c r="F268" s="80">
        <v>25.758917923039622</v>
      </c>
      <c r="G268" s="80">
        <v>3.9695828845728318</v>
      </c>
      <c r="H268" s="80">
        <v>8.562217030816635</v>
      </c>
      <c r="I268" s="80">
        <v>10.697317117143273</v>
      </c>
      <c r="J268" s="80">
        <v>3.8804777425783956</v>
      </c>
      <c r="K268" s="80">
        <v>9.6975804630154361</v>
      </c>
      <c r="L268" s="80">
        <v>8.069155279948296</v>
      </c>
      <c r="M268" s="80">
        <v>1.9925291702069297</v>
      </c>
      <c r="N268" s="80">
        <v>1.1968223215197642</v>
      </c>
      <c r="O268" s="80">
        <v>0</v>
      </c>
      <c r="P268" s="80">
        <v>0</v>
      </c>
    </row>
    <row r="269" spans="2:16" x14ac:dyDescent="0.3">
      <c r="B269" s="292"/>
      <c r="C269" s="9" t="s">
        <v>206</v>
      </c>
      <c r="D269" s="79">
        <v>14.675080068050535</v>
      </c>
      <c r="E269" s="79">
        <v>18.521542410352989</v>
      </c>
      <c r="F269" s="79">
        <v>26.063169839159023</v>
      </c>
      <c r="G269" s="79">
        <v>3.3132655631164138</v>
      </c>
      <c r="H269" s="79">
        <v>6.7380242931605201</v>
      </c>
      <c r="I269" s="79">
        <v>11.300615320635568</v>
      </c>
      <c r="J269" s="79">
        <v>3.2945793260891234</v>
      </c>
      <c r="K269" s="79">
        <v>5.7210559601469182</v>
      </c>
      <c r="L269" s="79">
        <v>8.3352080898038867</v>
      </c>
      <c r="M269" s="79">
        <v>2.0374591294851299</v>
      </c>
      <c r="N269" s="79">
        <v>0</v>
      </c>
      <c r="O269" s="79">
        <v>0</v>
      </c>
      <c r="P269" s="79">
        <v>0</v>
      </c>
    </row>
    <row r="270" spans="2:16" x14ac:dyDescent="0.3">
      <c r="B270" s="292"/>
      <c r="C270" s="9" t="s">
        <v>207</v>
      </c>
      <c r="D270" s="79">
        <v>11.944243818007456</v>
      </c>
      <c r="E270" s="79">
        <v>19.080620452155642</v>
      </c>
      <c r="F270" s="79">
        <v>27.040741857896528</v>
      </c>
      <c r="G270" s="79">
        <v>4.3592375123722933</v>
      </c>
      <c r="H270" s="79">
        <v>5.0516127209584543</v>
      </c>
      <c r="I270" s="79">
        <v>12.853426902225074</v>
      </c>
      <c r="J270" s="79">
        <v>3.8027259555709834</v>
      </c>
      <c r="K270" s="79">
        <v>7.5824072646360072</v>
      </c>
      <c r="L270" s="79">
        <v>6.5882000636690323</v>
      </c>
      <c r="M270" s="79">
        <v>1.5128304172796803</v>
      </c>
      <c r="N270" s="79">
        <v>0.18395303522886541</v>
      </c>
      <c r="O270" s="79">
        <v>0</v>
      </c>
      <c r="P270" s="79">
        <v>0</v>
      </c>
    </row>
    <row r="271" spans="2:16" x14ac:dyDescent="0.3">
      <c r="B271" s="293"/>
      <c r="C271" s="25" t="s">
        <v>208</v>
      </c>
      <c r="D271" s="82">
        <v>13.894718661608794</v>
      </c>
      <c r="E271" s="82">
        <v>17.457253938110089</v>
      </c>
      <c r="F271" s="82">
        <v>26.265191915093578</v>
      </c>
      <c r="G271" s="82">
        <v>5.126946392376694</v>
      </c>
      <c r="H271" s="82">
        <v>9.7960319339891839</v>
      </c>
      <c r="I271" s="82">
        <v>7.9475702746885553</v>
      </c>
      <c r="J271" s="82">
        <v>4.6635132847082952</v>
      </c>
      <c r="K271" s="82">
        <v>6.0017731545974646</v>
      </c>
      <c r="L271" s="82">
        <v>6.3705322142392902</v>
      </c>
      <c r="M271" s="82">
        <v>2.1122229147796165</v>
      </c>
      <c r="N271" s="82">
        <v>0.25008204538072781</v>
      </c>
      <c r="O271" s="82">
        <v>0.11416327042787838</v>
      </c>
      <c r="P271" s="82">
        <v>0</v>
      </c>
    </row>
    <row r="272" spans="2:16" x14ac:dyDescent="0.3">
      <c r="B272" s="60"/>
      <c r="C272" s="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</row>
    <row r="273" spans="2:19" x14ac:dyDescent="0.3">
      <c r="B273" s="60"/>
      <c r="C273" s="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</row>
    <row r="274" spans="2:19" x14ac:dyDescent="0.3">
      <c r="B274" s="1" t="s">
        <v>490</v>
      </c>
      <c r="D274" s="59"/>
      <c r="E274" s="304"/>
      <c r="F274" s="304"/>
      <c r="G274" s="304"/>
      <c r="H274" s="304"/>
      <c r="I274" s="304"/>
      <c r="J274" s="304"/>
      <c r="K274" s="304"/>
      <c r="L274" s="304"/>
      <c r="M274" s="304"/>
      <c r="N274" s="304"/>
      <c r="O274" s="304"/>
      <c r="P274" s="304"/>
      <c r="Q274" s="304"/>
      <c r="R274" s="304"/>
      <c r="S274" s="304"/>
    </row>
    <row r="275" spans="2:19" ht="10.5" customHeight="1" x14ac:dyDescent="0.3"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30"/>
      <c r="O275" s="30"/>
      <c r="P275" s="30" t="s">
        <v>157</v>
      </c>
    </row>
    <row r="276" spans="2:19" s="125" customFormat="1" ht="27" x14ac:dyDescent="0.3">
      <c r="B276" s="297"/>
      <c r="C276" s="297"/>
      <c r="D276" s="215" t="s">
        <v>57</v>
      </c>
      <c r="E276" s="215" t="s">
        <v>59</v>
      </c>
      <c r="F276" s="215" t="s">
        <v>126</v>
      </c>
      <c r="G276" s="215" t="s">
        <v>58</v>
      </c>
      <c r="H276" s="215" t="s">
        <v>127</v>
      </c>
      <c r="I276" s="202" t="s">
        <v>376</v>
      </c>
      <c r="J276" s="215" t="s">
        <v>60</v>
      </c>
      <c r="K276" s="215" t="s">
        <v>61</v>
      </c>
      <c r="L276" s="215" t="s">
        <v>128</v>
      </c>
      <c r="M276" s="215" t="s">
        <v>129</v>
      </c>
      <c r="N276" s="202" t="s">
        <v>377</v>
      </c>
      <c r="O276" s="215" t="s">
        <v>130</v>
      </c>
      <c r="P276" s="215" t="s">
        <v>38</v>
      </c>
      <c r="Q276" s="126"/>
    </row>
    <row r="277" spans="2:19" ht="21.75" customHeight="1" x14ac:dyDescent="0.3">
      <c r="B277" s="292" t="s">
        <v>20</v>
      </c>
      <c r="C277" s="292"/>
      <c r="D277" s="86">
        <v>24.812020139202094</v>
      </c>
      <c r="E277" s="86">
        <v>33.170767203992369</v>
      </c>
      <c r="F277" s="88">
        <v>54.06633167393484</v>
      </c>
      <c r="G277" s="86">
        <v>15.465397261739753</v>
      </c>
      <c r="H277" s="88">
        <v>28.038179125986879</v>
      </c>
      <c r="I277" s="86">
        <v>42.128087927635519</v>
      </c>
      <c r="J277" s="86">
        <v>21.960455719408127</v>
      </c>
      <c r="K277" s="86">
        <v>31.907726013165583</v>
      </c>
      <c r="L277" s="88">
        <v>34.074905347096383</v>
      </c>
      <c r="M277" s="86">
        <v>9.1323605047719294</v>
      </c>
      <c r="N277" s="86">
        <v>4.36074420223943</v>
      </c>
      <c r="O277" s="86">
        <v>0.82405251268972968</v>
      </c>
      <c r="P277" s="86">
        <v>5.8972368137100627E-2</v>
      </c>
    </row>
    <row r="278" spans="2:19" x14ac:dyDescent="0.3">
      <c r="B278" s="296" t="s">
        <v>5</v>
      </c>
      <c r="C278" s="13" t="s">
        <v>0</v>
      </c>
      <c r="D278" s="84">
        <v>23.340004305510334</v>
      </c>
      <c r="E278" s="84">
        <v>31.09330274710031</v>
      </c>
      <c r="F278" s="89">
        <v>53.500986141260206</v>
      </c>
      <c r="G278" s="84">
        <v>16.318564399043815</v>
      </c>
      <c r="H278" s="89">
        <v>27.135119454863521</v>
      </c>
      <c r="I278" s="84">
        <v>43.870679639485338</v>
      </c>
      <c r="J278" s="84">
        <v>22.235010431858761</v>
      </c>
      <c r="K278" s="84">
        <v>32.219177921254072</v>
      </c>
      <c r="L278" s="89">
        <v>36.024437484824759</v>
      </c>
      <c r="M278" s="84">
        <v>10.271264275463512</v>
      </c>
      <c r="N278" s="84">
        <v>3.2792991088850107</v>
      </c>
      <c r="O278" s="84">
        <v>0.71215409044997846</v>
      </c>
      <c r="P278" s="84">
        <v>0</v>
      </c>
    </row>
    <row r="279" spans="2:19" x14ac:dyDescent="0.3">
      <c r="B279" s="295"/>
      <c r="C279" s="12" t="s">
        <v>1</v>
      </c>
      <c r="D279" s="90">
        <v>27.313317592507651</v>
      </c>
      <c r="E279" s="90">
        <v>36.700862761677286</v>
      </c>
      <c r="F279" s="90">
        <v>55.026985295146233</v>
      </c>
      <c r="G279" s="90">
        <v>14.015667755481159</v>
      </c>
      <c r="H279" s="90">
        <v>29.572687657664105</v>
      </c>
      <c r="I279" s="90">
        <v>39.167019091799801</v>
      </c>
      <c r="J279" s="90">
        <v>21.493923371502845</v>
      </c>
      <c r="K279" s="90">
        <v>31.378496743548919</v>
      </c>
      <c r="L279" s="90">
        <v>30.762196570718871</v>
      </c>
      <c r="M279" s="90">
        <v>7.1970979647987461</v>
      </c>
      <c r="N279" s="90">
        <v>6.1983710782447057</v>
      </c>
      <c r="O279" s="90">
        <v>1.014193971885349</v>
      </c>
      <c r="P279" s="90">
        <v>0.15918014502411265</v>
      </c>
    </row>
    <row r="280" spans="2:19" x14ac:dyDescent="0.3">
      <c r="B280" s="296" t="s">
        <v>4</v>
      </c>
      <c r="C280" s="9" t="s">
        <v>175</v>
      </c>
      <c r="D280" s="86">
        <v>48.406566735894366</v>
      </c>
      <c r="E280" s="86">
        <v>31.070216213962571</v>
      </c>
      <c r="F280" s="88">
        <v>77.866879278234748</v>
      </c>
      <c r="G280" s="86">
        <v>26.48593801366377</v>
      </c>
      <c r="H280" s="88">
        <v>16.272749467194433</v>
      </c>
      <c r="I280" s="86">
        <v>27.410232578946882</v>
      </c>
      <c r="J280" s="86">
        <v>21.538253382753382</v>
      </c>
      <c r="K280" s="86">
        <v>7.5365182467250271</v>
      </c>
      <c r="L280" s="88">
        <v>30.07194331930258</v>
      </c>
      <c r="M280" s="86">
        <v>7.4738385190826424</v>
      </c>
      <c r="N280" s="86">
        <v>5.8668642442396699</v>
      </c>
      <c r="O280" s="86">
        <v>0</v>
      </c>
      <c r="P280" s="86">
        <v>0</v>
      </c>
    </row>
    <row r="281" spans="2:19" x14ac:dyDescent="0.3">
      <c r="B281" s="292"/>
      <c r="C281" s="9" t="s">
        <v>176</v>
      </c>
      <c r="D281" s="86">
        <v>26.824050805914219</v>
      </c>
      <c r="E281" s="86">
        <v>34.54927045932785</v>
      </c>
      <c r="F281" s="88">
        <v>61.96254073847853</v>
      </c>
      <c r="G281" s="86">
        <v>20.467209892560163</v>
      </c>
      <c r="H281" s="88">
        <v>30.273096887575431</v>
      </c>
      <c r="I281" s="86">
        <v>33.599249380851724</v>
      </c>
      <c r="J281" s="86">
        <v>25.433015874386715</v>
      </c>
      <c r="K281" s="86">
        <v>23.208880819898212</v>
      </c>
      <c r="L281" s="88">
        <v>27.296317002280251</v>
      </c>
      <c r="M281" s="86">
        <v>8.1341030424382019</v>
      </c>
      <c r="N281" s="86">
        <v>6.1526074052077693</v>
      </c>
      <c r="O281" s="86">
        <v>2.0996576910808464</v>
      </c>
      <c r="P281" s="86">
        <v>0</v>
      </c>
    </row>
    <row r="282" spans="2:19" x14ac:dyDescent="0.3">
      <c r="B282" s="292"/>
      <c r="C282" s="9" t="s">
        <v>177</v>
      </c>
      <c r="D282" s="86">
        <v>20.268385565150808</v>
      </c>
      <c r="E282" s="86">
        <v>34.969812842755701</v>
      </c>
      <c r="F282" s="88">
        <v>53.700126598336041</v>
      </c>
      <c r="G282" s="86">
        <v>22.924552512363082</v>
      </c>
      <c r="H282" s="88">
        <v>31.675039445670667</v>
      </c>
      <c r="I282" s="86">
        <v>36.538066115391842</v>
      </c>
      <c r="J282" s="86">
        <v>27.23940024235441</v>
      </c>
      <c r="K282" s="86">
        <v>26.295150387202654</v>
      </c>
      <c r="L282" s="88">
        <v>29.035454980470242</v>
      </c>
      <c r="M282" s="86">
        <v>10.693059195376211</v>
      </c>
      <c r="N282" s="86">
        <v>5.6995553011071003</v>
      </c>
      <c r="O282" s="86">
        <v>0.9613968138210407</v>
      </c>
      <c r="P282" s="86">
        <v>0</v>
      </c>
    </row>
    <row r="283" spans="2:19" x14ac:dyDescent="0.3">
      <c r="B283" s="292"/>
      <c r="C283" s="9" t="s">
        <v>178</v>
      </c>
      <c r="D283" s="86">
        <v>22.964808580075623</v>
      </c>
      <c r="E283" s="86">
        <v>34.342998833770224</v>
      </c>
      <c r="F283" s="88">
        <v>51.399680116089684</v>
      </c>
      <c r="G283" s="86">
        <v>18.1101837699564</v>
      </c>
      <c r="H283" s="88">
        <v>26.79424999404425</v>
      </c>
      <c r="I283" s="86">
        <v>39.783651847479675</v>
      </c>
      <c r="J283" s="86">
        <v>24.568578722877973</v>
      </c>
      <c r="K283" s="86">
        <v>32.076815897121833</v>
      </c>
      <c r="L283" s="88">
        <v>35.284604981898404</v>
      </c>
      <c r="M283" s="86">
        <v>9.8996862442340241</v>
      </c>
      <c r="N283" s="86">
        <v>4.1953067616997597</v>
      </c>
      <c r="O283" s="86">
        <v>0.57943425075246202</v>
      </c>
      <c r="P283" s="86">
        <v>0</v>
      </c>
    </row>
    <row r="284" spans="2:19" x14ac:dyDescent="0.3">
      <c r="B284" s="292"/>
      <c r="C284" s="9" t="s">
        <v>179</v>
      </c>
      <c r="D284" s="86">
        <v>21.109506403081387</v>
      </c>
      <c r="E284" s="86">
        <v>30.821473624869228</v>
      </c>
      <c r="F284" s="88">
        <v>54.557145112722573</v>
      </c>
      <c r="G284" s="86">
        <v>13.010497966145307</v>
      </c>
      <c r="H284" s="88">
        <v>29.791914744100733</v>
      </c>
      <c r="I284" s="86">
        <v>46.190078135192238</v>
      </c>
      <c r="J284" s="86">
        <v>18.462471853998849</v>
      </c>
      <c r="K284" s="86">
        <v>36.066021367406911</v>
      </c>
      <c r="L284" s="88">
        <v>36.190723897471067</v>
      </c>
      <c r="M284" s="86">
        <v>9.6183703977856272</v>
      </c>
      <c r="N284" s="86">
        <v>3.3785507208617243</v>
      </c>
      <c r="O284" s="86">
        <v>0.57838118426556961</v>
      </c>
      <c r="P284" s="86">
        <v>0.22486459209877632</v>
      </c>
    </row>
    <row r="285" spans="2:19" x14ac:dyDescent="0.3">
      <c r="B285" s="298"/>
      <c r="C285" s="12" t="s">
        <v>180</v>
      </c>
      <c r="D285" s="90">
        <v>28.965849592566045</v>
      </c>
      <c r="E285" s="90">
        <v>33.270931676013255</v>
      </c>
      <c r="F285" s="91">
        <v>49.064667126565233</v>
      </c>
      <c r="G285" s="90">
        <v>7.8336074337078623</v>
      </c>
      <c r="H285" s="91">
        <v>25.419443526327285</v>
      </c>
      <c r="I285" s="90">
        <v>48.937130325658053</v>
      </c>
      <c r="J285" s="90">
        <v>18.884279847470228</v>
      </c>
      <c r="K285" s="90">
        <v>37.864668634793517</v>
      </c>
      <c r="L285" s="91">
        <v>37.58922337328876</v>
      </c>
      <c r="M285" s="90">
        <v>7.798547576510682</v>
      </c>
      <c r="N285" s="90">
        <v>3.6994303695943129</v>
      </c>
      <c r="O285" s="90">
        <v>0.6722205175042677</v>
      </c>
      <c r="P285" s="90">
        <v>0</v>
      </c>
    </row>
    <row r="286" spans="2:19" x14ac:dyDescent="0.3">
      <c r="B286" s="292" t="s">
        <v>223</v>
      </c>
      <c r="C286" s="9" t="s">
        <v>210</v>
      </c>
      <c r="D286" s="86">
        <v>49.252333931879157</v>
      </c>
      <c r="E286" s="86">
        <v>31.530322964963393</v>
      </c>
      <c r="F286" s="88">
        <v>72.632146336885867</v>
      </c>
      <c r="G286" s="86">
        <v>34.344614844297006</v>
      </c>
      <c r="H286" s="88">
        <v>25.365119893553263</v>
      </c>
      <c r="I286" s="86">
        <v>26.623173413104684</v>
      </c>
      <c r="J286" s="86">
        <v>24.158066375310664</v>
      </c>
      <c r="K286" s="86">
        <v>5.9591355838039046</v>
      </c>
      <c r="L286" s="88">
        <v>21.698414068222142</v>
      </c>
      <c r="M286" s="86">
        <v>6.5817276959470723</v>
      </c>
      <c r="N286" s="86">
        <v>1.8549448920328386</v>
      </c>
      <c r="O286" s="86">
        <v>0</v>
      </c>
      <c r="P286" s="86">
        <v>0</v>
      </c>
    </row>
    <row r="287" spans="2:19" x14ac:dyDescent="0.3">
      <c r="B287" s="292"/>
      <c r="C287" s="9" t="s">
        <v>211</v>
      </c>
      <c r="D287" s="86">
        <v>27.071132979672647</v>
      </c>
      <c r="E287" s="86">
        <v>35.221497981048934</v>
      </c>
      <c r="F287" s="88">
        <v>58.212756554059155</v>
      </c>
      <c r="G287" s="86">
        <v>20.889937996904639</v>
      </c>
      <c r="H287" s="88">
        <v>27.65523935301561</v>
      </c>
      <c r="I287" s="86">
        <v>35.475302398204434</v>
      </c>
      <c r="J287" s="86">
        <v>24.041246185828903</v>
      </c>
      <c r="K287" s="86">
        <v>22.791700466795525</v>
      </c>
      <c r="L287" s="88">
        <v>26.199680004143787</v>
      </c>
      <c r="M287" s="86">
        <v>11.872022080927263</v>
      </c>
      <c r="N287" s="86">
        <v>6.9634147722240289</v>
      </c>
      <c r="O287" s="86">
        <v>3.6060692271748929</v>
      </c>
      <c r="P287" s="86">
        <v>0</v>
      </c>
    </row>
    <row r="288" spans="2:19" x14ac:dyDescent="0.3">
      <c r="B288" s="292"/>
      <c r="C288" s="9" t="s">
        <v>212</v>
      </c>
      <c r="D288" s="86">
        <v>15.143953007307843</v>
      </c>
      <c r="E288" s="86">
        <v>34.383381626704121</v>
      </c>
      <c r="F288" s="88">
        <v>52.766014271120866</v>
      </c>
      <c r="G288" s="86">
        <v>26.663013719880357</v>
      </c>
      <c r="H288" s="88">
        <v>27.999552110844313</v>
      </c>
      <c r="I288" s="86">
        <v>37.397230695608549</v>
      </c>
      <c r="J288" s="86">
        <v>30.265087033055604</v>
      </c>
      <c r="K288" s="86">
        <v>26.214824905188316</v>
      </c>
      <c r="L288" s="88">
        <v>29.194562035943878</v>
      </c>
      <c r="M288" s="86">
        <v>13.384127893936981</v>
      </c>
      <c r="N288" s="86">
        <v>6.5882527004092344</v>
      </c>
      <c r="O288" s="86">
        <v>0</v>
      </c>
      <c r="P288" s="86">
        <v>0</v>
      </c>
    </row>
    <row r="289" spans="2:16" x14ac:dyDescent="0.3">
      <c r="B289" s="292"/>
      <c r="C289" s="9" t="s">
        <v>213</v>
      </c>
      <c r="D289" s="86">
        <v>23.20585533803747</v>
      </c>
      <c r="E289" s="86">
        <v>33.527748734068027</v>
      </c>
      <c r="F289" s="88">
        <v>54.454560495737617</v>
      </c>
      <c r="G289" s="86">
        <v>18.735211178744329</v>
      </c>
      <c r="H289" s="88">
        <v>27.474538507059055</v>
      </c>
      <c r="I289" s="86">
        <v>37.341914177538087</v>
      </c>
      <c r="J289" s="86">
        <v>23.273801354349676</v>
      </c>
      <c r="K289" s="86">
        <v>30.840443404696671</v>
      </c>
      <c r="L289" s="88">
        <v>38.607028272287863</v>
      </c>
      <c r="M289" s="86">
        <v>9.5387662840772087</v>
      </c>
      <c r="N289" s="86">
        <v>2.5191795864032831</v>
      </c>
      <c r="O289" s="86">
        <v>0.48095266700075873</v>
      </c>
      <c r="P289" s="86">
        <v>0</v>
      </c>
    </row>
    <row r="290" spans="2:16" x14ac:dyDescent="0.3">
      <c r="B290" s="292"/>
      <c r="C290" s="9" t="s">
        <v>214</v>
      </c>
      <c r="D290" s="86">
        <v>19.325412692569127</v>
      </c>
      <c r="E290" s="86">
        <v>29.775286213341435</v>
      </c>
      <c r="F290" s="88">
        <v>54.107296205538212</v>
      </c>
      <c r="G290" s="86">
        <v>13.157487659282824</v>
      </c>
      <c r="H290" s="88">
        <v>29.495041667104754</v>
      </c>
      <c r="I290" s="86">
        <v>48.338736626111057</v>
      </c>
      <c r="J290" s="86">
        <v>18.796807893986241</v>
      </c>
      <c r="K290" s="86">
        <v>36.756824497964608</v>
      </c>
      <c r="L290" s="88">
        <v>37.242905644804992</v>
      </c>
      <c r="M290" s="86">
        <v>11.020022847437433</v>
      </c>
      <c r="N290" s="86">
        <v>1.4329036718717709</v>
      </c>
      <c r="O290" s="86">
        <v>0.55127437998775619</v>
      </c>
      <c r="P290" s="86">
        <v>0</v>
      </c>
    </row>
    <row r="291" spans="2:16" x14ac:dyDescent="0.3">
      <c r="B291" s="292"/>
      <c r="C291" s="12" t="s">
        <v>215</v>
      </c>
      <c r="D291" s="90">
        <v>28.442126474480755</v>
      </c>
      <c r="E291" s="90">
        <v>26.531251998525203</v>
      </c>
      <c r="F291" s="91">
        <v>48.010631015615004</v>
      </c>
      <c r="G291" s="90">
        <v>7.3068985761789591</v>
      </c>
      <c r="H291" s="91">
        <v>23.528583636402974</v>
      </c>
      <c r="I291" s="90">
        <v>54.14015369482744</v>
      </c>
      <c r="J291" s="90">
        <v>19.302305806066371</v>
      </c>
      <c r="K291" s="90">
        <v>39.328718494936041</v>
      </c>
      <c r="L291" s="91">
        <v>42.999373519462289</v>
      </c>
      <c r="M291" s="90">
        <v>7.7484302739983262</v>
      </c>
      <c r="N291" s="90">
        <v>2.4221518758609255</v>
      </c>
      <c r="O291" s="90">
        <v>0.23937463364565531</v>
      </c>
      <c r="P291" s="90">
        <v>0</v>
      </c>
    </row>
    <row r="292" spans="2:16" x14ac:dyDescent="0.3">
      <c r="B292" s="292"/>
      <c r="C292" s="9" t="s">
        <v>216</v>
      </c>
      <c r="D292" s="86">
        <v>47.283853552084622</v>
      </c>
      <c r="E292" s="86">
        <v>30.45944776874402</v>
      </c>
      <c r="F292" s="88">
        <v>84.815722547253102</v>
      </c>
      <c r="G292" s="86">
        <v>16.053941919539223</v>
      </c>
      <c r="H292" s="88">
        <v>4.2030875103143757</v>
      </c>
      <c r="I292" s="86">
        <v>28.455013821497229</v>
      </c>
      <c r="J292" s="86">
        <v>18.060584114160726</v>
      </c>
      <c r="K292" s="86">
        <v>9.6304139664713926</v>
      </c>
      <c r="L292" s="88">
        <v>41.187379966449932</v>
      </c>
      <c r="M292" s="86">
        <v>8.6580705244247635</v>
      </c>
      <c r="N292" s="86">
        <v>11.192484309060665</v>
      </c>
      <c r="O292" s="86">
        <v>0</v>
      </c>
      <c r="P292" s="86">
        <v>0</v>
      </c>
    </row>
    <row r="293" spans="2:16" x14ac:dyDescent="0.3">
      <c r="B293" s="292"/>
      <c r="C293" s="9" t="s">
        <v>217</v>
      </c>
      <c r="D293" s="86">
        <v>26.479664179796114</v>
      </c>
      <c r="E293" s="86">
        <v>33.61231023808741</v>
      </c>
      <c r="F293" s="88">
        <v>67.189042935297763</v>
      </c>
      <c r="G293" s="86">
        <v>19.878005485758884</v>
      </c>
      <c r="H293" s="88">
        <v>33.921903720829356</v>
      </c>
      <c r="I293" s="86">
        <v>30.984380168568915</v>
      </c>
      <c r="J293" s="86">
        <v>27.372884137989256</v>
      </c>
      <c r="K293" s="86">
        <v>23.790352692605119</v>
      </c>
      <c r="L293" s="88">
        <v>28.824825150479505</v>
      </c>
      <c r="M293" s="86">
        <v>2.9241386537221157</v>
      </c>
      <c r="N293" s="86">
        <v>5.0224926368657279</v>
      </c>
      <c r="O293" s="86">
        <v>0</v>
      </c>
      <c r="P293" s="86">
        <v>0</v>
      </c>
    </row>
    <row r="294" spans="2:16" x14ac:dyDescent="0.3">
      <c r="B294" s="292"/>
      <c r="C294" s="9" t="s">
        <v>218</v>
      </c>
      <c r="D294" s="86">
        <v>30.099630781174259</v>
      </c>
      <c r="E294" s="86">
        <v>36.094883574442939</v>
      </c>
      <c r="F294" s="88">
        <v>55.492224990597705</v>
      </c>
      <c r="G294" s="86">
        <v>15.752299107360953</v>
      </c>
      <c r="H294" s="88">
        <v>38.72647721349967</v>
      </c>
      <c r="I294" s="86">
        <v>34.889755288058559</v>
      </c>
      <c r="J294" s="86">
        <v>21.434607526185456</v>
      </c>
      <c r="K294" s="86">
        <v>26.449255159168089</v>
      </c>
      <c r="L294" s="88">
        <v>28.730207431535991</v>
      </c>
      <c r="M294" s="86">
        <v>5.5302326833512154</v>
      </c>
      <c r="N294" s="86">
        <v>3.9945856372934054</v>
      </c>
      <c r="O294" s="86">
        <v>2.8058406073318674</v>
      </c>
      <c r="P294" s="86">
        <v>0</v>
      </c>
    </row>
    <row r="295" spans="2:16" x14ac:dyDescent="0.3">
      <c r="B295" s="292"/>
      <c r="C295" s="9" t="s">
        <v>219</v>
      </c>
      <c r="D295" s="86">
        <v>22.552932279985907</v>
      </c>
      <c r="E295" s="86">
        <v>35.736015680593695</v>
      </c>
      <c r="F295" s="88">
        <v>46.179809753074998</v>
      </c>
      <c r="G295" s="86">
        <v>17.04220020210883</v>
      </c>
      <c r="H295" s="88">
        <v>25.631841845089255</v>
      </c>
      <c r="I295" s="86">
        <v>43.955846013410685</v>
      </c>
      <c r="J295" s="86">
        <v>26.780963226608169</v>
      </c>
      <c r="K295" s="86">
        <v>34.189404060590348</v>
      </c>
      <c r="L295" s="88">
        <v>29.607584374992701</v>
      </c>
      <c r="M295" s="86">
        <v>10.516389738090623</v>
      </c>
      <c r="N295" s="86">
        <v>7.0593032131685467</v>
      </c>
      <c r="O295" s="86">
        <v>0.74770961228641786</v>
      </c>
      <c r="P295" s="86">
        <v>0</v>
      </c>
    </row>
    <row r="296" spans="2:16" x14ac:dyDescent="0.3">
      <c r="B296" s="292"/>
      <c r="C296" s="9" t="s">
        <v>220</v>
      </c>
      <c r="D296" s="86">
        <v>24.611165804971648</v>
      </c>
      <c r="E296" s="86">
        <v>32.874836609184442</v>
      </c>
      <c r="F296" s="88">
        <v>55.440068271966226</v>
      </c>
      <c r="G296" s="86">
        <v>12.721999756705351</v>
      </c>
      <c r="H296" s="88">
        <v>30.374590640050524</v>
      </c>
      <c r="I296" s="86">
        <v>41.972883622457516</v>
      </c>
      <c r="J296" s="86">
        <v>17.806267008415773</v>
      </c>
      <c r="K296" s="86">
        <v>34.7101748315891</v>
      </c>
      <c r="L296" s="88">
        <v>34.125595767519336</v>
      </c>
      <c r="M296" s="86">
        <v>6.8673324620617704</v>
      </c>
      <c r="N296" s="86">
        <v>7.1972925513563126</v>
      </c>
      <c r="O296" s="86">
        <v>0.63158399278135613</v>
      </c>
      <c r="P296" s="86">
        <v>0.66620868094082963</v>
      </c>
    </row>
    <row r="297" spans="2:16" x14ac:dyDescent="0.3">
      <c r="B297" s="295"/>
      <c r="C297" s="9" t="s">
        <v>221</v>
      </c>
      <c r="D297" s="90">
        <v>29.778555049765426</v>
      </c>
      <c r="E297" s="90">
        <v>43.729462652638091</v>
      </c>
      <c r="F297" s="91">
        <v>50.700304107010531</v>
      </c>
      <c r="G297" s="90">
        <v>8.6509461153263238</v>
      </c>
      <c r="H297" s="91">
        <v>28.353650740549341</v>
      </c>
      <c r="I297" s="90">
        <v>40.863158908244891</v>
      </c>
      <c r="J297" s="90">
        <v>18.235593612186126</v>
      </c>
      <c r="K297" s="90">
        <v>35.592778642044017</v>
      </c>
      <c r="L297" s="91">
        <v>29.193835817862094</v>
      </c>
      <c r="M297" s="90">
        <v>7.8763188335841328</v>
      </c>
      <c r="N297" s="90">
        <v>5.681491436547879</v>
      </c>
      <c r="O297" s="90">
        <v>1.3439040842412309</v>
      </c>
      <c r="P297" s="90">
        <v>0</v>
      </c>
    </row>
    <row r="298" spans="2:16" ht="16.5" customHeight="1" x14ac:dyDescent="0.3">
      <c r="B298" s="291" t="s">
        <v>222</v>
      </c>
      <c r="C298" s="13" t="s">
        <v>226</v>
      </c>
      <c r="D298" s="80">
        <v>28.560191930189443</v>
      </c>
      <c r="E298" s="80">
        <v>32.952046195580266</v>
      </c>
      <c r="F298" s="80">
        <v>54.623747666788582</v>
      </c>
      <c r="G298" s="80">
        <v>15.595587763675237</v>
      </c>
      <c r="H298" s="80">
        <v>28.075658687687049</v>
      </c>
      <c r="I298" s="80">
        <v>37.430447226665194</v>
      </c>
      <c r="J298" s="80">
        <v>19.315482805733353</v>
      </c>
      <c r="K298" s="80">
        <v>26.41831989194074</v>
      </c>
      <c r="L298" s="80">
        <v>42.124501380019005</v>
      </c>
      <c r="M298" s="80">
        <v>8.0637617866102467</v>
      </c>
      <c r="N298" s="80">
        <v>5.5331946234491589</v>
      </c>
      <c r="O298" s="80">
        <v>1.0104308003806148</v>
      </c>
      <c r="P298" s="80">
        <v>0.29662924128118151</v>
      </c>
    </row>
    <row r="299" spans="2:16" x14ac:dyDescent="0.3">
      <c r="B299" s="294"/>
      <c r="C299" s="9" t="s">
        <v>227</v>
      </c>
      <c r="D299" s="79">
        <v>25.429950485049872</v>
      </c>
      <c r="E299" s="79">
        <v>33.675033483602448</v>
      </c>
      <c r="F299" s="79">
        <v>52.496597224406813</v>
      </c>
      <c r="G299" s="79">
        <v>17.744204857192447</v>
      </c>
      <c r="H299" s="79">
        <v>30.260475937910464</v>
      </c>
      <c r="I299" s="79">
        <v>42.800884325757224</v>
      </c>
      <c r="J299" s="79">
        <v>20.612156997445577</v>
      </c>
      <c r="K299" s="79">
        <v>30.161445156003026</v>
      </c>
      <c r="L299" s="79">
        <v>33.681690270019928</v>
      </c>
      <c r="M299" s="79">
        <v>8.2175173692964929</v>
      </c>
      <c r="N299" s="79">
        <v>3.9107799947828128</v>
      </c>
      <c r="O299" s="79">
        <v>1.0092638985328746</v>
      </c>
      <c r="P299" s="79">
        <v>0</v>
      </c>
    </row>
    <row r="300" spans="2:16" x14ac:dyDescent="0.3">
      <c r="B300" s="292"/>
      <c r="C300" s="9" t="s">
        <v>228</v>
      </c>
      <c r="D300" s="79">
        <v>22.680276625007888</v>
      </c>
      <c r="E300" s="79">
        <v>33.592605334687427</v>
      </c>
      <c r="F300" s="79">
        <v>52.670324092192345</v>
      </c>
      <c r="G300" s="79">
        <v>14.845345782787723</v>
      </c>
      <c r="H300" s="79">
        <v>26.788762461131029</v>
      </c>
      <c r="I300" s="79">
        <v>45.346339147047445</v>
      </c>
      <c r="J300" s="79">
        <v>24.837816136863118</v>
      </c>
      <c r="K300" s="79">
        <v>33.6640074795272</v>
      </c>
      <c r="L300" s="79">
        <v>31.300958665978335</v>
      </c>
      <c r="M300" s="79">
        <v>9.5129521635370118</v>
      </c>
      <c r="N300" s="79">
        <v>4.3554246430209265</v>
      </c>
      <c r="O300" s="79">
        <v>0.40518746821978907</v>
      </c>
      <c r="P300" s="79">
        <v>0</v>
      </c>
    </row>
    <row r="301" spans="2:16" x14ac:dyDescent="0.3">
      <c r="B301" s="295"/>
      <c r="C301" s="12" t="s">
        <v>229</v>
      </c>
      <c r="D301" s="81">
        <v>23.213065464054093</v>
      </c>
      <c r="E301" s="81">
        <v>32.467849871224644</v>
      </c>
      <c r="F301" s="81">
        <v>56.406075052903191</v>
      </c>
      <c r="G301" s="81">
        <v>13.487528927464462</v>
      </c>
      <c r="H301" s="81">
        <v>26.678242010262803</v>
      </c>
      <c r="I301" s="81">
        <v>42.195805360512388</v>
      </c>
      <c r="J301" s="81">
        <v>22.961010923149647</v>
      </c>
      <c r="K301" s="81">
        <v>36.197793232539091</v>
      </c>
      <c r="L301" s="81">
        <v>31.016299113187941</v>
      </c>
      <c r="M301" s="81">
        <v>10.535847316324467</v>
      </c>
      <c r="N301" s="81">
        <v>4.0112300459077179</v>
      </c>
      <c r="O301" s="81">
        <v>0.82925268246968509</v>
      </c>
      <c r="P301" s="81">
        <v>0</v>
      </c>
    </row>
    <row r="302" spans="2:16" x14ac:dyDescent="0.3">
      <c r="B302" s="296" t="s">
        <v>199</v>
      </c>
      <c r="C302" s="13" t="s">
        <v>192</v>
      </c>
      <c r="D302" s="80">
        <v>23.727407960136382</v>
      </c>
      <c r="E302" s="80">
        <v>35.18535172810742</v>
      </c>
      <c r="F302" s="80">
        <v>54.057536324579189</v>
      </c>
      <c r="G302" s="80">
        <v>17.258261188679661</v>
      </c>
      <c r="H302" s="80">
        <v>28.234547088202351</v>
      </c>
      <c r="I302" s="80">
        <v>43.396481825725871</v>
      </c>
      <c r="J302" s="80">
        <v>23.712723342652161</v>
      </c>
      <c r="K302" s="80">
        <v>29.89015910120737</v>
      </c>
      <c r="L302" s="80">
        <v>30.770166742843063</v>
      </c>
      <c r="M302" s="80">
        <v>8.5078638350155646</v>
      </c>
      <c r="N302" s="80">
        <v>4.2931352297894856</v>
      </c>
      <c r="O302" s="80">
        <v>0.85859852765852229</v>
      </c>
      <c r="P302" s="80">
        <v>0.10776710540246137</v>
      </c>
    </row>
    <row r="303" spans="2:16" ht="16.5" customHeight="1" x14ac:dyDescent="0.3">
      <c r="B303" s="292"/>
      <c r="C303" s="9" t="s">
        <v>200</v>
      </c>
      <c r="D303" s="79">
        <v>31.974727038396868</v>
      </c>
      <c r="E303" s="79">
        <v>23.855193498218028</v>
      </c>
      <c r="F303" s="79">
        <v>51.102320528724775</v>
      </c>
      <c r="G303" s="79">
        <v>15.707232220777176</v>
      </c>
      <c r="H303" s="79">
        <v>31.444309043114405</v>
      </c>
      <c r="I303" s="79">
        <v>44.988901345773833</v>
      </c>
      <c r="J303" s="79">
        <v>19.205838324464722</v>
      </c>
      <c r="K303" s="79">
        <v>32.817891357233172</v>
      </c>
      <c r="L303" s="79">
        <v>35.911172826863918</v>
      </c>
      <c r="M303" s="79">
        <v>8.4577018266013315</v>
      </c>
      <c r="N303" s="79">
        <v>3.4807764601284119</v>
      </c>
      <c r="O303" s="79">
        <v>1.053935529703431</v>
      </c>
      <c r="P303" s="79">
        <v>0</v>
      </c>
    </row>
    <row r="304" spans="2:16" ht="16.5" customHeight="1" x14ac:dyDescent="0.3">
      <c r="B304" s="292"/>
      <c r="C304" s="9" t="s">
        <v>201</v>
      </c>
      <c r="D304" s="79">
        <v>26.288743485354406</v>
      </c>
      <c r="E304" s="79">
        <v>29.330511085788608</v>
      </c>
      <c r="F304" s="79">
        <v>56.715840617506039</v>
      </c>
      <c r="G304" s="79">
        <v>13.491700109261902</v>
      </c>
      <c r="H304" s="79">
        <v>26.507992747432873</v>
      </c>
      <c r="I304" s="79">
        <v>41.963476428906013</v>
      </c>
      <c r="J304" s="79">
        <v>17.017516541867611</v>
      </c>
      <c r="K304" s="79">
        <v>30.822727109660892</v>
      </c>
      <c r="L304" s="79">
        <v>37.705128308422168</v>
      </c>
      <c r="M304" s="79">
        <v>14.421504491741279</v>
      </c>
      <c r="N304" s="79">
        <v>5.0118453796443676</v>
      </c>
      <c r="O304" s="79">
        <v>0.72301369441409202</v>
      </c>
      <c r="P304" s="79">
        <v>0</v>
      </c>
    </row>
    <row r="305" spans="2:16" x14ac:dyDescent="0.3">
      <c r="B305" s="292"/>
      <c r="C305" s="9" t="s">
        <v>202</v>
      </c>
      <c r="D305" s="79">
        <v>26.531807770044587</v>
      </c>
      <c r="E305" s="79">
        <v>31.001732984819121</v>
      </c>
      <c r="F305" s="79">
        <v>50.935792668381616</v>
      </c>
      <c r="G305" s="79">
        <v>13.637621161383267</v>
      </c>
      <c r="H305" s="79">
        <v>31.578538490688569</v>
      </c>
      <c r="I305" s="79">
        <v>39.319984469830899</v>
      </c>
      <c r="J305" s="79">
        <v>24.405060561646387</v>
      </c>
      <c r="K305" s="79">
        <v>36.398614172619673</v>
      </c>
      <c r="L305" s="79">
        <v>33.381925152175604</v>
      </c>
      <c r="M305" s="79">
        <v>8.538700458140223</v>
      </c>
      <c r="N305" s="79">
        <v>3.5456083471502233</v>
      </c>
      <c r="O305" s="79">
        <v>0.72461376311983194</v>
      </c>
      <c r="P305" s="79">
        <v>0</v>
      </c>
    </row>
    <row r="306" spans="2:16" x14ac:dyDescent="0.3">
      <c r="B306" s="295"/>
      <c r="C306" s="12" t="s">
        <v>203</v>
      </c>
      <c r="D306" s="81">
        <v>24.835411332520842</v>
      </c>
      <c r="E306" s="81">
        <v>32.516181657820468</v>
      </c>
      <c r="F306" s="81">
        <v>54.70670682165656</v>
      </c>
      <c r="G306" s="81">
        <v>12.627629461453182</v>
      </c>
      <c r="H306" s="81">
        <v>26.086368252307405</v>
      </c>
      <c r="I306" s="81">
        <v>39.728324442066473</v>
      </c>
      <c r="J306" s="81">
        <v>19.282582825231582</v>
      </c>
      <c r="K306" s="81">
        <v>35.442375396548293</v>
      </c>
      <c r="L306" s="81">
        <v>40.775146418649378</v>
      </c>
      <c r="M306" s="81">
        <v>8.4735908582453927</v>
      </c>
      <c r="N306" s="81">
        <v>4.7343179388543204</v>
      </c>
      <c r="O306" s="81">
        <v>0.79136459464585385</v>
      </c>
      <c r="P306" s="81">
        <v>0</v>
      </c>
    </row>
    <row r="307" spans="2:16" x14ac:dyDescent="0.3">
      <c r="B307" s="291" t="s">
        <v>204</v>
      </c>
      <c r="C307" s="13" t="s">
        <v>192</v>
      </c>
      <c r="D307" s="80">
        <v>23.727407960136382</v>
      </c>
      <c r="E307" s="80">
        <v>35.18535172810742</v>
      </c>
      <c r="F307" s="80">
        <v>54.057536324579189</v>
      </c>
      <c r="G307" s="80">
        <v>17.258261188679661</v>
      </c>
      <c r="H307" s="80">
        <v>28.234547088202351</v>
      </c>
      <c r="I307" s="80">
        <v>43.396481825725871</v>
      </c>
      <c r="J307" s="80">
        <v>23.712723342652161</v>
      </c>
      <c r="K307" s="80">
        <v>29.89015910120737</v>
      </c>
      <c r="L307" s="80">
        <v>30.770166742843063</v>
      </c>
      <c r="M307" s="80">
        <v>8.5078638350155646</v>
      </c>
      <c r="N307" s="80">
        <v>4.2931352297894856</v>
      </c>
      <c r="O307" s="80">
        <v>0.85859852765852229</v>
      </c>
      <c r="P307" s="80">
        <v>0.10776710540246137</v>
      </c>
    </row>
    <row r="308" spans="2:16" x14ac:dyDescent="0.3">
      <c r="B308" s="295"/>
      <c r="C308" s="12" t="s">
        <v>193</v>
      </c>
      <c r="D308" s="81">
        <v>26.122861272785752</v>
      </c>
      <c r="E308" s="81">
        <v>30.73597962529675</v>
      </c>
      <c r="F308" s="81">
        <v>54.076961561688243</v>
      </c>
      <c r="G308" s="81">
        <v>13.298576874036039</v>
      </c>
      <c r="H308" s="81">
        <v>27.80085263532203</v>
      </c>
      <c r="I308" s="81">
        <v>40.595131791520856</v>
      </c>
      <c r="J308" s="81">
        <v>19.84269923286935</v>
      </c>
      <c r="K308" s="81">
        <v>34.346118047662657</v>
      </c>
      <c r="L308" s="81">
        <v>38.068947993684546</v>
      </c>
      <c r="M308" s="81">
        <v>9.8871150044013429</v>
      </c>
      <c r="N308" s="81">
        <v>4.4424550882107221</v>
      </c>
      <c r="O308" s="81">
        <v>0.78230087252144176</v>
      </c>
      <c r="P308" s="81">
        <v>0</v>
      </c>
    </row>
    <row r="309" spans="2:16" x14ac:dyDescent="0.3">
      <c r="B309" s="291" t="s">
        <v>209</v>
      </c>
      <c r="C309" s="13" t="s">
        <v>205</v>
      </c>
      <c r="D309" s="80">
        <v>23.734634827633691</v>
      </c>
      <c r="E309" s="80">
        <v>29.774000298790433</v>
      </c>
      <c r="F309" s="80">
        <v>55.457502846086626</v>
      </c>
      <c r="G309" s="80">
        <v>14.528307758520203</v>
      </c>
      <c r="H309" s="80">
        <v>29.056114083773011</v>
      </c>
      <c r="I309" s="80">
        <v>44.003508837926766</v>
      </c>
      <c r="J309" s="80">
        <v>21.594506781721229</v>
      </c>
      <c r="K309" s="80">
        <v>31.590600625629207</v>
      </c>
      <c r="L309" s="80">
        <v>34.337834105460516</v>
      </c>
      <c r="M309" s="80">
        <v>6.6136756326954815</v>
      </c>
      <c r="N309" s="80">
        <v>8.2734682246596769</v>
      </c>
      <c r="O309" s="80">
        <v>1.0358459771032971</v>
      </c>
      <c r="P309" s="80">
        <v>0</v>
      </c>
    </row>
    <row r="310" spans="2:16" x14ac:dyDescent="0.3">
      <c r="B310" s="292"/>
      <c r="C310" s="9" t="s">
        <v>206</v>
      </c>
      <c r="D310" s="79">
        <v>26.711474809880592</v>
      </c>
      <c r="E310" s="79">
        <v>32.236076962106743</v>
      </c>
      <c r="F310" s="79">
        <v>52.625027068573374</v>
      </c>
      <c r="G310" s="79">
        <v>13.39263362009728</v>
      </c>
      <c r="H310" s="79">
        <v>27.371671784570097</v>
      </c>
      <c r="I310" s="79">
        <v>46.47567324360903</v>
      </c>
      <c r="J310" s="79">
        <v>19.299253064710769</v>
      </c>
      <c r="K310" s="79">
        <v>31.56706245551878</v>
      </c>
      <c r="L310" s="79">
        <v>38.311683426547674</v>
      </c>
      <c r="M310" s="79">
        <v>7.9478762834078243</v>
      </c>
      <c r="N310" s="79">
        <v>2.8983717746763662</v>
      </c>
      <c r="O310" s="79">
        <v>1.1631955063018125</v>
      </c>
      <c r="P310" s="79">
        <v>0</v>
      </c>
    </row>
    <row r="311" spans="2:16" x14ac:dyDescent="0.3">
      <c r="B311" s="292"/>
      <c r="C311" s="9" t="s">
        <v>207</v>
      </c>
      <c r="D311" s="79">
        <v>22.212751924088991</v>
      </c>
      <c r="E311" s="79">
        <v>35.490390477993586</v>
      </c>
      <c r="F311" s="79">
        <v>54.148752090989404</v>
      </c>
      <c r="G311" s="79">
        <v>15.429443796573397</v>
      </c>
      <c r="H311" s="79">
        <v>25.039584992925619</v>
      </c>
      <c r="I311" s="79">
        <v>41.775949510657782</v>
      </c>
      <c r="J311" s="79">
        <v>22.144011423398325</v>
      </c>
      <c r="K311" s="79">
        <v>34.081106565721505</v>
      </c>
      <c r="L311" s="79">
        <v>33.190790580033379</v>
      </c>
      <c r="M311" s="79">
        <v>12.12172646245679</v>
      </c>
      <c r="N311" s="79">
        <v>3.5024575134206426</v>
      </c>
      <c r="O311" s="79">
        <v>0.67465979193975056</v>
      </c>
      <c r="P311" s="79">
        <v>0.18837486980085161</v>
      </c>
    </row>
    <row r="312" spans="2:16" x14ac:dyDescent="0.3">
      <c r="B312" s="293"/>
      <c r="C312" s="25" t="s">
        <v>208</v>
      </c>
      <c r="D312" s="82">
        <v>26.510076681352306</v>
      </c>
      <c r="E312" s="82">
        <v>33.016398856644223</v>
      </c>
      <c r="F312" s="82">
        <v>54.277894443765149</v>
      </c>
      <c r="G312" s="82">
        <v>17.137946479591186</v>
      </c>
      <c r="H312" s="82">
        <v>30.774653227655545</v>
      </c>
      <c r="I312" s="82">
        <v>39.051070636517608</v>
      </c>
      <c r="J312" s="82">
        <v>23.546991211545198</v>
      </c>
      <c r="K312" s="82">
        <v>30.244870191706823</v>
      </c>
      <c r="L312" s="82">
        <v>32.227249439278232</v>
      </c>
      <c r="M312" s="82">
        <v>8.1455232891380565</v>
      </c>
      <c r="N312" s="82">
        <v>4.3984202249827229</v>
      </c>
      <c r="O312" s="82">
        <v>0.66890531782346418</v>
      </c>
      <c r="P312" s="82">
        <v>0</v>
      </c>
    </row>
    <row r="313" spans="2:16" x14ac:dyDescent="0.3">
      <c r="B313" s="60"/>
      <c r="C313" s="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</row>
    <row r="314" spans="2:16" x14ac:dyDescent="0.3">
      <c r="B314" s="60"/>
      <c r="C314" s="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</row>
    <row r="315" spans="2:16" x14ac:dyDescent="0.3">
      <c r="B315" s="42"/>
      <c r="C315" s="308"/>
      <c r="D315" s="308"/>
      <c r="E315" s="308"/>
      <c r="F315" s="308"/>
      <c r="G315" s="308"/>
      <c r="H315" s="308"/>
      <c r="I315" s="308"/>
      <c r="J315" s="308"/>
      <c r="K315" s="308"/>
      <c r="L315" s="308"/>
      <c r="M315" s="308"/>
      <c r="N315" s="308"/>
    </row>
    <row r="316" spans="2:16" x14ac:dyDescent="0.3">
      <c r="B316" s="42"/>
      <c r="C316" s="42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</row>
    <row r="317" spans="2:16" x14ac:dyDescent="0.3">
      <c r="B317" s="40"/>
      <c r="C317" s="9"/>
      <c r="D317" s="83"/>
      <c r="E317" s="83"/>
      <c r="F317" s="83"/>
      <c r="G317" s="9"/>
      <c r="H317" s="56"/>
      <c r="I317" s="56"/>
      <c r="J317" s="56"/>
      <c r="K317" s="9"/>
      <c r="L317" s="56"/>
      <c r="M317" s="56"/>
      <c r="N317" s="56"/>
    </row>
    <row r="318" spans="2:16" x14ac:dyDescent="0.3">
      <c r="B318" s="40"/>
      <c r="C318" s="9"/>
      <c r="D318" s="83"/>
      <c r="E318" s="83"/>
      <c r="F318" s="83"/>
      <c r="G318" s="9"/>
      <c r="H318" s="56"/>
      <c r="I318" s="56"/>
      <c r="J318" s="56"/>
      <c r="K318" s="9"/>
      <c r="L318" s="56"/>
      <c r="M318" s="56"/>
      <c r="N318" s="56"/>
    </row>
    <row r="319" spans="2:16" x14ac:dyDescent="0.3">
      <c r="B319" s="40"/>
      <c r="C319" s="9"/>
      <c r="D319" s="83"/>
      <c r="E319" s="83"/>
      <c r="F319" s="83"/>
      <c r="G319" s="9"/>
      <c r="H319" s="56"/>
      <c r="I319" s="56"/>
      <c r="J319" s="56"/>
      <c r="K319" s="9"/>
      <c r="L319" s="56"/>
      <c r="M319" s="56"/>
      <c r="N319" s="56"/>
    </row>
    <row r="320" spans="2:16" x14ac:dyDescent="0.3">
      <c r="B320" s="40"/>
      <c r="C320" s="9"/>
      <c r="D320" s="83"/>
      <c r="E320" s="83"/>
      <c r="F320" s="83"/>
      <c r="G320" s="9"/>
      <c r="H320" s="56"/>
      <c r="I320" s="56"/>
      <c r="J320" s="56"/>
      <c r="K320" s="9"/>
      <c r="L320" s="56"/>
      <c r="M320" s="56"/>
      <c r="N320" s="56"/>
    </row>
    <row r="321" spans="2:14" x14ac:dyDescent="0.3">
      <c r="B321" s="40"/>
      <c r="C321" s="9"/>
      <c r="D321" s="83"/>
      <c r="E321" s="83"/>
      <c r="F321" s="83"/>
      <c r="G321" s="9"/>
      <c r="H321" s="56"/>
      <c r="I321" s="56"/>
      <c r="J321" s="56"/>
      <c r="K321" s="9"/>
      <c r="L321" s="56"/>
      <c r="M321" s="56"/>
      <c r="N321" s="56"/>
    </row>
    <row r="322" spans="2:14" x14ac:dyDescent="0.3">
      <c r="B322" s="40"/>
      <c r="C322" s="9"/>
      <c r="D322" s="83"/>
      <c r="E322" s="83"/>
      <c r="F322" s="83"/>
      <c r="G322" s="9"/>
      <c r="H322" s="56"/>
      <c r="I322" s="56"/>
      <c r="J322" s="56"/>
      <c r="K322" s="9"/>
      <c r="L322" s="56"/>
      <c r="M322" s="56"/>
      <c r="N322" s="56"/>
    </row>
    <row r="323" spans="2:14" x14ac:dyDescent="0.3">
      <c r="B323" s="40"/>
      <c r="C323" s="9"/>
      <c r="D323" s="83"/>
      <c r="E323" s="83"/>
      <c r="F323" s="83"/>
      <c r="G323" s="9"/>
      <c r="H323" s="56"/>
      <c r="I323" s="56"/>
      <c r="J323" s="56"/>
      <c r="K323" s="9"/>
      <c r="L323" s="56"/>
      <c r="M323" s="56"/>
      <c r="N323" s="56"/>
    </row>
    <row r="324" spans="2:14" x14ac:dyDescent="0.3">
      <c r="B324" s="40"/>
      <c r="C324" s="9"/>
      <c r="D324" s="83"/>
      <c r="E324" s="83"/>
      <c r="F324" s="83"/>
      <c r="G324" s="9"/>
      <c r="H324" s="56"/>
      <c r="I324" s="56"/>
      <c r="J324" s="56"/>
      <c r="K324" s="9"/>
      <c r="L324" s="56"/>
      <c r="M324" s="56"/>
      <c r="N324" s="56"/>
    </row>
    <row r="325" spans="2:14" x14ac:dyDescent="0.3">
      <c r="B325" s="40"/>
      <c r="C325" s="9"/>
      <c r="D325" s="83"/>
      <c r="E325" s="83"/>
      <c r="F325" s="83"/>
      <c r="G325" s="9"/>
      <c r="H325" s="56"/>
      <c r="I325" s="56"/>
      <c r="J325" s="56"/>
      <c r="K325" s="9"/>
      <c r="L325" s="56"/>
      <c r="M325" s="56"/>
      <c r="N325" s="56"/>
    </row>
    <row r="326" spans="2:14" x14ac:dyDescent="0.3">
      <c r="B326" s="40"/>
      <c r="C326" s="9"/>
      <c r="D326" s="83"/>
      <c r="E326" s="83"/>
      <c r="F326" s="83"/>
      <c r="G326" s="9"/>
      <c r="H326" s="56"/>
      <c r="I326" s="56"/>
      <c r="J326" s="56"/>
      <c r="K326" s="9"/>
      <c r="L326" s="56"/>
      <c r="M326" s="56"/>
      <c r="N326" s="56"/>
    </row>
    <row r="327" spans="2:14" x14ac:dyDescent="0.3">
      <c r="B327" s="40"/>
      <c r="C327" s="9"/>
      <c r="D327" s="83"/>
      <c r="E327" s="83"/>
      <c r="F327" s="83"/>
      <c r="G327" s="9"/>
      <c r="H327" s="56"/>
      <c r="I327" s="56"/>
      <c r="J327" s="56"/>
      <c r="K327" s="9"/>
      <c r="L327" s="56"/>
      <c r="M327" s="56"/>
      <c r="N327" s="56"/>
    </row>
    <row r="328" spans="2:14" x14ac:dyDescent="0.3">
      <c r="B328" s="40"/>
      <c r="C328" s="9"/>
      <c r="D328" s="83"/>
      <c r="E328" s="83"/>
      <c r="F328" s="83"/>
      <c r="G328" s="9"/>
      <c r="H328" s="56"/>
      <c r="I328" s="56"/>
      <c r="J328" s="56"/>
      <c r="K328" s="9"/>
      <c r="L328" s="56"/>
      <c r="M328" s="56"/>
      <c r="N328" s="56"/>
    </row>
    <row r="329" spans="2:14" x14ac:dyDescent="0.3">
      <c r="B329" s="40"/>
      <c r="C329" s="9"/>
      <c r="D329" s="83"/>
      <c r="E329" s="83"/>
      <c r="F329" s="83"/>
      <c r="G329" s="9"/>
      <c r="H329" s="56"/>
      <c r="I329" s="56"/>
      <c r="J329" s="56"/>
      <c r="K329" s="9"/>
      <c r="L329" s="56"/>
      <c r="M329" s="56"/>
      <c r="N329" s="56"/>
    </row>
    <row r="330" spans="2:14" x14ac:dyDescent="0.3">
      <c r="B330" s="40"/>
      <c r="C330" s="9"/>
      <c r="D330" s="83"/>
      <c r="E330" s="83"/>
      <c r="F330" s="83"/>
      <c r="G330" s="9"/>
      <c r="H330" s="56"/>
      <c r="I330" s="56"/>
      <c r="J330" s="56"/>
      <c r="K330" s="9"/>
      <c r="L330" s="56"/>
      <c r="M330" s="56"/>
      <c r="N330" s="56"/>
    </row>
    <row r="331" spans="2:14" x14ac:dyDescent="0.3">
      <c r="B331" s="40"/>
      <c r="C331" s="9"/>
      <c r="D331" s="83"/>
      <c r="E331" s="83"/>
      <c r="F331" s="83"/>
      <c r="G331" s="9"/>
      <c r="H331" s="56"/>
      <c r="I331" s="56"/>
      <c r="J331" s="56"/>
      <c r="K331" s="9"/>
      <c r="L331" s="56"/>
      <c r="M331" s="56"/>
      <c r="N331" s="56"/>
    </row>
    <row r="332" spans="2:14" x14ac:dyDescent="0.3">
      <c r="B332" s="40"/>
      <c r="C332" s="9"/>
      <c r="D332" s="83"/>
      <c r="E332" s="83"/>
      <c r="F332" s="83"/>
      <c r="G332" s="9"/>
      <c r="H332" s="56"/>
      <c r="I332" s="56"/>
      <c r="J332" s="56"/>
      <c r="K332" s="9"/>
      <c r="L332" s="56"/>
      <c r="M332" s="56"/>
      <c r="N332" s="56"/>
    </row>
    <row r="333" spans="2:14" x14ac:dyDescent="0.3">
      <c r="B333" s="40"/>
      <c r="C333" s="9"/>
      <c r="D333" s="83"/>
      <c r="E333" s="83"/>
      <c r="F333" s="83"/>
      <c r="G333" s="9"/>
      <c r="H333" s="56"/>
      <c r="I333" s="56"/>
      <c r="J333" s="56"/>
      <c r="K333" s="9"/>
      <c r="L333" s="56"/>
      <c r="M333" s="56"/>
      <c r="N333" s="56"/>
    </row>
    <row r="334" spans="2:14" x14ac:dyDescent="0.3">
      <c r="B334" s="40"/>
      <c r="C334" s="9"/>
      <c r="D334" s="83"/>
      <c r="E334" s="83"/>
      <c r="F334" s="83"/>
      <c r="G334" s="9"/>
      <c r="H334" s="56"/>
      <c r="I334" s="56"/>
      <c r="J334" s="56"/>
      <c r="K334" s="9"/>
      <c r="L334" s="56"/>
      <c r="M334" s="56"/>
      <c r="N334" s="56"/>
    </row>
    <row r="335" spans="2:14" x14ac:dyDescent="0.3">
      <c r="B335" s="40"/>
      <c r="C335" s="9"/>
      <c r="D335" s="83"/>
      <c r="E335" s="83"/>
      <c r="F335" s="83"/>
      <c r="G335" s="9"/>
      <c r="H335" s="56"/>
      <c r="I335" s="56"/>
      <c r="J335" s="56"/>
      <c r="K335" s="9"/>
      <c r="L335" s="56"/>
      <c r="M335" s="56"/>
      <c r="N335" s="56"/>
    </row>
    <row r="336" spans="2:14" x14ac:dyDescent="0.3">
      <c r="B336" s="40"/>
      <c r="C336" s="9"/>
      <c r="D336" s="83"/>
      <c r="E336" s="83"/>
      <c r="F336" s="83"/>
      <c r="G336" s="9"/>
      <c r="H336" s="56"/>
      <c r="I336" s="56"/>
      <c r="J336" s="56"/>
      <c r="K336" s="9"/>
      <c r="L336" s="56"/>
      <c r="M336" s="56"/>
      <c r="N336" s="56"/>
    </row>
    <row r="337" spans="2:14" x14ac:dyDescent="0.3">
      <c r="B337" s="40"/>
      <c r="C337" s="9"/>
      <c r="D337" s="83"/>
      <c r="E337" s="83"/>
      <c r="F337" s="83"/>
      <c r="G337" s="9"/>
      <c r="H337" s="56"/>
      <c r="I337" s="56"/>
      <c r="J337" s="56"/>
      <c r="K337" s="9"/>
      <c r="L337" s="56"/>
      <c r="M337" s="56"/>
      <c r="N337" s="56"/>
    </row>
    <row r="338" spans="2:14" x14ac:dyDescent="0.3">
      <c r="B338" s="40"/>
      <c r="C338" s="9"/>
      <c r="D338" s="83"/>
      <c r="E338" s="83"/>
      <c r="F338" s="83"/>
      <c r="G338" s="9"/>
      <c r="H338" s="56"/>
      <c r="I338" s="56"/>
      <c r="J338" s="56"/>
      <c r="K338" s="9"/>
      <c r="L338" s="56"/>
      <c r="M338" s="56"/>
      <c r="N338" s="56"/>
    </row>
    <row r="339" spans="2:14" x14ac:dyDescent="0.3">
      <c r="B339" s="40"/>
      <c r="C339" s="9"/>
      <c r="D339" s="83"/>
      <c r="E339" s="83"/>
      <c r="F339" s="83"/>
      <c r="G339" s="9"/>
      <c r="H339" s="56"/>
      <c r="I339" s="56"/>
      <c r="J339" s="56"/>
      <c r="K339" s="9"/>
      <c r="L339" s="56"/>
      <c r="M339" s="56"/>
      <c r="N339" s="56"/>
    </row>
    <row r="340" spans="2:14" x14ac:dyDescent="0.3">
      <c r="B340" s="40"/>
      <c r="C340" s="9"/>
      <c r="D340" s="83"/>
      <c r="E340" s="83"/>
      <c r="F340" s="83"/>
      <c r="G340" s="9"/>
      <c r="H340" s="56"/>
      <c r="I340" s="56"/>
      <c r="J340" s="56"/>
      <c r="K340" s="9"/>
      <c r="L340" s="56"/>
      <c r="M340" s="56"/>
      <c r="N340" s="56"/>
    </row>
    <row r="341" spans="2:14" x14ac:dyDescent="0.3">
      <c r="B341" s="40"/>
      <c r="C341" s="9"/>
      <c r="D341" s="83"/>
      <c r="E341" s="83"/>
      <c r="F341" s="83"/>
      <c r="G341" s="9"/>
      <c r="H341" s="56"/>
      <c r="I341" s="56"/>
      <c r="J341" s="56"/>
      <c r="K341" s="9"/>
      <c r="L341" s="56"/>
      <c r="M341" s="56"/>
      <c r="N341" s="56"/>
    </row>
    <row r="342" spans="2:14" x14ac:dyDescent="0.3">
      <c r="B342" s="40"/>
      <c r="C342" s="9"/>
      <c r="D342" s="83"/>
      <c r="E342" s="83"/>
      <c r="F342" s="83"/>
      <c r="G342" s="9"/>
      <c r="H342" s="56"/>
      <c r="I342" s="56"/>
      <c r="J342" s="56"/>
      <c r="K342" s="9"/>
      <c r="L342" s="56"/>
      <c r="M342" s="56"/>
      <c r="N342" s="56"/>
    </row>
    <row r="343" spans="2:14" x14ac:dyDescent="0.3">
      <c r="B343" s="40"/>
      <c r="C343" s="9"/>
      <c r="D343" s="83"/>
      <c r="E343" s="83"/>
      <c r="F343" s="83"/>
      <c r="G343" s="9"/>
      <c r="H343" s="56"/>
      <c r="I343" s="56"/>
      <c r="J343" s="56"/>
      <c r="K343" s="9"/>
      <c r="L343" s="56"/>
      <c r="M343" s="56"/>
      <c r="N343" s="56"/>
    </row>
    <row r="344" spans="2:14" x14ac:dyDescent="0.3">
      <c r="B344" s="40"/>
      <c r="C344" s="9"/>
      <c r="D344" s="83"/>
      <c r="E344" s="83"/>
      <c r="F344" s="83"/>
      <c r="G344" s="9"/>
      <c r="H344" s="56"/>
      <c r="I344" s="56"/>
      <c r="J344" s="56"/>
      <c r="K344" s="9"/>
      <c r="L344" s="56"/>
      <c r="M344" s="56"/>
      <c r="N344" s="56"/>
    </row>
    <row r="345" spans="2:14" x14ac:dyDescent="0.3">
      <c r="B345" s="40"/>
      <c r="C345" s="9"/>
      <c r="D345" s="83"/>
      <c r="E345" s="83"/>
      <c r="F345" s="83"/>
      <c r="G345" s="9"/>
      <c r="H345" s="56"/>
      <c r="I345" s="56"/>
      <c r="J345" s="56"/>
      <c r="K345" s="9"/>
      <c r="L345" s="56"/>
      <c r="M345" s="56"/>
      <c r="N345" s="56"/>
    </row>
    <row r="346" spans="2:14" x14ac:dyDescent="0.3">
      <c r="B346" s="40"/>
      <c r="C346" s="9"/>
      <c r="D346" s="83"/>
      <c r="E346" s="83"/>
      <c r="F346" s="83"/>
      <c r="G346" s="9"/>
      <c r="H346" s="56"/>
      <c r="I346" s="56"/>
      <c r="J346" s="56"/>
      <c r="K346" s="9"/>
      <c r="L346" s="56"/>
      <c r="M346" s="56"/>
      <c r="N346" s="56"/>
    </row>
  </sheetData>
  <mergeCells count="76">
    <mergeCell ref="B261:B265"/>
    <mergeCell ref="B266:B267"/>
    <mergeCell ref="B268:B271"/>
    <mergeCell ref="E233:S233"/>
    <mergeCell ref="B235:C235"/>
    <mergeCell ref="B236:C236"/>
    <mergeCell ref="B237:B238"/>
    <mergeCell ref="B239:B244"/>
    <mergeCell ref="F191:U191"/>
    <mergeCell ref="B193:C194"/>
    <mergeCell ref="D193:J193"/>
    <mergeCell ref="K193:P193"/>
    <mergeCell ref="B195:C195"/>
    <mergeCell ref="C315:F315"/>
    <mergeCell ref="G315:J315"/>
    <mergeCell ref="K315:N315"/>
    <mergeCell ref="B298:B301"/>
    <mergeCell ref="B302:B306"/>
    <mergeCell ref="B307:B308"/>
    <mergeCell ref="B309:B312"/>
    <mergeCell ref="E274:S274"/>
    <mergeCell ref="B276:C276"/>
    <mergeCell ref="B277:C277"/>
    <mergeCell ref="B278:B279"/>
    <mergeCell ref="B280:B285"/>
    <mergeCell ref="B286:B297"/>
    <mergeCell ref="B156:B161"/>
    <mergeCell ref="B162:B173"/>
    <mergeCell ref="B174:B177"/>
    <mergeCell ref="B178:B182"/>
    <mergeCell ref="B183:B184"/>
    <mergeCell ref="B185:B188"/>
    <mergeCell ref="B196:B197"/>
    <mergeCell ref="B198:B203"/>
    <mergeCell ref="B204:B215"/>
    <mergeCell ref="B216:B219"/>
    <mergeCell ref="B220:B224"/>
    <mergeCell ref="B225:B226"/>
    <mergeCell ref="B227:B230"/>
    <mergeCell ref="B245:B256"/>
    <mergeCell ref="B257:B260"/>
    <mergeCell ref="F149:U149"/>
    <mergeCell ref="B151:C152"/>
    <mergeCell ref="D151:J151"/>
    <mergeCell ref="K151:P151"/>
    <mergeCell ref="B153:C153"/>
    <mergeCell ref="B154:B155"/>
    <mergeCell ref="B114:B119"/>
    <mergeCell ref="B120:B131"/>
    <mergeCell ref="B132:B135"/>
    <mergeCell ref="B136:B140"/>
    <mergeCell ref="B141:B142"/>
    <mergeCell ref="B143:B146"/>
    <mergeCell ref="F67:AY67"/>
    <mergeCell ref="B112:B113"/>
    <mergeCell ref="B70:C70"/>
    <mergeCell ref="B71:B72"/>
    <mergeCell ref="B73:B78"/>
    <mergeCell ref="B79:B90"/>
    <mergeCell ref="B91:B94"/>
    <mergeCell ref="B95:B99"/>
    <mergeCell ref="B100:B101"/>
    <mergeCell ref="B102:B105"/>
    <mergeCell ref="F108:AY108"/>
    <mergeCell ref="B110:C110"/>
    <mergeCell ref="B111:C111"/>
    <mergeCell ref="B69:C69"/>
    <mergeCell ref="B50:B53"/>
    <mergeCell ref="B54:B58"/>
    <mergeCell ref="B59:B60"/>
    <mergeCell ref="B61:B64"/>
    <mergeCell ref="B28:C28"/>
    <mergeCell ref="B29:C29"/>
    <mergeCell ref="B30:B31"/>
    <mergeCell ref="B32:B37"/>
    <mergeCell ref="B38:B49"/>
  </mergeCells>
  <phoneticPr fontId="2" type="noConversion"/>
  <pageMargins left="0.70866141732283472" right="0.70866141732283472" top="1.1417322834645669" bottom="0.39370078740157483" header="0.31496062992125984" footer="0.31496062992125984"/>
  <pageSetup paperSize="9" orientation="portrait" r:id="rId1"/>
  <headerFooter>
    <oddHeader>&amp;L&amp;P&amp;RKorea Fashion Index  2017상반기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7D9E-EF72-4F15-B16C-D0ECD8D3550F}">
  <sheetPr codeName="Sheet19"/>
  <dimension ref="B2:AY336"/>
  <sheetViews>
    <sheetView showGridLines="0" topLeftCell="A306" zoomScaleNormal="100" workbookViewId="0">
      <selection activeCell="B4" sqref="B4:N4"/>
    </sheetView>
  </sheetViews>
  <sheetFormatPr defaultColWidth="9" defaultRowHeight="16.5" x14ac:dyDescent="0.3"/>
  <cols>
    <col min="1" max="1" width="3.625" style="1" customWidth="1"/>
    <col min="2" max="2" width="14.375" style="1" customWidth="1"/>
    <col min="3" max="3" width="13.125" style="1" customWidth="1"/>
    <col min="4" max="16" width="12.25" style="1" customWidth="1"/>
    <col min="17" max="20" width="10.375" style="1" customWidth="1"/>
    <col min="21" max="16384" width="9" style="1"/>
  </cols>
  <sheetData>
    <row r="2" spans="2:9" ht="17.25" x14ac:dyDescent="0.3">
      <c r="B2" s="33" t="s">
        <v>101</v>
      </c>
    </row>
    <row r="4" spans="2:9" ht="14.25" customHeight="1" x14ac:dyDescent="0.3">
      <c r="B4" s="1" t="s">
        <v>524</v>
      </c>
    </row>
    <row r="5" spans="2:9" ht="7.5" customHeight="1" x14ac:dyDescent="0.3"/>
    <row r="6" spans="2:9" x14ac:dyDescent="0.3">
      <c r="B6" s="216"/>
      <c r="C6" s="217" t="s">
        <v>21</v>
      </c>
      <c r="D6" s="218" t="s">
        <v>133</v>
      </c>
      <c r="E6" s="219" t="s">
        <v>13</v>
      </c>
      <c r="F6" s="220" t="s">
        <v>20</v>
      </c>
    </row>
    <row r="7" spans="2:9" x14ac:dyDescent="0.3">
      <c r="B7" s="221"/>
      <c r="C7" s="222"/>
      <c r="D7" s="223" t="s">
        <v>134</v>
      </c>
      <c r="E7" s="224" t="s">
        <v>55</v>
      </c>
      <c r="F7" s="225" t="s">
        <v>525</v>
      </c>
    </row>
    <row r="8" spans="2:9" x14ac:dyDescent="0.3">
      <c r="B8" s="221"/>
      <c r="C8" s="215" t="s">
        <v>24</v>
      </c>
      <c r="D8" s="223" t="s">
        <v>25</v>
      </c>
      <c r="E8" s="224" t="s">
        <v>26</v>
      </c>
      <c r="F8" s="225" t="s">
        <v>517</v>
      </c>
    </row>
    <row r="9" spans="2:9" ht="24" customHeight="1" x14ac:dyDescent="0.3">
      <c r="B9" s="35" t="str">
        <f>RIGHT(B2,LEN(B2)-3)&amp;" 전체"</f>
        <v>이너웨어 전체</v>
      </c>
      <c r="C9" s="36"/>
      <c r="D9" s="37"/>
      <c r="E9" s="37"/>
      <c r="F9" s="190">
        <f>SUM(F10:F15)</f>
        <v>20440.410521592959</v>
      </c>
    </row>
    <row r="10" spans="2:9" x14ac:dyDescent="0.3">
      <c r="B10" s="34" t="s">
        <v>71</v>
      </c>
      <c r="C10" s="117">
        <v>22.824300065369577</v>
      </c>
      <c r="D10" s="101">
        <v>2.4327511560864892</v>
      </c>
      <c r="E10" s="97">
        <v>34889.286242970637</v>
      </c>
      <c r="F10" s="191">
        <v>2611.1224684303675</v>
      </c>
    </row>
    <row r="11" spans="2:9" x14ac:dyDescent="0.3">
      <c r="B11" s="34" t="s">
        <v>234</v>
      </c>
      <c r="C11" s="118">
        <v>64.703775916371868</v>
      </c>
      <c r="D11" s="102">
        <v>3.3984186192181709</v>
      </c>
      <c r="E11" s="98">
        <v>42217.931533351242</v>
      </c>
      <c r="F11" s="191">
        <v>8957.0348818582479</v>
      </c>
    </row>
    <row r="12" spans="2:9" x14ac:dyDescent="0.3">
      <c r="B12" s="34" t="s">
        <v>72</v>
      </c>
      <c r="C12" s="117">
        <v>22.148810139066299</v>
      </c>
      <c r="D12" s="101">
        <v>1.5558030105743699</v>
      </c>
      <c r="E12" s="97">
        <v>46018.054817867313</v>
      </c>
      <c r="F12" s="191">
        <v>3342.0761887872313</v>
      </c>
    </row>
    <row r="13" spans="2:9" x14ac:dyDescent="0.3">
      <c r="B13" s="34" t="s">
        <v>73</v>
      </c>
      <c r="C13" s="117">
        <v>19.87200842375778</v>
      </c>
      <c r="D13" s="101">
        <v>1.4042905778323287</v>
      </c>
      <c r="E13" s="97">
        <v>43452.588029355407</v>
      </c>
      <c r="F13" s="191">
        <v>2831.3600464925994</v>
      </c>
    </row>
    <row r="14" spans="2:9" x14ac:dyDescent="0.3">
      <c r="B14" s="10" t="s">
        <v>292</v>
      </c>
      <c r="C14" s="117">
        <v>17.519088307886506</v>
      </c>
      <c r="D14" s="101">
        <v>1.4460071325181056</v>
      </c>
      <c r="E14" s="97">
        <v>42964.021706006781</v>
      </c>
      <c r="F14" s="191">
        <v>2468.0509323230385</v>
      </c>
    </row>
    <row r="15" spans="2:9" x14ac:dyDescent="0.3">
      <c r="B15" s="111" t="s">
        <v>12</v>
      </c>
      <c r="C15" s="121">
        <v>1.1928398405941918</v>
      </c>
      <c r="D15" s="104">
        <v>2.8412229074191315</v>
      </c>
      <c r="E15" s="100">
        <v>58999.999020613905</v>
      </c>
      <c r="F15" s="193">
        <v>230.76600370147716</v>
      </c>
      <c r="H15" s="3"/>
      <c r="I15" s="3"/>
    </row>
    <row r="16" spans="2:9" x14ac:dyDescent="0.3">
      <c r="B16" s="9"/>
      <c r="C16" s="9"/>
      <c r="D16" s="9"/>
      <c r="E16" s="9"/>
      <c r="F16" s="9"/>
      <c r="G16" s="9"/>
      <c r="H16" s="9"/>
    </row>
    <row r="17" spans="2:17" x14ac:dyDescent="0.3">
      <c r="B17" s="9"/>
      <c r="C17" s="9"/>
      <c r="D17" s="9"/>
      <c r="E17" s="9"/>
      <c r="F17" s="9"/>
      <c r="G17" s="9"/>
      <c r="H17" s="9"/>
    </row>
    <row r="18" spans="2:17" ht="18.75" customHeight="1" x14ac:dyDescent="0.3">
      <c r="B18" s="1" t="s">
        <v>132</v>
      </c>
    </row>
    <row r="19" spans="2:17" ht="13.5" customHeight="1" x14ac:dyDescent="0.3">
      <c r="I19" s="30" t="s">
        <v>157</v>
      </c>
      <c r="N19" s="30"/>
      <c r="O19" s="30"/>
      <c r="Q19" s="30"/>
    </row>
    <row r="20" spans="2:17" ht="28.5" customHeight="1" x14ac:dyDescent="0.3">
      <c r="B20" s="305"/>
      <c r="C20" s="306"/>
      <c r="D20" s="226" t="s">
        <v>71</v>
      </c>
      <c r="E20" s="226" t="s">
        <v>235</v>
      </c>
      <c r="F20" s="226" t="s">
        <v>290</v>
      </c>
      <c r="G20" s="226" t="s">
        <v>291</v>
      </c>
      <c r="H20" s="226" t="s">
        <v>293</v>
      </c>
      <c r="I20" s="226" t="s">
        <v>12</v>
      </c>
      <c r="J20" s="106"/>
      <c r="K20" s="106"/>
      <c r="L20" s="106"/>
      <c r="M20" s="106"/>
      <c r="N20" s="107"/>
      <c r="O20" s="107"/>
      <c r="P20" s="107"/>
      <c r="Q20" s="107"/>
    </row>
    <row r="21" spans="2:17" x14ac:dyDescent="0.3">
      <c r="B21" s="292" t="s">
        <v>20</v>
      </c>
      <c r="C21" s="292"/>
      <c r="D21" s="79">
        <v>22.824300065369577</v>
      </c>
      <c r="E21" s="79">
        <v>64.703775916371868</v>
      </c>
      <c r="F21" s="122">
        <v>22.148810139066299</v>
      </c>
      <c r="G21" s="122">
        <v>19.87200842375778</v>
      </c>
      <c r="H21" s="79">
        <v>17.519088307886506</v>
      </c>
      <c r="I21" s="122">
        <v>1.1928398405941918</v>
      </c>
      <c r="J21" s="46"/>
      <c r="K21" s="46"/>
      <c r="L21" s="46"/>
      <c r="M21" s="105"/>
      <c r="N21" s="46"/>
      <c r="O21" s="46"/>
      <c r="P21" s="46"/>
      <c r="Q21" s="46"/>
    </row>
    <row r="22" spans="2:17" x14ac:dyDescent="0.3">
      <c r="B22" s="296" t="s">
        <v>5</v>
      </c>
      <c r="C22" s="13" t="s">
        <v>0</v>
      </c>
      <c r="D22" s="80">
        <v>29.666936842431202</v>
      </c>
      <c r="E22" s="80">
        <v>63.791010281357373</v>
      </c>
      <c r="F22" s="123">
        <v>26.715747989999755</v>
      </c>
      <c r="G22" s="123">
        <v>15.653717941952069</v>
      </c>
      <c r="H22" s="80">
        <v>13.673875170957889</v>
      </c>
      <c r="I22" s="123">
        <v>0.62822908346349515</v>
      </c>
      <c r="J22" s="46"/>
      <c r="K22" s="46"/>
      <c r="L22" s="46"/>
      <c r="M22" s="105"/>
      <c r="N22" s="46"/>
      <c r="O22" s="46"/>
      <c r="P22" s="46"/>
      <c r="Q22" s="46"/>
    </row>
    <row r="23" spans="2:17" x14ac:dyDescent="0.3">
      <c r="B23" s="295"/>
      <c r="C23" s="12" t="s">
        <v>1</v>
      </c>
      <c r="D23" s="81">
        <v>18.959902770533329</v>
      </c>
      <c r="E23" s="81">
        <v>65.219262733178951</v>
      </c>
      <c r="F23" s="81">
        <v>19.569619857332484</v>
      </c>
      <c r="G23" s="81">
        <v>22.254299177721585</v>
      </c>
      <c r="H23" s="81">
        <v>19.690682640385745</v>
      </c>
      <c r="I23" s="81">
        <v>1.5117052653681331</v>
      </c>
      <c r="J23" s="46"/>
      <c r="K23" s="46"/>
      <c r="L23" s="46"/>
      <c r="M23" s="46"/>
      <c r="N23" s="46"/>
      <c r="O23" s="46"/>
      <c r="P23" s="46"/>
      <c r="Q23" s="46"/>
    </row>
    <row r="24" spans="2:17" x14ac:dyDescent="0.3">
      <c r="B24" s="296" t="s">
        <v>4</v>
      </c>
      <c r="C24" s="9" t="s">
        <v>175</v>
      </c>
      <c r="D24" s="79">
        <v>22.713898800102292</v>
      </c>
      <c r="E24" s="79">
        <v>54.249364398796061</v>
      </c>
      <c r="F24" s="122">
        <v>17.334557057081593</v>
      </c>
      <c r="G24" s="122">
        <v>25.03539721910229</v>
      </c>
      <c r="H24" s="79">
        <v>12.802615108295779</v>
      </c>
      <c r="I24" s="122">
        <v>1.6449117366619688</v>
      </c>
      <c r="J24" s="46"/>
      <c r="K24" s="46"/>
      <c r="L24" s="46"/>
      <c r="M24" s="105"/>
      <c r="N24" s="46"/>
      <c r="O24" s="46"/>
      <c r="P24" s="46"/>
      <c r="Q24" s="46"/>
    </row>
    <row r="25" spans="2:17" x14ac:dyDescent="0.3">
      <c r="B25" s="292"/>
      <c r="C25" s="9" t="s">
        <v>176</v>
      </c>
      <c r="D25" s="79">
        <v>24.399979287184923</v>
      </c>
      <c r="E25" s="79">
        <v>56.776486014932303</v>
      </c>
      <c r="F25" s="122">
        <v>28.317925940027806</v>
      </c>
      <c r="G25" s="122">
        <v>31.829055947080999</v>
      </c>
      <c r="H25" s="79">
        <v>18.512092461190559</v>
      </c>
      <c r="I25" s="122">
        <v>0.39808809073126605</v>
      </c>
      <c r="J25" s="46"/>
      <c r="K25" s="46"/>
      <c r="L25" s="46"/>
      <c r="M25" s="105"/>
      <c r="N25" s="46"/>
      <c r="O25" s="46"/>
      <c r="P25" s="46"/>
      <c r="Q25" s="46"/>
    </row>
    <row r="26" spans="2:17" x14ac:dyDescent="0.3">
      <c r="B26" s="292"/>
      <c r="C26" s="9" t="s">
        <v>177</v>
      </c>
      <c r="D26" s="79">
        <v>21.666882351129395</v>
      </c>
      <c r="E26" s="79">
        <v>68.154808220096413</v>
      </c>
      <c r="F26" s="122">
        <v>22.793454830664889</v>
      </c>
      <c r="G26" s="122">
        <v>28.237467961823199</v>
      </c>
      <c r="H26" s="79">
        <v>14.199816908951055</v>
      </c>
      <c r="I26" s="122">
        <v>1.728213928988924</v>
      </c>
      <c r="J26" s="46"/>
      <c r="K26" s="46"/>
      <c r="L26" s="46"/>
      <c r="M26" s="105"/>
      <c r="N26" s="46"/>
      <c r="O26" s="46"/>
      <c r="P26" s="46"/>
      <c r="Q26" s="46"/>
    </row>
    <row r="27" spans="2:17" x14ac:dyDescent="0.3">
      <c r="B27" s="292"/>
      <c r="C27" s="9" t="s">
        <v>178</v>
      </c>
      <c r="D27" s="79">
        <v>21.709817846589349</v>
      </c>
      <c r="E27" s="79">
        <v>69.787062039491914</v>
      </c>
      <c r="F27" s="122">
        <v>21.975655237318797</v>
      </c>
      <c r="G27" s="122">
        <v>19.733799276735798</v>
      </c>
      <c r="H27" s="79">
        <v>19.361455064941929</v>
      </c>
      <c r="I27" s="122">
        <v>0.34198822305951432</v>
      </c>
      <c r="J27" s="46"/>
      <c r="K27" s="46"/>
      <c r="L27" s="46"/>
      <c r="M27" s="105"/>
      <c r="N27" s="46"/>
      <c r="O27" s="46"/>
      <c r="P27" s="46"/>
      <c r="Q27" s="46"/>
    </row>
    <row r="28" spans="2:17" x14ac:dyDescent="0.3">
      <c r="B28" s="292"/>
      <c r="C28" s="9" t="s">
        <v>179</v>
      </c>
      <c r="D28" s="79">
        <v>22.451761705860147</v>
      </c>
      <c r="E28" s="79">
        <v>63.787806422094938</v>
      </c>
      <c r="F28" s="122">
        <v>21.594205553245089</v>
      </c>
      <c r="G28" s="122">
        <v>13.665683186118654</v>
      </c>
      <c r="H28" s="79">
        <v>17.454018016502957</v>
      </c>
      <c r="I28" s="122">
        <v>1.1592664489107896</v>
      </c>
      <c r="J28" s="46"/>
      <c r="K28" s="46"/>
      <c r="L28" s="46"/>
      <c r="M28" s="105"/>
      <c r="N28" s="46"/>
      <c r="O28" s="46"/>
      <c r="P28" s="46"/>
      <c r="Q28" s="46"/>
    </row>
    <row r="29" spans="2:17" x14ac:dyDescent="0.3">
      <c r="B29" s="298"/>
      <c r="C29" s="12" t="s">
        <v>180</v>
      </c>
      <c r="D29" s="81">
        <v>24.668195125182528</v>
      </c>
      <c r="E29" s="81">
        <v>63.742887015574354</v>
      </c>
      <c r="F29" s="124">
        <v>18.408379180470455</v>
      </c>
      <c r="G29" s="124">
        <v>9.5541117252719125</v>
      </c>
      <c r="H29" s="81">
        <v>18.675210246689574</v>
      </c>
      <c r="I29" s="124">
        <v>2.2770110843573539</v>
      </c>
      <c r="J29" s="46"/>
      <c r="K29" s="46"/>
      <c r="L29" s="46"/>
      <c r="M29" s="105"/>
      <c r="N29" s="46"/>
      <c r="O29" s="46"/>
      <c r="P29" s="46"/>
      <c r="Q29" s="46"/>
    </row>
    <row r="30" spans="2:17" x14ac:dyDescent="0.3">
      <c r="B30" s="292" t="s">
        <v>223</v>
      </c>
      <c r="C30" s="9" t="s">
        <v>210</v>
      </c>
      <c r="D30" s="79">
        <v>29.775493945465186</v>
      </c>
      <c r="E30" s="79">
        <v>68.546479216976508</v>
      </c>
      <c r="F30" s="122">
        <v>16.682783053857747</v>
      </c>
      <c r="G30" s="122">
        <v>20.159787125409924</v>
      </c>
      <c r="H30" s="79">
        <v>0</v>
      </c>
      <c r="I30" s="122">
        <v>4.5426326714885539</v>
      </c>
      <c r="J30" s="46"/>
      <c r="K30" s="46"/>
      <c r="L30" s="46"/>
      <c r="M30" s="105"/>
      <c r="N30" s="46"/>
      <c r="O30" s="46"/>
      <c r="P30" s="46"/>
      <c r="Q30" s="46"/>
    </row>
    <row r="31" spans="2:17" x14ac:dyDescent="0.3">
      <c r="B31" s="292"/>
      <c r="C31" s="9" t="s">
        <v>211</v>
      </c>
      <c r="D31" s="79">
        <v>29.050717531081631</v>
      </c>
      <c r="E31" s="79">
        <v>50.233665562040528</v>
      </c>
      <c r="F31" s="122">
        <v>38.53238411381178</v>
      </c>
      <c r="G31" s="122">
        <v>25.580305743485432</v>
      </c>
      <c r="H31" s="79">
        <v>18.425649305046633</v>
      </c>
      <c r="I31" s="122">
        <v>0</v>
      </c>
      <c r="J31" s="46"/>
      <c r="K31" s="46"/>
      <c r="L31" s="46"/>
      <c r="M31" s="105"/>
      <c r="N31" s="46"/>
      <c r="O31" s="46"/>
      <c r="P31" s="46"/>
      <c r="Q31" s="46"/>
    </row>
    <row r="32" spans="2:17" x14ac:dyDescent="0.3">
      <c r="B32" s="292"/>
      <c r="C32" s="9" t="s">
        <v>212</v>
      </c>
      <c r="D32" s="79">
        <v>31.157375970470529</v>
      </c>
      <c r="E32" s="79">
        <v>62.490200687571061</v>
      </c>
      <c r="F32" s="122">
        <v>26.558281711038873</v>
      </c>
      <c r="G32" s="122">
        <v>21.841961088609992</v>
      </c>
      <c r="H32" s="79">
        <v>11.410894624177176</v>
      </c>
      <c r="I32" s="122">
        <v>1.0908775932260779</v>
      </c>
      <c r="J32" s="46"/>
      <c r="K32" s="46"/>
      <c r="L32" s="46"/>
      <c r="M32" s="105"/>
      <c r="N32" s="46"/>
      <c r="O32" s="46"/>
      <c r="P32" s="46"/>
      <c r="Q32" s="46"/>
    </row>
    <row r="33" spans="2:17" x14ac:dyDescent="0.3">
      <c r="B33" s="292"/>
      <c r="C33" s="9" t="s">
        <v>213</v>
      </c>
      <c r="D33" s="79">
        <v>27.245351225330843</v>
      </c>
      <c r="E33" s="79">
        <v>72.394610121363939</v>
      </c>
      <c r="F33" s="122">
        <v>25.167011556036989</v>
      </c>
      <c r="G33" s="122">
        <v>18.580399953716778</v>
      </c>
      <c r="H33" s="79">
        <v>17.068922141745254</v>
      </c>
      <c r="I33" s="122">
        <v>0</v>
      </c>
      <c r="J33" s="46"/>
      <c r="K33" s="46"/>
      <c r="L33" s="46"/>
      <c r="M33" s="105"/>
      <c r="N33" s="46"/>
      <c r="O33" s="46"/>
      <c r="P33" s="46"/>
      <c r="Q33" s="46"/>
    </row>
    <row r="34" spans="2:17" x14ac:dyDescent="0.3">
      <c r="B34" s="292"/>
      <c r="C34" s="9" t="s">
        <v>214</v>
      </c>
      <c r="D34" s="79">
        <v>27.410082405876899</v>
      </c>
      <c r="E34" s="79">
        <v>67.60251702335151</v>
      </c>
      <c r="F34" s="122">
        <v>24.723990544778907</v>
      </c>
      <c r="G34" s="122">
        <v>6.2011697491808393</v>
      </c>
      <c r="H34" s="79">
        <v>11.256338283587249</v>
      </c>
      <c r="I34" s="122">
        <v>0</v>
      </c>
      <c r="J34" s="46"/>
      <c r="K34" s="46"/>
      <c r="L34" s="46"/>
      <c r="M34" s="105"/>
      <c r="N34" s="46"/>
      <c r="O34" s="46"/>
      <c r="P34" s="46"/>
      <c r="Q34" s="46"/>
    </row>
    <row r="35" spans="2:17" x14ac:dyDescent="0.3">
      <c r="B35" s="292"/>
      <c r="C35" s="12" t="s">
        <v>215</v>
      </c>
      <c r="D35" s="81">
        <v>34.482828913689069</v>
      </c>
      <c r="E35" s="81">
        <v>60.89544568545243</v>
      </c>
      <c r="F35" s="124">
        <v>22.755376051073309</v>
      </c>
      <c r="G35" s="124">
        <v>8.5486551061369855</v>
      </c>
      <c r="H35" s="81">
        <v>13.798611376155806</v>
      </c>
      <c r="I35" s="124">
        <v>1.6327939370812383</v>
      </c>
      <c r="J35" s="46"/>
      <c r="K35" s="46"/>
      <c r="L35" s="46"/>
      <c r="M35" s="105"/>
      <c r="N35" s="46"/>
      <c r="O35" s="46"/>
      <c r="P35" s="46"/>
      <c r="Q35" s="46"/>
    </row>
    <row r="36" spans="2:17" x14ac:dyDescent="0.3">
      <c r="B36" s="292"/>
      <c r="C36" s="9" t="s">
        <v>216</v>
      </c>
      <c r="D36" s="79">
        <v>18.705334485106324</v>
      </c>
      <c r="E36" s="79">
        <v>46.133506283481644</v>
      </c>
      <c r="F36" s="122">
        <v>17.704541169308811</v>
      </c>
      <c r="G36" s="122">
        <v>27.803071693933003</v>
      </c>
      <c r="H36" s="79">
        <v>20.070109917233221</v>
      </c>
      <c r="I36" s="122">
        <v>0</v>
      </c>
      <c r="J36" s="46"/>
      <c r="K36" s="46"/>
      <c r="L36" s="46"/>
      <c r="M36" s="105"/>
      <c r="N36" s="46"/>
      <c r="O36" s="46"/>
      <c r="P36" s="46"/>
      <c r="Q36" s="46"/>
    </row>
    <row r="37" spans="2:17" x14ac:dyDescent="0.3">
      <c r="B37" s="292"/>
      <c r="C37" s="9" t="s">
        <v>217</v>
      </c>
      <c r="D37" s="79">
        <v>21.465580345385366</v>
      </c>
      <c r="E37" s="79">
        <v>60.904700592165263</v>
      </c>
      <c r="F37" s="122">
        <v>21.873079190043072</v>
      </c>
      <c r="G37" s="122">
        <v>35.77172591115896</v>
      </c>
      <c r="H37" s="79">
        <v>18.566634061386466</v>
      </c>
      <c r="I37" s="122">
        <v>0.64926311089453093</v>
      </c>
      <c r="J37" s="46"/>
      <c r="K37" s="46"/>
      <c r="L37" s="46"/>
      <c r="M37" s="105"/>
      <c r="N37" s="46"/>
      <c r="O37" s="46"/>
      <c r="P37" s="46"/>
      <c r="Q37" s="46"/>
    </row>
    <row r="38" spans="2:17" x14ac:dyDescent="0.3">
      <c r="B38" s="292"/>
      <c r="C38" s="9" t="s">
        <v>218</v>
      </c>
      <c r="D38" s="79">
        <v>15.387151020018131</v>
      </c>
      <c r="E38" s="79">
        <v>71.903002447628481</v>
      </c>
      <c r="F38" s="122">
        <v>20.302319778562477</v>
      </c>
      <c r="G38" s="122">
        <v>32.469288402459142</v>
      </c>
      <c r="H38" s="79">
        <v>16.045209082866648</v>
      </c>
      <c r="I38" s="122">
        <v>2.1499307665608858</v>
      </c>
      <c r="J38" s="46"/>
      <c r="K38" s="46"/>
      <c r="L38" s="46"/>
      <c r="M38" s="105"/>
      <c r="N38" s="46"/>
      <c r="O38" s="46"/>
      <c r="P38" s="46"/>
      <c r="Q38" s="46"/>
    </row>
    <row r="39" spans="2:17" x14ac:dyDescent="0.3">
      <c r="B39" s="292"/>
      <c r="C39" s="9" t="s">
        <v>219</v>
      </c>
      <c r="D39" s="79">
        <v>19.032743011836732</v>
      </c>
      <c r="E39" s="79">
        <v>68.526008971472521</v>
      </c>
      <c r="F39" s="122">
        <v>20.432262919899181</v>
      </c>
      <c r="G39" s="122">
        <v>20.291602128026014</v>
      </c>
      <c r="H39" s="79">
        <v>20.470161629714926</v>
      </c>
      <c r="I39" s="122">
        <v>0.50737934313663302</v>
      </c>
      <c r="J39" s="46"/>
      <c r="K39" s="46"/>
      <c r="L39" s="46"/>
      <c r="M39" s="105"/>
      <c r="N39" s="46"/>
      <c r="O39" s="46"/>
      <c r="P39" s="46"/>
      <c r="Q39" s="46"/>
    </row>
    <row r="40" spans="2:17" x14ac:dyDescent="0.3">
      <c r="B40" s="292"/>
      <c r="C40" s="9" t="s">
        <v>220</v>
      </c>
      <c r="D40" s="79">
        <v>19.55288435867773</v>
      </c>
      <c r="E40" s="79">
        <v>61.557539600507042</v>
      </c>
      <c r="F40" s="122">
        <v>19.764379819407804</v>
      </c>
      <c r="G40" s="122">
        <v>18.029803665458498</v>
      </c>
      <c r="H40" s="79">
        <v>21.077485409965472</v>
      </c>
      <c r="I40" s="122">
        <v>1.8370304443063958</v>
      </c>
      <c r="J40" s="46"/>
      <c r="K40" s="46"/>
      <c r="L40" s="46"/>
      <c r="M40" s="105"/>
      <c r="N40" s="46"/>
      <c r="O40" s="46"/>
      <c r="P40" s="46"/>
      <c r="Q40" s="46"/>
    </row>
    <row r="41" spans="2:17" x14ac:dyDescent="0.3">
      <c r="B41" s="295"/>
      <c r="C41" s="9" t="s">
        <v>221</v>
      </c>
      <c r="D41" s="81">
        <v>19.715673820810263</v>
      </c>
      <c r="E41" s="81">
        <v>65.179722475181251</v>
      </c>
      <c r="F41" s="124">
        <v>16.214859271769306</v>
      </c>
      <c r="G41" s="124">
        <v>10.061470984332564</v>
      </c>
      <c r="H41" s="81">
        <v>21.135970405410927</v>
      </c>
      <c r="I41" s="124">
        <v>2.6020868044788004</v>
      </c>
      <c r="J41" s="46"/>
      <c r="K41" s="46"/>
      <c r="L41" s="46"/>
      <c r="M41" s="105"/>
      <c r="N41" s="46"/>
      <c r="O41" s="46"/>
      <c r="P41" s="46"/>
      <c r="Q41" s="46"/>
    </row>
    <row r="42" spans="2:17" ht="16.5" customHeight="1" x14ac:dyDescent="0.3">
      <c r="B42" s="291" t="s">
        <v>222</v>
      </c>
      <c r="C42" s="13" t="s">
        <v>226</v>
      </c>
      <c r="D42" s="80">
        <v>21.985496556920982</v>
      </c>
      <c r="E42" s="80">
        <v>63.068308614968814</v>
      </c>
      <c r="F42" s="80">
        <v>21.331646675347198</v>
      </c>
      <c r="G42" s="80">
        <v>19.258741817288115</v>
      </c>
      <c r="H42" s="80">
        <v>16.630615906531993</v>
      </c>
      <c r="I42" s="80">
        <v>1.4309167451115541</v>
      </c>
      <c r="J42" s="46"/>
      <c r="K42" s="46"/>
      <c r="L42" s="46"/>
      <c r="M42" s="46"/>
      <c r="N42" s="46"/>
      <c r="O42" s="46"/>
      <c r="P42" s="46"/>
      <c r="Q42" s="46"/>
    </row>
    <row r="43" spans="2:17" x14ac:dyDescent="0.3">
      <c r="B43" s="294"/>
      <c r="C43" s="9" t="s">
        <v>227</v>
      </c>
      <c r="D43" s="79">
        <v>21.854175526757007</v>
      </c>
      <c r="E43" s="79">
        <v>63.935266376644464</v>
      </c>
      <c r="F43" s="79">
        <v>22.446974443721441</v>
      </c>
      <c r="G43" s="79">
        <v>18.649446149179109</v>
      </c>
      <c r="H43" s="79">
        <v>18.365807200299731</v>
      </c>
      <c r="I43" s="79">
        <v>1.6630784352199426</v>
      </c>
      <c r="J43" s="46"/>
      <c r="K43" s="46"/>
      <c r="L43" s="46"/>
      <c r="M43" s="46"/>
      <c r="N43" s="46"/>
      <c r="O43" s="46"/>
      <c r="P43" s="46"/>
      <c r="Q43" s="46"/>
    </row>
    <row r="44" spans="2:17" x14ac:dyDescent="0.3">
      <c r="B44" s="292"/>
      <c r="C44" s="9" t="s">
        <v>228</v>
      </c>
      <c r="D44" s="79">
        <v>24.11579144702452</v>
      </c>
      <c r="E44" s="79">
        <v>66.492423807777882</v>
      </c>
      <c r="F44" s="79">
        <v>21.016590583233342</v>
      </c>
      <c r="G44" s="79">
        <v>21.197465213487661</v>
      </c>
      <c r="H44" s="79">
        <v>19.749852915861478</v>
      </c>
      <c r="I44" s="79">
        <v>0.77862819510648129</v>
      </c>
      <c r="J44" s="46"/>
      <c r="K44" s="46"/>
      <c r="L44" s="46"/>
      <c r="M44" s="46"/>
      <c r="N44" s="46"/>
      <c r="O44" s="46"/>
      <c r="P44" s="46"/>
      <c r="Q44" s="46"/>
    </row>
    <row r="45" spans="2:17" x14ac:dyDescent="0.3">
      <c r="B45" s="295"/>
      <c r="C45" s="12" t="s">
        <v>229</v>
      </c>
      <c r="D45" s="81">
        <v>23.344632779472832</v>
      </c>
      <c r="E45" s="81">
        <v>65.203684376453921</v>
      </c>
      <c r="F45" s="81">
        <v>23.487341320919793</v>
      </c>
      <c r="G45" s="81">
        <v>20.44531535287835</v>
      </c>
      <c r="H45" s="81">
        <v>15.369593488378728</v>
      </c>
      <c r="I45" s="81">
        <v>0.88595476724994648</v>
      </c>
      <c r="J45" s="46"/>
      <c r="K45" s="46"/>
      <c r="L45" s="46"/>
      <c r="M45" s="46"/>
      <c r="N45" s="46"/>
      <c r="O45" s="46"/>
      <c r="P45" s="46"/>
      <c r="Q45" s="46"/>
    </row>
    <row r="46" spans="2:17" x14ac:dyDescent="0.3">
      <c r="B46" s="296" t="s">
        <v>199</v>
      </c>
      <c r="C46" s="13" t="s">
        <v>192</v>
      </c>
      <c r="D46" s="80">
        <v>22.33960686387687</v>
      </c>
      <c r="E46" s="80">
        <v>64.25941627889074</v>
      </c>
      <c r="F46" s="80">
        <v>23.316830512841904</v>
      </c>
      <c r="G46" s="80">
        <v>21.907655232003222</v>
      </c>
      <c r="H46" s="80">
        <v>18.258647454964102</v>
      </c>
      <c r="I46" s="80">
        <v>1.0999573535926586</v>
      </c>
      <c r="J46" s="46"/>
      <c r="K46" s="46"/>
      <c r="L46" s="46"/>
      <c r="M46" s="46"/>
      <c r="N46" s="46"/>
      <c r="O46" s="46"/>
      <c r="P46" s="46"/>
      <c r="Q46" s="46"/>
    </row>
    <row r="47" spans="2:17" ht="16.5" customHeight="1" x14ac:dyDescent="0.3">
      <c r="B47" s="292"/>
      <c r="C47" s="9" t="s">
        <v>200</v>
      </c>
      <c r="D47" s="79">
        <v>22.057469240540879</v>
      </c>
      <c r="E47" s="79">
        <v>65.060195741306075</v>
      </c>
      <c r="F47" s="79">
        <v>18.374960666307693</v>
      </c>
      <c r="G47" s="79">
        <v>12.729961407911533</v>
      </c>
      <c r="H47" s="79">
        <v>16.291400712585656</v>
      </c>
      <c r="I47" s="79">
        <v>0.84633050550231104</v>
      </c>
      <c r="J47" s="46"/>
      <c r="K47" s="46"/>
      <c r="L47" s="46"/>
      <c r="M47" s="46"/>
      <c r="N47" s="46"/>
      <c r="O47" s="46"/>
      <c r="P47" s="46"/>
      <c r="Q47" s="46"/>
    </row>
    <row r="48" spans="2:17" x14ac:dyDescent="0.3">
      <c r="B48" s="292"/>
      <c r="C48" s="9" t="s">
        <v>201</v>
      </c>
      <c r="D48" s="79">
        <v>20.556494879598102</v>
      </c>
      <c r="E48" s="79">
        <v>63.428618496211456</v>
      </c>
      <c r="F48" s="79">
        <v>18.352542737728712</v>
      </c>
      <c r="G48" s="79">
        <v>17.158036814504637</v>
      </c>
      <c r="H48" s="79">
        <v>14.084091704417204</v>
      </c>
      <c r="I48" s="79">
        <v>2.7909902092461008</v>
      </c>
      <c r="J48" s="46"/>
      <c r="K48" s="46"/>
      <c r="L48" s="46"/>
      <c r="M48" s="46"/>
      <c r="N48" s="46"/>
      <c r="O48" s="46"/>
      <c r="P48" s="46"/>
      <c r="Q48" s="46"/>
    </row>
    <row r="49" spans="2:51" x14ac:dyDescent="0.3">
      <c r="B49" s="292"/>
      <c r="C49" s="9" t="s">
        <v>202</v>
      </c>
      <c r="D49" s="79">
        <v>21.809741967637649</v>
      </c>
      <c r="E49" s="79">
        <v>63.942101145513099</v>
      </c>
      <c r="F49" s="79">
        <v>19.359492696405717</v>
      </c>
      <c r="G49" s="79">
        <v>20.573948495389789</v>
      </c>
      <c r="H49" s="79">
        <v>23.831145323646751</v>
      </c>
      <c r="I49" s="79">
        <v>0.6620971834925885</v>
      </c>
      <c r="J49" s="46"/>
      <c r="K49" s="46"/>
      <c r="L49" s="46"/>
      <c r="M49" s="46"/>
      <c r="N49" s="46"/>
      <c r="O49" s="46"/>
      <c r="P49" s="46"/>
      <c r="Q49" s="46"/>
    </row>
    <row r="50" spans="2:51" x14ac:dyDescent="0.3">
      <c r="B50" s="295"/>
      <c r="C50" s="12" t="s">
        <v>203</v>
      </c>
      <c r="D50" s="81">
        <v>25.876063152752089</v>
      </c>
      <c r="E50" s="81">
        <v>66.799696771487433</v>
      </c>
      <c r="F50" s="81">
        <v>22.722887320186356</v>
      </c>
      <c r="G50" s="81">
        <v>16.919727779877299</v>
      </c>
      <c r="H50" s="81">
        <v>15.272559159290996</v>
      </c>
      <c r="I50" s="81">
        <v>0.86697485490574122</v>
      </c>
      <c r="J50" s="46"/>
      <c r="K50" s="46"/>
      <c r="L50" s="46"/>
      <c r="M50" s="46"/>
      <c r="N50" s="46"/>
      <c r="O50" s="46"/>
      <c r="P50" s="46"/>
      <c r="Q50" s="46"/>
    </row>
    <row r="51" spans="2:51" x14ac:dyDescent="0.3">
      <c r="B51" s="291" t="s">
        <v>204</v>
      </c>
      <c r="C51" s="13" t="s">
        <v>192</v>
      </c>
      <c r="D51" s="80">
        <v>22.33960686387687</v>
      </c>
      <c r="E51" s="80">
        <v>64.25941627889074</v>
      </c>
      <c r="F51" s="80">
        <v>23.316830512841904</v>
      </c>
      <c r="G51" s="80">
        <v>21.907655232003222</v>
      </c>
      <c r="H51" s="80">
        <v>18.258647454964102</v>
      </c>
      <c r="I51" s="80">
        <v>1.0999573535926586</v>
      </c>
      <c r="J51" s="46"/>
      <c r="K51" s="46"/>
      <c r="L51" s="46"/>
      <c r="M51" s="46"/>
      <c r="N51" s="46"/>
      <c r="O51" s="46"/>
      <c r="P51" s="46"/>
      <c r="Q51" s="46"/>
    </row>
    <row r="52" spans="2:51" x14ac:dyDescent="0.3">
      <c r="B52" s="295"/>
      <c r="C52" s="12" t="s">
        <v>193</v>
      </c>
      <c r="D52" s="81">
        <v>23.46036044799731</v>
      </c>
      <c r="E52" s="81">
        <v>65.286906771457993</v>
      </c>
      <c r="F52" s="81">
        <v>20.616023040810941</v>
      </c>
      <c r="G52" s="81">
        <v>17.200639640867873</v>
      </c>
      <c r="H52" s="81">
        <v>16.548568662434608</v>
      </c>
      <c r="I52" s="81">
        <v>1.3147290481168921</v>
      </c>
      <c r="J52" s="46"/>
      <c r="K52" s="46"/>
      <c r="L52" s="46"/>
      <c r="M52" s="46"/>
      <c r="N52" s="46"/>
      <c r="O52" s="46"/>
      <c r="P52" s="46"/>
      <c r="Q52" s="46"/>
    </row>
    <row r="53" spans="2:51" x14ac:dyDescent="0.3">
      <c r="B53" s="291" t="s">
        <v>209</v>
      </c>
      <c r="C53" s="13" t="s">
        <v>205</v>
      </c>
      <c r="D53" s="80">
        <v>20.584585175905108</v>
      </c>
      <c r="E53" s="80">
        <v>66.133818845044871</v>
      </c>
      <c r="F53" s="80">
        <v>18.979535069346767</v>
      </c>
      <c r="G53" s="80">
        <v>18.20598601612415</v>
      </c>
      <c r="H53" s="80">
        <v>16.824251787275923</v>
      </c>
      <c r="I53" s="80">
        <v>1.9406298811088636</v>
      </c>
      <c r="J53" s="46"/>
      <c r="K53" s="46"/>
      <c r="L53" s="46"/>
      <c r="M53" s="46"/>
      <c r="N53" s="46"/>
      <c r="O53" s="46"/>
      <c r="P53" s="46"/>
      <c r="Q53" s="46"/>
    </row>
    <row r="54" spans="2:51" x14ac:dyDescent="0.3">
      <c r="B54" s="292"/>
      <c r="C54" s="9" t="s">
        <v>206</v>
      </c>
      <c r="D54" s="79">
        <v>18.492291686462533</v>
      </c>
      <c r="E54" s="79">
        <v>64.973045705824561</v>
      </c>
      <c r="F54" s="79">
        <v>20.882090974693664</v>
      </c>
      <c r="G54" s="79">
        <v>14.560271488579133</v>
      </c>
      <c r="H54" s="79">
        <v>19.883403002338454</v>
      </c>
      <c r="I54" s="79">
        <v>1.4719512739877039</v>
      </c>
      <c r="J54" s="46"/>
      <c r="K54" s="46"/>
      <c r="L54" s="46"/>
      <c r="M54" s="46"/>
      <c r="N54" s="46"/>
      <c r="O54" s="46"/>
      <c r="P54" s="46"/>
      <c r="Q54" s="46"/>
    </row>
    <row r="55" spans="2:51" x14ac:dyDescent="0.3">
      <c r="B55" s="292"/>
      <c r="C55" s="9" t="s">
        <v>207</v>
      </c>
      <c r="D55" s="79">
        <v>24.610128864898638</v>
      </c>
      <c r="E55" s="79">
        <v>66.961232716046808</v>
      </c>
      <c r="F55" s="79">
        <v>23.527423173934839</v>
      </c>
      <c r="G55" s="79">
        <v>21.271380462537305</v>
      </c>
      <c r="H55" s="79">
        <v>15.985020872642968</v>
      </c>
      <c r="I55" s="79">
        <v>1.4052135809621862</v>
      </c>
      <c r="J55" s="46"/>
      <c r="K55" s="46"/>
      <c r="L55" s="46"/>
      <c r="M55" s="46"/>
      <c r="N55" s="46"/>
      <c r="O55" s="46"/>
      <c r="P55" s="46"/>
      <c r="Q55" s="46"/>
    </row>
    <row r="56" spans="2:51" x14ac:dyDescent="0.3">
      <c r="B56" s="293"/>
      <c r="C56" s="25" t="s">
        <v>208</v>
      </c>
      <c r="D56" s="82">
        <v>24.732393044486397</v>
      </c>
      <c r="E56" s="82">
        <v>61.882263909302793</v>
      </c>
      <c r="F56" s="82">
        <v>23.002553822180943</v>
      </c>
      <c r="G56" s="82">
        <v>22.468286463557007</v>
      </c>
      <c r="H56" s="82">
        <v>17.804676524117159</v>
      </c>
      <c r="I56" s="82">
        <v>0.51471062655886402</v>
      </c>
      <c r="J56" s="46"/>
      <c r="K56" s="46"/>
      <c r="L56" s="46"/>
      <c r="M56" s="46"/>
      <c r="N56" s="46"/>
      <c r="O56" s="46"/>
      <c r="P56" s="46"/>
      <c r="Q56" s="46"/>
    </row>
    <row r="59" spans="2:51" ht="18.75" customHeight="1" x14ac:dyDescent="0.3">
      <c r="B59" s="1" t="s">
        <v>136</v>
      </c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</row>
    <row r="60" spans="2:51" ht="13.5" customHeight="1" x14ac:dyDescent="0.3">
      <c r="I60" s="30" t="s">
        <v>53</v>
      </c>
      <c r="M60" s="30"/>
      <c r="N60" s="30"/>
      <c r="P60" s="30"/>
      <c r="Q60" s="30"/>
    </row>
    <row r="61" spans="2:51" ht="28.5" customHeight="1" x14ac:dyDescent="0.3">
      <c r="B61" s="305"/>
      <c r="C61" s="306"/>
      <c r="D61" s="226" t="s">
        <v>71</v>
      </c>
      <c r="E61" s="226" t="s">
        <v>235</v>
      </c>
      <c r="F61" s="226" t="s">
        <v>290</v>
      </c>
      <c r="G61" s="226" t="s">
        <v>291</v>
      </c>
      <c r="H61" s="226" t="s">
        <v>293</v>
      </c>
      <c r="I61" s="226" t="s">
        <v>12</v>
      </c>
      <c r="J61" s="106"/>
      <c r="K61" s="106"/>
      <c r="L61" s="106"/>
      <c r="M61" s="106"/>
      <c r="N61" s="107"/>
      <c r="O61" s="107"/>
      <c r="P61" s="107"/>
      <c r="Q61" s="107"/>
    </row>
    <row r="62" spans="2:51" x14ac:dyDescent="0.3">
      <c r="B62" s="292" t="s">
        <v>20</v>
      </c>
      <c r="C62" s="292"/>
      <c r="D62" s="72">
        <v>2.4327511560864892</v>
      </c>
      <c r="E62" s="72">
        <v>3.3984186192181709</v>
      </c>
      <c r="F62" s="73">
        <v>1.5558030105743699</v>
      </c>
      <c r="G62" s="72">
        <v>1.4042905778323287</v>
      </c>
      <c r="H62" s="73">
        <v>1.4460071325181056</v>
      </c>
      <c r="I62" s="72">
        <v>2.8412229074191315</v>
      </c>
      <c r="J62" s="72"/>
      <c r="K62" s="72"/>
      <c r="L62" s="108"/>
      <c r="M62" s="72"/>
      <c r="N62" s="72"/>
      <c r="O62" s="72"/>
      <c r="P62" s="72"/>
      <c r="Q62" s="72"/>
    </row>
    <row r="63" spans="2:51" x14ac:dyDescent="0.3">
      <c r="B63" s="296" t="s">
        <v>5</v>
      </c>
      <c r="C63" s="13" t="s">
        <v>0</v>
      </c>
      <c r="D63" s="74">
        <v>2.5043519399351832</v>
      </c>
      <c r="E63" s="74">
        <v>3.4793935295694061</v>
      </c>
      <c r="F63" s="75">
        <v>1.4840244342287749</v>
      </c>
      <c r="G63" s="74">
        <v>1.2652556316603851</v>
      </c>
      <c r="H63" s="75">
        <v>1.413029040101162</v>
      </c>
      <c r="I63" s="74">
        <v>3.6242774340577788</v>
      </c>
      <c r="J63" s="72"/>
      <c r="K63" s="72"/>
      <c r="L63" s="108"/>
      <c r="M63" s="72"/>
      <c r="N63" s="72"/>
      <c r="O63" s="72"/>
      <c r="P63" s="72"/>
      <c r="Q63" s="72"/>
    </row>
    <row r="64" spans="2:51" x14ac:dyDescent="0.3">
      <c r="B64" s="295"/>
      <c r="C64" s="12" t="s">
        <v>1</v>
      </c>
      <c r="D64" s="76">
        <v>2.3694789961817082</v>
      </c>
      <c r="E64" s="76">
        <v>3.3536892933025988</v>
      </c>
      <c r="F64" s="76">
        <v>1.6111428724785999</v>
      </c>
      <c r="G64" s="76">
        <v>1.4595219505370827</v>
      </c>
      <c r="H64" s="76">
        <v>1.458940590342261</v>
      </c>
      <c r="I64" s="76">
        <v>2.6574416583949181</v>
      </c>
      <c r="J64" s="72"/>
      <c r="K64" s="72"/>
      <c r="L64" s="72"/>
      <c r="M64" s="72"/>
      <c r="N64" s="72"/>
      <c r="O64" s="72"/>
      <c r="P64" s="72"/>
      <c r="Q64" s="72"/>
    </row>
    <row r="65" spans="2:17" x14ac:dyDescent="0.3">
      <c r="B65" s="296" t="s">
        <v>4</v>
      </c>
      <c r="C65" s="9" t="s">
        <v>175</v>
      </c>
      <c r="D65" s="72">
        <v>2.0376490140880721</v>
      </c>
      <c r="E65" s="72">
        <v>3.2427028884090379</v>
      </c>
      <c r="F65" s="73">
        <v>1.5880140980831743</v>
      </c>
      <c r="G65" s="72">
        <v>1.4285501082267007</v>
      </c>
      <c r="H65" s="73">
        <v>1.0521148768851067</v>
      </c>
      <c r="I65" s="72">
        <v>6</v>
      </c>
      <c r="J65" s="72"/>
      <c r="K65" s="72"/>
      <c r="L65" s="108"/>
      <c r="M65" s="72"/>
      <c r="N65" s="72"/>
      <c r="O65" s="72"/>
      <c r="P65" s="72"/>
      <c r="Q65" s="72"/>
    </row>
    <row r="66" spans="2:17" x14ac:dyDescent="0.3">
      <c r="B66" s="292"/>
      <c r="C66" s="9" t="s">
        <v>176</v>
      </c>
      <c r="D66" s="72">
        <v>1.4211696302873922</v>
      </c>
      <c r="E66" s="72">
        <v>2.8477020627589105</v>
      </c>
      <c r="F66" s="73">
        <v>1.4651525617812629</v>
      </c>
      <c r="G66" s="72">
        <v>1.4764683499536138</v>
      </c>
      <c r="H66" s="73">
        <v>1.5315622903130761</v>
      </c>
      <c r="I66" s="72">
        <v>5.2520358720231766</v>
      </c>
      <c r="J66" s="72"/>
      <c r="K66" s="72"/>
      <c r="L66" s="108"/>
      <c r="M66" s="72"/>
      <c r="N66" s="72"/>
      <c r="O66" s="72"/>
      <c r="P66" s="72"/>
      <c r="Q66" s="72"/>
    </row>
    <row r="67" spans="2:17" x14ac:dyDescent="0.3">
      <c r="B67" s="292"/>
      <c r="C67" s="9" t="s">
        <v>177</v>
      </c>
      <c r="D67" s="72">
        <v>1.93811938393295</v>
      </c>
      <c r="E67" s="72">
        <v>3.3533967519947634</v>
      </c>
      <c r="F67" s="73">
        <v>1.6736189380673328</v>
      </c>
      <c r="G67" s="72">
        <v>1.360996751878977</v>
      </c>
      <c r="H67" s="73">
        <v>1.3906407904732934</v>
      </c>
      <c r="I67" s="72">
        <v>2.551347700676315</v>
      </c>
      <c r="J67" s="72"/>
      <c r="K67" s="72"/>
      <c r="L67" s="108"/>
      <c r="M67" s="72"/>
      <c r="N67" s="72"/>
      <c r="O67" s="72"/>
      <c r="P67" s="72"/>
      <c r="Q67" s="72"/>
    </row>
    <row r="68" spans="2:17" x14ac:dyDescent="0.3">
      <c r="B68" s="292"/>
      <c r="C68" s="9" t="s">
        <v>178</v>
      </c>
      <c r="D68" s="72">
        <v>2.4458492918195329</v>
      </c>
      <c r="E68" s="72">
        <v>3.3509259497300929</v>
      </c>
      <c r="F68" s="73">
        <v>1.4809611344988225</v>
      </c>
      <c r="G68" s="72">
        <v>1.4408245460630205</v>
      </c>
      <c r="H68" s="73">
        <v>1.4370941944635491</v>
      </c>
      <c r="I68" s="72">
        <v>2</v>
      </c>
      <c r="J68" s="72"/>
      <c r="K68" s="72"/>
      <c r="L68" s="108"/>
      <c r="M68" s="72"/>
      <c r="N68" s="72"/>
      <c r="O68" s="72"/>
      <c r="P68" s="72"/>
      <c r="Q68" s="72"/>
    </row>
    <row r="69" spans="2:17" x14ac:dyDescent="0.3">
      <c r="B69" s="292"/>
      <c r="C69" s="9" t="s">
        <v>179</v>
      </c>
      <c r="D69" s="72">
        <v>3.0063103147377199</v>
      </c>
      <c r="E69" s="72">
        <v>3.6534589773099739</v>
      </c>
      <c r="F69" s="73">
        <v>1.565430460043181</v>
      </c>
      <c r="G69" s="72">
        <v>1.4188246098505641</v>
      </c>
      <c r="H69" s="73">
        <v>1.4377847009092044</v>
      </c>
      <c r="I69" s="72">
        <v>2.1018102844886042</v>
      </c>
      <c r="J69" s="72"/>
      <c r="K69" s="72"/>
      <c r="L69" s="108"/>
      <c r="M69" s="72"/>
      <c r="N69" s="72"/>
      <c r="O69" s="72"/>
      <c r="P69" s="72"/>
      <c r="Q69" s="72"/>
    </row>
    <row r="70" spans="2:17" x14ac:dyDescent="0.3">
      <c r="B70" s="298"/>
      <c r="C70" s="12" t="s">
        <v>180</v>
      </c>
      <c r="D70" s="76">
        <v>3.0109404926877859</v>
      </c>
      <c r="E70" s="76">
        <v>3.5782437532570563</v>
      </c>
      <c r="F70" s="77">
        <v>1.6043198141202912</v>
      </c>
      <c r="G70" s="76">
        <v>1.2216604772295161</v>
      </c>
      <c r="H70" s="77">
        <v>1.4857016386936479</v>
      </c>
      <c r="I70" s="76">
        <v>3.0429872040275674</v>
      </c>
      <c r="J70" s="72"/>
      <c r="K70" s="72"/>
      <c r="L70" s="108"/>
      <c r="M70" s="72"/>
      <c r="N70" s="72"/>
      <c r="O70" s="72"/>
      <c r="P70" s="72"/>
      <c r="Q70" s="72"/>
    </row>
    <row r="71" spans="2:17" x14ac:dyDescent="0.3">
      <c r="B71" s="292" t="s">
        <v>223</v>
      </c>
      <c r="C71" s="9" t="s">
        <v>210</v>
      </c>
      <c r="D71" s="72">
        <v>2.5503347719378953</v>
      </c>
      <c r="E71" s="72">
        <v>3.7247333674324485</v>
      </c>
      <c r="F71" s="73">
        <v>2.2540782283968595</v>
      </c>
      <c r="G71" s="72">
        <v>1</v>
      </c>
      <c r="H71" s="73">
        <v>0</v>
      </c>
      <c r="I71" s="72">
        <v>6</v>
      </c>
      <c r="J71" s="72"/>
      <c r="K71" s="72"/>
      <c r="L71" s="108"/>
      <c r="M71" s="72"/>
      <c r="N71" s="72"/>
      <c r="O71" s="72"/>
      <c r="P71" s="72"/>
      <c r="Q71" s="72"/>
    </row>
    <row r="72" spans="2:17" x14ac:dyDescent="0.3">
      <c r="B72" s="292"/>
      <c r="C72" s="9" t="s">
        <v>211</v>
      </c>
      <c r="D72" s="72">
        <v>1.3837503248184357</v>
      </c>
      <c r="E72" s="72">
        <v>2.8680227887055105</v>
      </c>
      <c r="F72" s="73">
        <v>1.3253044549367357</v>
      </c>
      <c r="G72" s="72">
        <v>1.2968779098993652</v>
      </c>
      <c r="H72" s="73">
        <v>1.4535252030509656</v>
      </c>
      <c r="I72" s="72">
        <v>0</v>
      </c>
      <c r="J72" s="72"/>
      <c r="K72" s="72"/>
      <c r="L72" s="108"/>
      <c r="M72" s="72"/>
      <c r="N72" s="72"/>
      <c r="O72" s="72"/>
      <c r="P72" s="72"/>
      <c r="Q72" s="72"/>
    </row>
    <row r="73" spans="2:17" x14ac:dyDescent="0.3">
      <c r="B73" s="292"/>
      <c r="C73" s="9" t="s">
        <v>212</v>
      </c>
      <c r="D73" s="72">
        <v>1.9510573363097823</v>
      </c>
      <c r="E73" s="72">
        <v>3.1838650980466277</v>
      </c>
      <c r="F73" s="73">
        <v>1.5198494327954257</v>
      </c>
      <c r="G73" s="72">
        <v>1.1186850261588954</v>
      </c>
      <c r="H73" s="73">
        <v>1.6355044284160347</v>
      </c>
      <c r="I73" s="72">
        <v>2.506756756756757</v>
      </c>
      <c r="J73" s="72"/>
      <c r="K73" s="72"/>
      <c r="L73" s="108"/>
      <c r="M73" s="72"/>
      <c r="N73" s="72"/>
      <c r="O73" s="72"/>
      <c r="P73" s="72"/>
      <c r="Q73" s="72"/>
    </row>
    <row r="74" spans="2:17" x14ac:dyDescent="0.3">
      <c r="B74" s="292"/>
      <c r="C74" s="9" t="s">
        <v>213</v>
      </c>
      <c r="D74" s="72">
        <v>2.2821576788561369</v>
      </c>
      <c r="E74" s="72">
        <v>3.3865513132421863</v>
      </c>
      <c r="F74" s="73">
        <v>1.495629587093493</v>
      </c>
      <c r="G74" s="72">
        <v>1.4352612561470777</v>
      </c>
      <c r="H74" s="73">
        <v>1.3395350748182606</v>
      </c>
      <c r="I74" s="72">
        <v>0</v>
      </c>
      <c r="J74" s="72"/>
      <c r="K74" s="72"/>
      <c r="L74" s="108"/>
      <c r="M74" s="72"/>
      <c r="N74" s="72"/>
      <c r="O74" s="72"/>
      <c r="P74" s="72"/>
      <c r="Q74" s="72"/>
    </row>
    <row r="75" spans="2:17" x14ac:dyDescent="0.3">
      <c r="B75" s="292"/>
      <c r="C75" s="9" t="s">
        <v>214</v>
      </c>
      <c r="D75" s="72">
        <v>3.2901114022941358</v>
      </c>
      <c r="E75" s="72">
        <v>3.7454508171683543</v>
      </c>
      <c r="F75" s="73">
        <v>1.5825735993291892</v>
      </c>
      <c r="G75" s="72">
        <v>1.3192692856380259</v>
      </c>
      <c r="H75" s="73">
        <v>1.3446439428404438</v>
      </c>
      <c r="I75" s="72">
        <v>0</v>
      </c>
      <c r="J75" s="72"/>
      <c r="K75" s="72"/>
      <c r="L75" s="108"/>
      <c r="M75" s="72"/>
      <c r="N75" s="72"/>
      <c r="O75" s="72"/>
      <c r="P75" s="72"/>
      <c r="Q75" s="72"/>
    </row>
    <row r="76" spans="2:17" x14ac:dyDescent="0.3">
      <c r="B76" s="292"/>
      <c r="C76" s="12" t="s">
        <v>215</v>
      </c>
      <c r="D76" s="76">
        <v>3.2634112626917879</v>
      </c>
      <c r="E76" s="76">
        <v>3.9618775443070122</v>
      </c>
      <c r="F76" s="77">
        <v>1.4124834957601997</v>
      </c>
      <c r="G76" s="76">
        <v>1.2398895864438775</v>
      </c>
      <c r="H76" s="77">
        <v>1.3296728774470117</v>
      </c>
      <c r="I76" s="76">
        <v>3.4638979231958822</v>
      </c>
      <c r="J76" s="72"/>
      <c r="K76" s="72"/>
      <c r="L76" s="108"/>
      <c r="M76" s="72"/>
      <c r="N76" s="72"/>
      <c r="O76" s="72"/>
      <c r="P76" s="72"/>
      <c r="Q76" s="72"/>
    </row>
    <row r="77" spans="2:17" x14ac:dyDescent="0.3">
      <c r="B77" s="292"/>
      <c r="C77" s="9" t="s">
        <v>216</v>
      </c>
      <c r="D77" s="72">
        <v>1.5743826273027477</v>
      </c>
      <c r="E77" s="72">
        <v>2.8361385986908618</v>
      </c>
      <c r="F77" s="73">
        <v>1.2317386350202668</v>
      </c>
      <c r="G77" s="72">
        <v>1.6049428912854906</v>
      </c>
      <c r="H77" s="73">
        <v>1.0521148768851067</v>
      </c>
      <c r="I77" s="72">
        <v>0</v>
      </c>
      <c r="J77" s="72"/>
      <c r="K77" s="72"/>
      <c r="L77" s="108"/>
      <c r="M77" s="72"/>
      <c r="N77" s="72"/>
      <c r="O77" s="72"/>
      <c r="P77" s="72"/>
      <c r="Q77" s="72"/>
    </row>
    <row r="78" spans="2:17" x14ac:dyDescent="0.3">
      <c r="B78" s="292"/>
      <c r="C78" s="9" t="s">
        <v>217</v>
      </c>
      <c r="D78" s="72">
        <v>1.453122304533992</v>
      </c>
      <c r="E78" s="72">
        <v>2.8371270588494752</v>
      </c>
      <c r="F78" s="73">
        <v>1.6205950743940123</v>
      </c>
      <c r="G78" s="72">
        <v>1.557498438145891</v>
      </c>
      <c r="H78" s="73">
        <v>1.5804261687127468</v>
      </c>
      <c r="I78" s="72">
        <v>5.2520358720231766</v>
      </c>
      <c r="J78" s="72"/>
      <c r="K78" s="72"/>
      <c r="L78" s="108"/>
      <c r="M78" s="72"/>
      <c r="N78" s="72"/>
      <c r="O78" s="72"/>
      <c r="P78" s="72"/>
      <c r="Q78" s="72"/>
    </row>
    <row r="79" spans="2:17" x14ac:dyDescent="0.3">
      <c r="B79" s="292"/>
      <c r="C79" s="9" t="s">
        <v>218</v>
      </c>
      <c r="D79" s="72">
        <v>1.9207845187342234</v>
      </c>
      <c r="E79" s="72">
        <v>3.450888521900747</v>
      </c>
      <c r="F79" s="73">
        <v>1.8067185497240104</v>
      </c>
      <c r="G79" s="72">
        <v>1.4688530601129035</v>
      </c>
      <c r="H79" s="73">
        <v>1.2754146876002039</v>
      </c>
      <c r="I79" s="72">
        <v>2.5663186890951675</v>
      </c>
      <c r="J79" s="72"/>
      <c r="K79" s="72"/>
      <c r="L79" s="108"/>
      <c r="M79" s="72"/>
      <c r="N79" s="72"/>
      <c r="O79" s="72"/>
      <c r="P79" s="72"/>
      <c r="Q79" s="72"/>
    </row>
    <row r="80" spans="2:17" x14ac:dyDescent="0.3">
      <c r="B80" s="292"/>
      <c r="C80" s="9" t="s">
        <v>219</v>
      </c>
      <c r="D80" s="72">
        <v>2.5591724040233541</v>
      </c>
      <c r="E80" s="72">
        <v>3.3327242838900495</v>
      </c>
      <c r="F80" s="73">
        <v>1.4722233662957127</v>
      </c>
      <c r="G80" s="72">
        <v>1.4432881531817561</v>
      </c>
      <c r="H80" s="73">
        <v>1.4764359500521633</v>
      </c>
      <c r="I80" s="72">
        <v>2</v>
      </c>
      <c r="J80" s="72"/>
      <c r="K80" s="72"/>
      <c r="L80" s="108"/>
      <c r="M80" s="72"/>
      <c r="N80" s="72"/>
      <c r="O80" s="72"/>
      <c r="P80" s="72"/>
      <c r="Q80" s="72"/>
    </row>
    <row r="81" spans="2:17" x14ac:dyDescent="0.3">
      <c r="B81" s="292"/>
      <c r="C81" s="9" t="s">
        <v>220</v>
      </c>
      <c r="D81" s="72">
        <v>2.7737108064717253</v>
      </c>
      <c r="E81" s="72">
        <v>3.5943945298723365</v>
      </c>
      <c r="F81" s="73">
        <v>1.5528926709878195</v>
      </c>
      <c r="G81" s="72">
        <v>1.4388436080578992</v>
      </c>
      <c r="H81" s="73">
        <v>1.466865968643807</v>
      </c>
      <c r="I81" s="72">
        <v>2.1018102844886042</v>
      </c>
      <c r="J81" s="72"/>
      <c r="K81" s="72"/>
      <c r="L81" s="108"/>
      <c r="M81" s="72"/>
      <c r="N81" s="72"/>
      <c r="O81" s="72"/>
      <c r="P81" s="72"/>
      <c r="Q81" s="72"/>
    </row>
    <row r="82" spans="2:17" x14ac:dyDescent="0.3">
      <c r="B82" s="295"/>
      <c r="C82" s="9" t="s">
        <v>221</v>
      </c>
      <c r="D82" s="76">
        <v>2.788120261536374</v>
      </c>
      <c r="E82" s="76">
        <v>3.3973842170440771</v>
      </c>
      <c r="F82" s="77">
        <v>1.7401680231278449</v>
      </c>
      <c r="G82" s="76">
        <v>1.213845026732097</v>
      </c>
      <c r="H82" s="77">
        <v>1.5371024654725902</v>
      </c>
      <c r="I82" s="76">
        <v>2.9097112384741854</v>
      </c>
      <c r="J82" s="72"/>
      <c r="K82" s="72"/>
      <c r="L82" s="108"/>
      <c r="M82" s="72"/>
      <c r="N82" s="72"/>
      <c r="O82" s="72"/>
      <c r="P82" s="72"/>
      <c r="Q82" s="72"/>
    </row>
    <row r="83" spans="2:17" ht="16.5" customHeight="1" x14ac:dyDescent="0.3">
      <c r="B83" s="291" t="s">
        <v>222</v>
      </c>
      <c r="C83" s="13" t="s">
        <v>226</v>
      </c>
      <c r="D83" s="74">
        <v>2.2394270267947998</v>
      </c>
      <c r="E83" s="74">
        <v>3.3643601665258531</v>
      </c>
      <c r="F83" s="74">
        <v>1.5697237478176682</v>
      </c>
      <c r="G83" s="74">
        <v>1.4485901661073215</v>
      </c>
      <c r="H83" s="74">
        <v>1.4569327136150871</v>
      </c>
      <c r="I83" s="74">
        <v>2.3929521372639635</v>
      </c>
      <c r="J83" s="72"/>
      <c r="K83" s="72"/>
      <c r="L83" s="72"/>
      <c r="M83" s="72"/>
      <c r="N83" s="72"/>
      <c r="O83" s="72"/>
      <c r="P83" s="72"/>
      <c r="Q83" s="72"/>
    </row>
    <row r="84" spans="2:17" x14ac:dyDescent="0.3">
      <c r="B84" s="294"/>
      <c r="C84" s="9" t="s">
        <v>227</v>
      </c>
      <c r="D84" s="72">
        <v>2.0821548120349616</v>
      </c>
      <c r="E84" s="72">
        <v>3.286152746281652</v>
      </c>
      <c r="F84" s="72">
        <v>1.5933058209469599</v>
      </c>
      <c r="G84" s="72">
        <v>1.2884012146576018</v>
      </c>
      <c r="H84" s="72">
        <v>1.4202756892786919</v>
      </c>
      <c r="I84" s="72">
        <v>3.4463814899596104</v>
      </c>
      <c r="J84" s="72"/>
      <c r="K84" s="72"/>
      <c r="L84" s="72"/>
      <c r="M84" s="72"/>
      <c r="N84" s="72"/>
      <c r="O84" s="72"/>
      <c r="P84" s="72"/>
      <c r="Q84" s="72"/>
    </row>
    <row r="85" spans="2:17" x14ac:dyDescent="0.3">
      <c r="B85" s="292"/>
      <c r="C85" s="9" t="s">
        <v>228</v>
      </c>
      <c r="D85" s="72">
        <v>2.6727223635401831</v>
      </c>
      <c r="E85" s="72">
        <v>3.3402383693700859</v>
      </c>
      <c r="F85" s="72">
        <v>1.5864883396925074</v>
      </c>
      <c r="G85" s="72">
        <v>1.4413373231334883</v>
      </c>
      <c r="H85" s="72">
        <v>1.4035628553145203</v>
      </c>
      <c r="I85" s="72">
        <v>2.0121103818265014</v>
      </c>
      <c r="J85" s="72"/>
      <c r="K85" s="72"/>
      <c r="L85" s="72"/>
      <c r="M85" s="72"/>
      <c r="N85" s="72"/>
      <c r="O85" s="72"/>
      <c r="P85" s="72"/>
      <c r="Q85" s="72"/>
    </row>
    <row r="86" spans="2:17" x14ac:dyDescent="0.3">
      <c r="B86" s="295"/>
      <c r="C86" s="12" t="s">
        <v>229</v>
      </c>
      <c r="D86" s="76">
        <v>2.6959653713717495</v>
      </c>
      <c r="E86" s="76">
        <v>3.5906689494770818</v>
      </c>
      <c r="F86" s="76">
        <v>1.484489969019573</v>
      </c>
      <c r="G86" s="76">
        <v>1.4466206234254551</v>
      </c>
      <c r="H86" s="76">
        <v>1.516746936999636</v>
      </c>
      <c r="I86" s="76">
        <v>2.8832922936041041</v>
      </c>
      <c r="J86" s="72"/>
      <c r="K86" s="72"/>
      <c r="L86" s="72"/>
      <c r="M86" s="72"/>
      <c r="N86" s="72"/>
      <c r="O86" s="72"/>
      <c r="P86" s="72"/>
      <c r="Q86" s="72"/>
    </row>
    <row r="87" spans="2:17" x14ac:dyDescent="0.3">
      <c r="B87" s="296" t="s">
        <v>199</v>
      </c>
      <c r="C87" s="13" t="s">
        <v>192</v>
      </c>
      <c r="D87" s="74">
        <v>2.368530827965587</v>
      </c>
      <c r="E87" s="74">
        <v>3.4546722533973178</v>
      </c>
      <c r="F87" s="74">
        <v>1.5837597095960876</v>
      </c>
      <c r="G87" s="74">
        <v>1.4193412600619433</v>
      </c>
      <c r="H87" s="74">
        <v>1.4135574901152939</v>
      </c>
      <c r="I87" s="74">
        <v>3.5877375801853231</v>
      </c>
      <c r="J87" s="72"/>
      <c r="K87" s="72"/>
      <c r="L87" s="72"/>
      <c r="M87" s="72"/>
      <c r="N87" s="72"/>
      <c r="O87" s="72"/>
      <c r="P87" s="72"/>
      <c r="Q87" s="72"/>
    </row>
    <row r="88" spans="2:17" ht="16.5" customHeight="1" x14ac:dyDescent="0.3">
      <c r="B88" s="292"/>
      <c r="C88" s="9" t="s">
        <v>200</v>
      </c>
      <c r="D88" s="72">
        <v>2.8586299892936515</v>
      </c>
      <c r="E88" s="72">
        <v>3.9774551799015807</v>
      </c>
      <c r="F88" s="72">
        <v>1.7246867088720108</v>
      </c>
      <c r="G88" s="72">
        <v>1.5062278075582325</v>
      </c>
      <c r="H88" s="72">
        <v>1.4274206636008577</v>
      </c>
      <c r="I88" s="72">
        <v>2.6372867451508419</v>
      </c>
      <c r="J88" s="72"/>
      <c r="K88" s="72"/>
      <c r="L88" s="72"/>
      <c r="M88" s="72"/>
      <c r="N88" s="72"/>
      <c r="O88" s="72"/>
      <c r="P88" s="72"/>
      <c r="Q88" s="72"/>
    </row>
    <row r="89" spans="2:17" ht="16.5" customHeight="1" x14ac:dyDescent="0.3">
      <c r="B89" s="292"/>
      <c r="C89" s="9" t="s">
        <v>201</v>
      </c>
      <c r="D89" s="72">
        <v>2.4719878104732169</v>
      </c>
      <c r="E89" s="72">
        <v>3.3136475641305165</v>
      </c>
      <c r="F89" s="72">
        <v>1.5051892727881175</v>
      </c>
      <c r="G89" s="72">
        <v>1.355773930764222</v>
      </c>
      <c r="H89" s="72">
        <v>1.3661920994086691</v>
      </c>
      <c r="I89" s="72">
        <v>1.7300394611012579</v>
      </c>
      <c r="J89" s="72"/>
      <c r="K89" s="72"/>
      <c r="L89" s="72"/>
      <c r="M89" s="72"/>
      <c r="N89" s="72"/>
      <c r="O89" s="72"/>
      <c r="P89" s="72"/>
      <c r="Q89" s="72"/>
    </row>
    <row r="90" spans="2:17" ht="16.5" customHeight="1" x14ac:dyDescent="0.3">
      <c r="B90" s="292"/>
      <c r="C90" s="9" t="s">
        <v>202</v>
      </c>
      <c r="D90" s="72">
        <v>2.9210521501190261</v>
      </c>
      <c r="E90" s="72">
        <v>3.5765564124334333</v>
      </c>
      <c r="F90" s="72">
        <v>1.7636947408179351</v>
      </c>
      <c r="G90" s="72">
        <v>1.3898027912405255</v>
      </c>
      <c r="H90" s="72">
        <v>1.6085725893204899</v>
      </c>
      <c r="I90" s="72">
        <v>1.5</v>
      </c>
      <c r="J90" s="72"/>
      <c r="K90" s="72"/>
      <c r="L90" s="72"/>
      <c r="M90" s="72"/>
      <c r="N90" s="72"/>
      <c r="O90" s="72"/>
      <c r="P90" s="72"/>
      <c r="Q90" s="72"/>
    </row>
    <row r="91" spans="2:17" x14ac:dyDescent="0.3">
      <c r="B91" s="295"/>
      <c r="C91" s="12" t="s">
        <v>203</v>
      </c>
      <c r="D91" s="76">
        <v>2.3457496388377721</v>
      </c>
      <c r="E91" s="76">
        <v>3.1153048206636029</v>
      </c>
      <c r="F91" s="76">
        <v>1.4066805254270154</v>
      </c>
      <c r="G91" s="76">
        <v>1.367393969455126</v>
      </c>
      <c r="H91" s="76">
        <v>1.5039018133032216</v>
      </c>
      <c r="I91" s="76">
        <v>2.5379205285248538</v>
      </c>
      <c r="J91" s="72"/>
      <c r="K91" s="72"/>
      <c r="L91" s="72"/>
      <c r="M91" s="72"/>
      <c r="N91" s="72"/>
      <c r="O91" s="72"/>
      <c r="P91" s="72"/>
      <c r="Q91" s="72"/>
    </row>
    <row r="92" spans="2:17" x14ac:dyDescent="0.3">
      <c r="B92" s="291" t="s">
        <v>204</v>
      </c>
      <c r="C92" s="13" t="s">
        <v>192</v>
      </c>
      <c r="D92" s="74">
        <v>2.368530827965587</v>
      </c>
      <c r="E92" s="74">
        <v>3.4546722533973178</v>
      </c>
      <c r="F92" s="74">
        <v>1.5837597095960876</v>
      </c>
      <c r="G92" s="74">
        <v>1.4193412600619433</v>
      </c>
      <c r="H92" s="74">
        <v>1.4135574901152939</v>
      </c>
      <c r="I92" s="74">
        <v>3.5877375801853231</v>
      </c>
      <c r="J92" s="72"/>
      <c r="K92" s="72"/>
      <c r="L92" s="72"/>
      <c r="M92" s="72"/>
      <c r="N92" s="72"/>
      <c r="O92" s="72"/>
      <c r="P92" s="72"/>
      <c r="Q92" s="72"/>
    </row>
    <row r="93" spans="2:17" x14ac:dyDescent="0.3">
      <c r="B93" s="295"/>
      <c r="C93" s="12" t="s">
        <v>193</v>
      </c>
      <c r="D93" s="76">
        <v>2.5130011085509425</v>
      </c>
      <c r="E93" s="76">
        <v>3.3257590721822528</v>
      </c>
      <c r="F93" s="76">
        <v>1.514309332435017</v>
      </c>
      <c r="G93" s="76">
        <v>1.3791347331435204</v>
      </c>
      <c r="H93" s="76">
        <v>1.4929910797543835</v>
      </c>
      <c r="I93" s="76">
        <v>2.0216089317905439</v>
      </c>
      <c r="J93" s="72"/>
      <c r="K93" s="72"/>
      <c r="L93" s="72"/>
      <c r="M93" s="72"/>
      <c r="N93" s="72"/>
      <c r="O93" s="72"/>
      <c r="P93" s="72"/>
      <c r="Q93" s="72"/>
    </row>
    <row r="94" spans="2:17" x14ac:dyDescent="0.3">
      <c r="B94" s="291" t="s">
        <v>209</v>
      </c>
      <c r="C94" s="13" t="s">
        <v>205</v>
      </c>
      <c r="D94" s="74">
        <v>2.4222036380954552</v>
      </c>
      <c r="E94" s="74">
        <v>3.2291423450405983</v>
      </c>
      <c r="F94" s="74">
        <v>1.4852608807586138</v>
      </c>
      <c r="G94" s="74">
        <v>1.266494691937682</v>
      </c>
      <c r="H94" s="74">
        <v>1.2142041060277065</v>
      </c>
      <c r="I94" s="74">
        <v>1.4107383016376149</v>
      </c>
      <c r="J94" s="72"/>
      <c r="K94" s="72"/>
      <c r="L94" s="72"/>
      <c r="M94" s="72"/>
      <c r="N94" s="72"/>
      <c r="O94" s="72"/>
      <c r="P94" s="72"/>
      <c r="Q94" s="72"/>
    </row>
    <row r="95" spans="2:17" x14ac:dyDescent="0.3">
      <c r="B95" s="292"/>
      <c r="C95" s="9" t="s">
        <v>206</v>
      </c>
      <c r="D95" s="72">
        <v>2.4207225048416081</v>
      </c>
      <c r="E95" s="72">
        <v>3.5406677175510963</v>
      </c>
      <c r="F95" s="72">
        <v>1.5272968877827073</v>
      </c>
      <c r="G95" s="72">
        <v>1.4906831749301548</v>
      </c>
      <c r="H95" s="72">
        <v>1.5675474696278056</v>
      </c>
      <c r="I95" s="72">
        <v>3.3921397086412401</v>
      </c>
      <c r="J95" s="72"/>
      <c r="K95" s="72"/>
      <c r="L95" s="72"/>
      <c r="M95" s="72"/>
      <c r="N95" s="72"/>
      <c r="O95" s="72"/>
      <c r="P95" s="72"/>
      <c r="Q95" s="72"/>
    </row>
    <row r="96" spans="2:17" x14ac:dyDescent="0.3">
      <c r="B96" s="292"/>
      <c r="C96" s="9" t="s">
        <v>207</v>
      </c>
      <c r="D96" s="72">
        <v>2.7414311940464064</v>
      </c>
      <c r="E96" s="72">
        <v>3.5544996229854475</v>
      </c>
      <c r="F96" s="72">
        <v>1.5776838163159059</v>
      </c>
      <c r="G96" s="72">
        <v>1.3718647160707673</v>
      </c>
      <c r="H96" s="72">
        <v>1.3289453910298092</v>
      </c>
      <c r="I96" s="72">
        <v>3.028915291085192</v>
      </c>
      <c r="J96" s="72"/>
      <c r="K96" s="72"/>
      <c r="L96" s="72"/>
      <c r="M96" s="72"/>
      <c r="N96" s="72"/>
      <c r="O96" s="72"/>
      <c r="P96" s="72"/>
      <c r="Q96" s="72"/>
    </row>
    <row r="97" spans="2:51" x14ac:dyDescent="0.3">
      <c r="B97" s="293"/>
      <c r="C97" s="25" t="s">
        <v>208</v>
      </c>
      <c r="D97" s="78">
        <v>2.1628094537866747</v>
      </c>
      <c r="E97" s="78">
        <v>3.2335089799227061</v>
      </c>
      <c r="F97" s="78">
        <v>1.5757053362048667</v>
      </c>
      <c r="G97" s="78">
        <v>1.446599330669978</v>
      </c>
      <c r="H97" s="78">
        <v>1.5543832788103131</v>
      </c>
      <c r="I97" s="78">
        <v>3.7429943822494431</v>
      </c>
      <c r="J97" s="72"/>
      <c r="K97" s="72"/>
      <c r="L97" s="72"/>
      <c r="M97" s="72"/>
      <c r="N97" s="72"/>
      <c r="O97" s="72"/>
      <c r="P97" s="72"/>
      <c r="Q97" s="72"/>
    </row>
    <row r="98" spans="2:51" x14ac:dyDescent="0.3">
      <c r="B98" s="60"/>
      <c r="C98" s="9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</row>
    <row r="99" spans="2:51" x14ac:dyDescent="0.3">
      <c r="B99" s="60"/>
      <c r="C99" s="9"/>
      <c r="D99" s="58"/>
      <c r="E99" s="58"/>
      <c r="F99" s="65"/>
      <c r="G99" s="58"/>
      <c r="H99" s="65"/>
      <c r="I99" s="58"/>
      <c r="J99" s="58"/>
      <c r="K99" s="58"/>
      <c r="L99" s="65"/>
      <c r="M99" s="58"/>
      <c r="N99" s="58"/>
    </row>
    <row r="100" spans="2:51" ht="18.75" customHeight="1" x14ac:dyDescent="0.3">
      <c r="B100" s="1" t="s">
        <v>135</v>
      </c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</row>
    <row r="101" spans="2:51" ht="13.5" customHeight="1" x14ac:dyDescent="0.3">
      <c r="I101" s="30" t="s">
        <v>225</v>
      </c>
      <c r="M101" s="30"/>
      <c r="N101" s="30"/>
      <c r="O101" s="30"/>
      <c r="P101" s="30"/>
    </row>
    <row r="102" spans="2:51" ht="28.5" customHeight="1" x14ac:dyDescent="0.3">
      <c r="B102" s="305"/>
      <c r="C102" s="306"/>
      <c r="D102" s="226" t="s">
        <v>71</v>
      </c>
      <c r="E102" s="226" t="s">
        <v>235</v>
      </c>
      <c r="F102" s="226" t="s">
        <v>290</v>
      </c>
      <c r="G102" s="226" t="s">
        <v>291</v>
      </c>
      <c r="H102" s="226" t="s">
        <v>293</v>
      </c>
      <c r="I102" s="226" t="s">
        <v>12</v>
      </c>
      <c r="J102" s="106"/>
      <c r="K102" s="106"/>
      <c r="L102" s="106"/>
      <c r="M102" s="106"/>
      <c r="N102" s="107"/>
      <c r="O102" s="107"/>
      <c r="P102" s="107"/>
      <c r="Q102" s="107"/>
    </row>
    <row r="103" spans="2:51" x14ac:dyDescent="0.3">
      <c r="B103" s="292" t="s">
        <v>20</v>
      </c>
      <c r="C103" s="292"/>
      <c r="D103" s="86">
        <v>3.4889286242970634</v>
      </c>
      <c r="E103" s="86">
        <v>4.2217931533351241</v>
      </c>
      <c r="F103" s="88">
        <v>4.6018054817867311</v>
      </c>
      <c r="G103" s="86">
        <v>4.3452588029355406</v>
      </c>
      <c r="H103" s="88">
        <v>4.2964021706006781</v>
      </c>
      <c r="I103" s="86">
        <v>5.8999999020613902</v>
      </c>
      <c r="J103" s="86"/>
      <c r="K103" s="86"/>
      <c r="L103" s="109"/>
      <c r="M103" s="86"/>
      <c r="N103" s="86"/>
      <c r="O103" s="86"/>
      <c r="P103" s="86"/>
      <c r="Q103" s="86"/>
    </row>
    <row r="104" spans="2:51" x14ac:dyDescent="0.3">
      <c r="B104" s="296" t="s">
        <v>5</v>
      </c>
      <c r="C104" s="13" t="s">
        <v>0</v>
      </c>
      <c r="D104" s="84">
        <v>3.6806413862015317</v>
      </c>
      <c r="E104" s="84">
        <v>4.0363686947482611</v>
      </c>
      <c r="F104" s="89">
        <v>4.706525411463125</v>
      </c>
      <c r="G104" s="84">
        <v>5.0734612334749087</v>
      </c>
      <c r="H104" s="89">
        <v>4.3659263234673897</v>
      </c>
      <c r="I104" s="84">
        <v>6.957213465241761</v>
      </c>
      <c r="J104" s="86"/>
      <c r="K104" s="86"/>
      <c r="L104" s="109"/>
      <c r="M104" s="86"/>
      <c r="N104" s="86"/>
      <c r="O104" s="86"/>
      <c r="P104" s="86"/>
      <c r="Q104" s="86"/>
    </row>
    <row r="105" spans="2:51" x14ac:dyDescent="0.3">
      <c r="B105" s="295"/>
      <c r="C105" s="12" t="s">
        <v>1</v>
      </c>
      <c r="D105" s="90">
        <v>3.3195159464604584</v>
      </c>
      <c r="E105" s="90">
        <v>4.3242188430317716</v>
      </c>
      <c r="F105" s="90">
        <v>4.5210684883555539</v>
      </c>
      <c r="G105" s="90">
        <v>4.0559817473966033</v>
      </c>
      <c r="H105" s="90">
        <v>4.2691359573978982</v>
      </c>
      <c r="I105" s="90">
        <v>5.651874104282447</v>
      </c>
      <c r="J105" s="86"/>
      <c r="K105" s="86"/>
      <c r="L105" s="86"/>
      <c r="M105" s="86"/>
      <c r="N105" s="86"/>
      <c r="O105" s="86"/>
      <c r="P105" s="86"/>
      <c r="Q105" s="86"/>
    </row>
    <row r="106" spans="2:51" x14ac:dyDescent="0.3">
      <c r="B106" s="296" t="s">
        <v>4</v>
      </c>
      <c r="C106" s="9" t="s">
        <v>175</v>
      </c>
      <c r="D106" s="86">
        <v>3.4989461998376754</v>
      </c>
      <c r="E106" s="86">
        <v>3.6479232877315888</v>
      </c>
      <c r="F106" s="88">
        <v>2.3196173168355845</v>
      </c>
      <c r="G106" s="86">
        <v>2.8178094822448392</v>
      </c>
      <c r="H106" s="88">
        <v>1.4848294027203692</v>
      </c>
      <c r="I106" s="86">
        <v>5</v>
      </c>
      <c r="J106" s="86"/>
      <c r="K106" s="86"/>
      <c r="L106" s="109"/>
      <c r="M106" s="86"/>
      <c r="N106" s="86"/>
      <c r="O106" s="86"/>
      <c r="P106" s="86"/>
      <c r="Q106" s="86"/>
    </row>
    <row r="107" spans="2:51" x14ac:dyDescent="0.3">
      <c r="B107" s="292"/>
      <c r="C107" s="9" t="s">
        <v>176</v>
      </c>
      <c r="D107" s="86">
        <v>3.4954254837924639</v>
      </c>
      <c r="E107" s="86">
        <v>4.1157036060248915</v>
      </c>
      <c r="F107" s="88">
        <v>6.1533990026375296</v>
      </c>
      <c r="G107" s="86">
        <v>4.2696650892766401</v>
      </c>
      <c r="H107" s="88">
        <v>5.599803337494861</v>
      </c>
      <c r="I107" s="86">
        <v>6.5040717440463531</v>
      </c>
      <c r="J107" s="86"/>
      <c r="K107" s="86"/>
      <c r="L107" s="109"/>
      <c r="M107" s="86"/>
      <c r="N107" s="86"/>
      <c r="O107" s="86"/>
      <c r="P107" s="86"/>
      <c r="Q107" s="86"/>
    </row>
    <row r="108" spans="2:51" x14ac:dyDescent="0.3">
      <c r="B108" s="292"/>
      <c r="C108" s="9" t="s">
        <v>177</v>
      </c>
      <c r="D108" s="86">
        <v>3.8656962151103555</v>
      </c>
      <c r="E108" s="86">
        <v>4.9638807696936702</v>
      </c>
      <c r="F108" s="88">
        <v>4.5924447852594916</v>
      </c>
      <c r="G108" s="86">
        <v>4.0508379144745188</v>
      </c>
      <c r="H108" s="88">
        <v>3.7914749474783971</v>
      </c>
      <c r="I108" s="86">
        <v>6.9281821544543245</v>
      </c>
      <c r="J108" s="86"/>
      <c r="K108" s="86"/>
      <c r="L108" s="109"/>
      <c r="M108" s="86"/>
      <c r="N108" s="86"/>
      <c r="O108" s="86"/>
      <c r="P108" s="86"/>
      <c r="Q108" s="86"/>
    </row>
    <row r="109" spans="2:51" x14ac:dyDescent="0.3">
      <c r="B109" s="292"/>
      <c r="C109" s="9" t="s">
        <v>178</v>
      </c>
      <c r="D109" s="86">
        <v>3.3858559530985723</v>
      </c>
      <c r="E109" s="86">
        <v>4.0930008108613247</v>
      </c>
      <c r="F109" s="88">
        <v>4.6096231999179418</v>
      </c>
      <c r="G109" s="86">
        <v>4.9279039344767464</v>
      </c>
      <c r="H109" s="88">
        <v>3.6344395167229124</v>
      </c>
      <c r="I109" s="86">
        <v>2.65</v>
      </c>
      <c r="J109" s="86"/>
      <c r="K109" s="86"/>
      <c r="L109" s="109"/>
      <c r="M109" s="86"/>
      <c r="N109" s="86"/>
      <c r="O109" s="86"/>
      <c r="P109" s="86"/>
      <c r="Q109" s="86"/>
    </row>
    <row r="110" spans="2:51" x14ac:dyDescent="0.3">
      <c r="B110" s="292"/>
      <c r="C110" s="9" t="s">
        <v>179</v>
      </c>
      <c r="D110" s="86">
        <v>3.7856708082052837</v>
      </c>
      <c r="E110" s="86">
        <v>4.0572520113781376</v>
      </c>
      <c r="F110" s="88">
        <v>4.1010115724435163</v>
      </c>
      <c r="G110" s="86">
        <v>4.5433209900650358</v>
      </c>
      <c r="H110" s="88">
        <v>4.9238348987745288</v>
      </c>
      <c r="I110" s="86">
        <v>11.118796579800032</v>
      </c>
      <c r="J110" s="86"/>
      <c r="K110" s="86"/>
      <c r="L110" s="109"/>
      <c r="M110" s="86"/>
      <c r="N110" s="86"/>
      <c r="O110" s="86"/>
      <c r="P110" s="86"/>
      <c r="Q110" s="86"/>
    </row>
    <row r="111" spans="2:51" x14ac:dyDescent="0.3">
      <c r="B111" s="298"/>
      <c r="C111" s="12" t="s">
        <v>180</v>
      </c>
      <c r="D111" s="90">
        <v>2.9073551162313751</v>
      </c>
      <c r="E111" s="90">
        <v>3.9416501493660383</v>
      </c>
      <c r="F111" s="91">
        <v>3.8515246734462756</v>
      </c>
      <c r="G111" s="90">
        <v>4.1807882404900907</v>
      </c>
      <c r="H111" s="91">
        <v>4.0745374678927133</v>
      </c>
      <c r="I111" s="90">
        <v>2.2910381732381295</v>
      </c>
      <c r="J111" s="86"/>
      <c r="K111" s="86"/>
      <c r="L111" s="109"/>
      <c r="M111" s="86"/>
      <c r="N111" s="86"/>
      <c r="O111" s="86"/>
      <c r="P111" s="86"/>
      <c r="Q111" s="86"/>
    </row>
    <row r="112" spans="2:51" x14ac:dyDescent="0.3">
      <c r="B112" s="292" t="s">
        <v>223</v>
      </c>
      <c r="C112" s="9" t="s">
        <v>210</v>
      </c>
      <c r="D112" s="86">
        <v>5.3408337423089813</v>
      </c>
      <c r="E112" s="86">
        <v>2.9175105315753722</v>
      </c>
      <c r="F112" s="88">
        <v>2.7307509663789342</v>
      </c>
      <c r="G112" s="86">
        <v>2.285737274821154</v>
      </c>
      <c r="H112" s="88">
        <v>0</v>
      </c>
      <c r="I112" s="86">
        <v>5</v>
      </c>
      <c r="J112" s="86"/>
      <c r="K112" s="86"/>
      <c r="L112" s="109"/>
      <c r="M112" s="86"/>
      <c r="N112" s="86"/>
      <c r="O112" s="86"/>
      <c r="P112" s="86"/>
      <c r="Q112" s="86"/>
    </row>
    <row r="113" spans="2:17" x14ac:dyDescent="0.3">
      <c r="B113" s="292"/>
      <c r="C113" s="9" t="s">
        <v>211</v>
      </c>
      <c r="D113" s="86">
        <v>3.8342615621773963</v>
      </c>
      <c r="E113" s="86">
        <v>3.6004525109274512</v>
      </c>
      <c r="F113" s="88">
        <v>5.0657255979595774</v>
      </c>
      <c r="G113" s="86">
        <v>5.1573896978648346</v>
      </c>
      <c r="H113" s="88">
        <v>3.8317567942013353</v>
      </c>
      <c r="I113" s="86">
        <v>0</v>
      </c>
      <c r="J113" s="86"/>
      <c r="K113" s="86"/>
      <c r="L113" s="109"/>
      <c r="M113" s="86"/>
      <c r="N113" s="86"/>
      <c r="O113" s="86"/>
      <c r="P113" s="86"/>
      <c r="Q113" s="86"/>
    </row>
    <row r="114" spans="2:17" x14ac:dyDescent="0.3">
      <c r="B114" s="292"/>
      <c r="C114" s="9" t="s">
        <v>212</v>
      </c>
      <c r="D114" s="86">
        <v>4.4162413279846868</v>
      </c>
      <c r="E114" s="86">
        <v>5.0455141717306811</v>
      </c>
      <c r="F114" s="88">
        <v>4.7448207526357642</v>
      </c>
      <c r="G114" s="86">
        <v>4.0284714090108151</v>
      </c>
      <c r="H114" s="88">
        <v>5.5352857629831309</v>
      </c>
      <c r="I114" s="86">
        <v>16.189189189189189</v>
      </c>
      <c r="J114" s="86"/>
      <c r="K114" s="86"/>
      <c r="L114" s="109"/>
      <c r="M114" s="86"/>
      <c r="N114" s="86"/>
      <c r="O114" s="86"/>
      <c r="P114" s="86"/>
      <c r="Q114" s="86"/>
    </row>
    <row r="115" spans="2:17" x14ac:dyDescent="0.3">
      <c r="B115" s="292"/>
      <c r="C115" s="9" t="s">
        <v>213</v>
      </c>
      <c r="D115" s="86">
        <v>3.513411648189519</v>
      </c>
      <c r="E115" s="86">
        <v>4.0203040090939099</v>
      </c>
      <c r="F115" s="88">
        <v>5.7722108325275014</v>
      </c>
      <c r="G115" s="86">
        <v>5.529612161378564</v>
      </c>
      <c r="H115" s="88">
        <v>3.9999085478085803</v>
      </c>
      <c r="I115" s="86">
        <v>0</v>
      </c>
      <c r="J115" s="86"/>
      <c r="K115" s="86"/>
      <c r="L115" s="109"/>
      <c r="M115" s="86"/>
      <c r="N115" s="86"/>
      <c r="O115" s="86"/>
      <c r="P115" s="86"/>
      <c r="Q115" s="86"/>
    </row>
    <row r="116" spans="2:17" x14ac:dyDescent="0.3">
      <c r="B116" s="292"/>
      <c r="C116" s="9" t="s">
        <v>214</v>
      </c>
      <c r="D116" s="86">
        <v>3.8969834643634154</v>
      </c>
      <c r="E116" s="86">
        <v>3.8580831531223501</v>
      </c>
      <c r="F116" s="88">
        <v>4.0205011111854585</v>
      </c>
      <c r="G116" s="86">
        <v>7.340040226337269</v>
      </c>
      <c r="H116" s="88">
        <v>3.7810393899129098</v>
      </c>
      <c r="I116" s="86">
        <v>0</v>
      </c>
      <c r="J116" s="86"/>
      <c r="K116" s="86"/>
      <c r="L116" s="109"/>
      <c r="M116" s="86"/>
      <c r="N116" s="86"/>
      <c r="O116" s="86"/>
      <c r="P116" s="86"/>
      <c r="Q116" s="86"/>
    </row>
    <row r="117" spans="2:17" x14ac:dyDescent="0.3">
      <c r="B117" s="292"/>
      <c r="C117" s="12" t="s">
        <v>215</v>
      </c>
      <c r="D117" s="90">
        <v>2.4415881935528305</v>
      </c>
      <c r="E117" s="90">
        <v>3.6038808612615121</v>
      </c>
      <c r="F117" s="91">
        <v>3.996717934149411</v>
      </c>
      <c r="G117" s="90">
        <v>5.6360658259107614</v>
      </c>
      <c r="H117" s="91">
        <v>5.0409335299625058</v>
      </c>
      <c r="I117" s="90">
        <v>0.34638979231958822</v>
      </c>
      <c r="J117" s="86"/>
      <c r="K117" s="86"/>
      <c r="L117" s="109"/>
      <c r="M117" s="86"/>
      <c r="N117" s="86"/>
      <c r="O117" s="86"/>
      <c r="P117" s="86"/>
      <c r="Q117" s="86"/>
    </row>
    <row r="118" spans="2:17" x14ac:dyDescent="0.3">
      <c r="B118" s="292"/>
      <c r="C118" s="9" t="s">
        <v>216</v>
      </c>
      <c r="D118" s="86">
        <v>1.8346039129674216</v>
      </c>
      <c r="E118" s="86">
        <v>4.2639833841997312</v>
      </c>
      <c r="F118" s="88">
        <v>2.0997033105028673</v>
      </c>
      <c r="G118" s="86">
        <v>3.0368123378130139</v>
      </c>
      <c r="H118" s="88">
        <v>1.4848294027203692</v>
      </c>
      <c r="I118" s="86">
        <v>0</v>
      </c>
      <c r="J118" s="86"/>
      <c r="K118" s="86"/>
      <c r="L118" s="109"/>
      <c r="M118" s="86"/>
      <c r="N118" s="86"/>
      <c r="O118" s="86"/>
      <c r="P118" s="86"/>
      <c r="Q118" s="86"/>
    </row>
    <row r="119" spans="2:17" x14ac:dyDescent="0.3">
      <c r="B119" s="292"/>
      <c r="C119" s="9" t="s">
        <v>217</v>
      </c>
      <c r="D119" s="86">
        <v>3.206090374550207</v>
      </c>
      <c r="E119" s="86">
        <v>4.3838427640115576</v>
      </c>
      <c r="F119" s="88">
        <v>7.3623584282604009</v>
      </c>
      <c r="G119" s="86">
        <v>3.8691292739925531</v>
      </c>
      <c r="H119" s="88">
        <v>6.7068873449524382</v>
      </c>
      <c r="I119" s="86">
        <v>6.5040717440463531</v>
      </c>
      <c r="J119" s="86"/>
      <c r="K119" s="86"/>
      <c r="L119" s="109"/>
      <c r="M119" s="86"/>
      <c r="N119" s="86"/>
      <c r="O119" s="86"/>
      <c r="P119" s="86"/>
      <c r="Q119" s="86"/>
    </row>
    <row r="120" spans="2:17" x14ac:dyDescent="0.3">
      <c r="B120" s="292"/>
      <c r="C120" s="9" t="s">
        <v>218</v>
      </c>
      <c r="D120" s="86">
        <v>3.1280504857457618</v>
      </c>
      <c r="E120" s="86">
        <v>4.9169362335985323</v>
      </c>
      <c r="F120" s="88">
        <v>4.4605513903517666</v>
      </c>
      <c r="G120" s="86">
        <v>4.060793556118516</v>
      </c>
      <c r="H120" s="88">
        <v>2.9708854712020552</v>
      </c>
      <c r="I120" s="86">
        <v>3.8188864796636328</v>
      </c>
      <c r="J120" s="86"/>
      <c r="K120" s="86"/>
      <c r="L120" s="109"/>
      <c r="M120" s="86"/>
      <c r="N120" s="86"/>
      <c r="O120" s="86"/>
      <c r="P120" s="86"/>
      <c r="Q120" s="86"/>
    </row>
    <row r="121" spans="2:17" x14ac:dyDescent="0.3">
      <c r="B121" s="292"/>
      <c r="C121" s="9" t="s">
        <v>219</v>
      </c>
      <c r="D121" s="86">
        <v>3.2975496062715011</v>
      </c>
      <c r="E121" s="86">
        <v>4.1301429692271592</v>
      </c>
      <c r="F121" s="88">
        <v>3.9170878977801289</v>
      </c>
      <c r="G121" s="86">
        <v>4.6614478098464183</v>
      </c>
      <c r="H121" s="88">
        <v>3.4870602317472286</v>
      </c>
      <c r="I121" s="86">
        <v>2.65</v>
      </c>
      <c r="J121" s="86"/>
      <c r="K121" s="86"/>
      <c r="L121" s="109"/>
      <c r="M121" s="86"/>
      <c r="N121" s="86"/>
      <c r="O121" s="86"/>
      <c r="P121" s="86"/>
      <c r="Q121" s="86"/>
    </row>
    <row r="122" spans="2:17" x14ac:dyDescent="0.3">
      <c r="B122" s="292"/>
      <c r="C122" s="9" t="s">
        <v>220</v>
      </c>
      <c r="D122" s="86">
        <v>3.694440470403928</v>
      </c>
      <c r="E122" s="86">
        <v>4.1851307295098161</v>
      </c>
      <c r="F122" s="88">
        <v>4.1598936221755984</v>
      </c>
      <c r="G122" s="86">
        <v>3.9809450667258983</v>
      </c>
      <c r="H122" s="88">
        <v>5.2806490674392572</v>
      </c>
      <c r="I122" s="86">
        <v>11.118796579800032</v>
      </c>
      <c r="J122" s="86"/>
      <c r="K122" s="86"/>
      <c r="L122" s="109"/>
      <c r="M122" s="86"/>
      <c r="N122" s="86"/>
      <c r="O122" s="86"/>
      <c r="P122" s="86"/>
      <c r="Q122" s="86"/>
    </row>
    <row r="123" spans="2:17" x14ac:dyDescent="0.3">
      <c r="B123" s="295"/>
      <c r="C123" s="9" t="s">
        <v>221</v>
      </c>
      <c r="D123" s="90">
        <v>3.3184216859268192</v>
      </c>
      <c r="E123" s="90">
        <v>4.1008874173511707</v>
      </c>
      <c r="F123" s="91">
        <v>3.7487065804224966</v>
      </c>
      <c r="G123" s="90">
        <v>3.5568603351211028</v>
      </c>
      <c r="H123" s="91">
        <v>3.7561759287160901</v>
      </c>
      <c r="I123" s="90">
        <v>2.9067860713692282</v>
      </c>
      <c r="J123" s="86"/>
      <c r="K123" s="86"/>
      <c r="L123" s="109"/>
      <c r="M123" s="86"/>
      <c r="N123" s="86"/>
      <c r="O123" s="86"/>
      <c r="P123" s="86"/>
      <c r="Q123" s="86"/>
    </row>
    <row r="124" spans="2:17" ht="16.5" customHeight="1" x14ac:dyDescent="0.3">
      <c r="B124" s="291" t="s">
        <v>222</v>
      </c>
      <c r="C124" s="13" t="s">
        <v>226</v>
      </c>
      <c r="D124" s="80">
        <v>2.7981197260619832</v>
      </c>
      <c r="E124" s="80">
        <v>4.153287783485113</v>
      </c>
      <c r="F124" s="80">
        <v>3.8958611825952283</v>
      </c>
      <c r="G124" s="80">
        <v>3.9651751567728764</v>
      </c>
      <c r="H124" s="80">
        <v>3.1426870454420963</v>
      </c>
      <c r="I124" s="80">
        <v>7.374422232526932</v>
      </c>
      <c r="J124" s="79"/>
      <c r="K124" s="79"/>
      <c r="L124" s="79"/>
      <c r="M124" s="79"/>
      <c r="N124" s="79"/>
      <c r="O124" s="79"/>
      <c r="P124" s="79"/>
      <c r="Q124" s="79"/>
    </row>
    <row r="125" spans="2:17" ht="16.5" customHeight="1" x14ac:dyDescent="0.3">
      <c r="B125" s="294"/>
      <c r="C125" s="9" t="s">
        <v>227</v>
      </c>
      <c r="D125" s="79">
        <v>3.1145435786075093</v>
      </c>
      <c r="E125" s="79">
        <v>4.027944033222453</v>
      </c>
      <c r="F125" s="79">
        <v>4.2342357672964273</v>
      </c>
      <c r="G125" s="79">
        <v>4.0672092318586568</v>
      </c>
      <c r="H125" s="79">
        <v>4.0140796772699954</v>
      </c>
      <c r="I125" s="79">
        <v>3.5599326659435304</v>
      </c>
      <c r="J125" s="79"/>
      <c r="K125" s="79"/>
      <c r="L125" s="79"/>
      <c r="M125" s="79"/>
      <c r="N125" s="79"/>
      <c r="O125" s="79"/>
      <c r="P125" s="79"/>
      <c r="Q125" s="79"/>
    </row>
    <row r="126" spans="2:17" ht="16.5" customHeight="1" x14ac:dyDescent="0.3">
      <c r="B126" s="292"/>
      <c r="C126" s="9" t="s">
        <v>228</v>
      </c>
      <c r="D126" s="79">
        <v>4.0901041502595792</v>
      </c>
      <c r="E126" s="79">
        <v>4.1910948800934484</v>
      </c>
      <c r="F126" s="79">
        <v>5.3098484327601589</v>
      </c>
      <c r="G126" s="79">
        <v>4.4247999303254844</v>
      </c>
      <c r="H126" s="79">
        <v>3.757045013688399</v>
      </c>
      <c r="I126" s="79">
        <v>6.1241426965082146</v>
      </c>
      <c r="J126" s="79"/>
      <c r="K126" s="79"/>
      <c r="L126" s="79"/>
      <c r="M126" s="79"/>
      <c r="N126" s="79"/>
      <c r="O126" s="79"/>
      <c r="P126" s="79"/>
      <c r="Q126" s="79"/>
    </row>
    <row r="127" spans="2:17" ht="16.5" customHeight="1" x14ac:dyDescent="0.3">
      <c r="B127" s="295"/>
      <c r="C127" s="12" t="s">
        <v>229</v>
      </c>
      <c r="D127" s="81">
        <v>3.8141686908476582</v>
      </c>
      <c r="E127" s="81">
        <v>4.4981617657455404</v>
      </c>
      <c r="F127" s="81">
        <v>4.909348472518273</v>
      </c>
      <c r="G127" s="81">
        <v>4.8165834806490038</v>
      </c>
      <c r="H127" s="81">
        <v>6.2427961750525087</v>
      </c>
      <c r="I127" s="81">
        <v>8.3873004897956775</v>
      </c>
      <c r="J127" s="79"/>
      <c r="K127" s="79"/>
      <c r="L127" s="79"/>
      <c r="M127" s="79"/>
      <c r="N127" s="79"/>
      <c r="O127" s="79"/>
      <c r="P127" s="79"/>
      <c r="Q127" s="79"/>
    </row>
    <row r="128" spans="2:17" x14ac:dyDescent="0.3">
      <c r="B128" s="296" t="s">
        <v>199</v>
      </c>
      <c r="C128" s="13" t="s">
        <v>192</v>
      </c>
      <c r="D128" s="80">
        <v>3.6175936863895028</v>
      </c>
      <c r="E128" s="80">
        <v>4.3915098523063696</v>
      </c>
      <c r="F128" s="80">
        <v>4.6659224044804093</v>
      </c>
      <c r="G128" s="80">
        <v>4.148466649475365</v>
      </c>
      <c r="H128" s="80">
        <v>4.5912523062166448</v>
      </c>
      <c r="I128" s="80">
        <v>4.8758479920873379</v>
      </c>
      <c r="J128" s="79"/>
      <c r="K128" s="79"/>
      <c r="L128" s="79"/>
      <c r="M128" s="79"/>
      <c r="N128" s="79"/>
      <c r="O128" s="79"/>
      <c r="P128" s="79"/>
      <c r="Q128" s="79"/>
    </row>
    <row r="129" spans="2:21" x14ac:dyDescent="0.3">
      <c r="B129" s="292"/>
      <c r="C129" s="9" t="s">
        <v>200</v>
      </c>
      <c r="D129" s="79">
        <v>3.4061525298112945</v>
      </c>
      <c r="E129" s="79">
        <v>4.9478029825387448</v>
      </c>
      <c r="F129" s="79">
        <v>5.002701735067598</v>
      </c>
      <c r="G129" s="79">
        <v>4.3897531752727694</v>
      </c>
      <c r="H129" s="79">
        <v>4.2918142358466715</v>
      </c>
      <c r="I129" s="79">
        <v>6.0000000000000009</v>
      </c>
      <c r="J129" s="79"/>
      <c r="K129" s="79"/>
      <c r="L129" s="79"/>
      <c r="M129" s="79"/>
      <c r="N129" s="79"/>
      <c r="O129" s="79"/>
      <c r="P129" s="79"/>
      <c r="Q129" s="79"/>
    </row>
    <row r="130" spans="2:21" x14ac:dyDescent="0.3">
      <c r="B130" s="292"/>
      <c r="C130" s="9" t="s">
        <v>201</v>
      </c>
      <c r="D130" s="79">
        <v>2.7987410599459328</v>
      </c>
      <c r="E130" s="79">
        <v>3.8551399791481122</v>
      </c>
      <c r="F130" s="79">
        <v>4.9047219343089443</v>
      </c>
      <c r="G130" s="79">
        <v>5.0262623952959506</v>
      </c>
      <c r="H130" s="79">
        <v>3.7879806851394693</v>
      </c>
      <c r="I130" s="79">
        <v>2.8997301486034135</v>
      </c>
      <c r="J130" s="79"/>
      <c r="K130" s="79"/>
      <c r="L130" s="79"/>
      <c r="M130" s="79"/>
      <c r="N130" s="79"/>
      <c r="O130" s="79"/>
      <c r="P130" s="79"/>
      <c r="Q130" s="79"/>
    </row>
    <row r="131" spans="2:21" x14ac:dyDescent="0.3">
      <c r="B131" s="292"/>
      <c r="C131" s="9" t="s">
        <v>202</v>
      </c>
      <c r="D131" s="79">
        <v>4.4485756059919535</v>
      </c>
      <c r="E131" s="79">
        <v>4.776454179149531</v>
      </c>
      <c r="F131" s="79">
        <v>5.6142222722822845</v>
      </c>
      <c r="G131" s="79">
        <v>4.5185623738066107</v>
      </c>
      <c r="H131" s="79">
        <v>4.6796008246334386</v>
      </c>
      <c r="I131" s="79">
        <v>42.5</v>
      </c>
      <c r="J131" s="79"/>
      <c r="K131" s="79"/>
      <c r="L131" s="79"/>
      <c r="M131" s="79"/>
      <c r="N131" s="79"/>
      <c r="O131" s="79"/>
      <c r="P131" s="79"/>
      <c r="Q131" s="79"/>
    </row>
    <row r="132" spans="2:21" ht="16.5" customHeight="1" x14ac:dyDescent="0.3">
      <c r="B132" s="295"/>
      <c r="C132" s="12" t="s">
        <v>203</v>
      </c>
      <c r="D132" s="81">
        <v>3.1955675775440762</v>
      </c>
      <c r="E132" s="81">
        <v>3.6206858094070293</v>
      </c>
      <c r="F132" s="81">
        <v>3.9141668073695119</v>
      </c>
      <c r="G132" s="81">
        <v>4.5978201788312596</v>
      </c>
      <c r="H132" s="81">
        <v>3.3605910491776201</v>
      </c>
      <c r="I132" s="81">
        <v>4.4558349375303363</v>
      </c>
      <c r="J132" s="79"/>
      <c r="K132" s="79"/>
      <c r="L132" s="79"/>
      <c r="M132" s="79"/>
      <c r="N132" s="79"/>
      <c r="O132" s="79"/>
      <c r="P132" s="79"/>
      <c r="Q132" s="79"/>
    </row>
    <row r="133" spans="2:21" x14ac:dyDescent="0.3">
      <c r="B133" s="291" t="s">
        <v>204</v>
      </c>
      <c r="C133" s="13" t="s">
        <v>192</v>
      </c>
      <c r="D133" s="80">
        <v>3.6175936863895028</v>
      </c>
      <c r="E133" s="80">
        <v>4.3915098523063696</v>
      </c>
      <c r="F133" s="80">
        <v>4.6659224044804093</v>
      </c>
      <c r="G133" s="80">
        <v>4.148466649475365</v>
      </c>
      <c r="H133" s="80">
        <v>4.5912523062166448</v>
      </c>
      <c r="I133" s="80">
        <v>4.8758479920873379</v>
      </c>
      <c r="J133" s="79"/>
      <c r="K133" s="79"/>
      <c r="L133" s="79"/>
      <c r="M133" s="79"/>
      <c r="N133" s="79"/>
      <c r="O133" s="79"/>
      <c r="P133" s="79"/>
      <c r="Q133" s="79"/>
    </row>
    <row r="134" spans="2:21" x14ac:dyDescent="0.3">
      <c r="B134" s="295"/>
      <c r="C134" s="12" t="s">
        <v>193</v>
      </c>
      <c r="D134" s="81">
        <v>3.3281483010119421</v>
      </c>
      <c r="E134" s="81">
        <v>4.0025799655718499</v>
      </c>
      <c r="F134" s="81">
        <v>4.5066423528539881</v>
      </c>
      <c r="G134" s="81">
        <v>4.6741789656824411</v>
      </c>
      <c r="H134" s="81">
        <v>3.8694876597280325</v>
      </c>
      <c r="I134" s="81">
        <v>7.0244375711443476</v>
      </c>
      <c r="J134" s="79"/>
      <c r="K134" s="79"/>
      <c r="L134" s="79"/>
      <c r="M134" s="79"/>
      <c r="N134" s="79"/>
      <c r="O134" s="79"/>
      <c r="P134" s="79"/>
      <c r="Q134" s="79"/>
    </row>
    <row r="135" spans="2:21" x14ac:dyDescent="0.3">
      <c r="B135" s="291" t="s">
        <v>209</v>
      </c>
      <c r="C135" s="13" t="s">
        <v>205</v>
      </c>
      <c r="D135" s="80">
        <v>2.9929384696219241</v>
      </c>
      <c r="E135" s="80">
        <v>4.6668603861154079</v>
      </c>
      <c r="F135" s="80">
        <v>3.4239681566448827</v>
      </c>
      <c r="G135" s="80">
        <v>3.6095842504951197</v>
      </c>
      <c r="H135" s="80">
        <v>3.6076308336829768</v>
      </c>
      <c r="I135" s="80">
        <v>7.624454547233479</v>
      </c>
      <c r="J135" s="79"/>
      <c r="K135" s="79"/>
      <c r="L135" s="79"/>
      <c r="M135" s="79"/>
      <c r="N135" s="79"/>
      <c r="O135" s="79"/>
      <c r="P135" s="79"/>
      <c r="Q135" s="79"/>
    </row>
    <row r="136" spans="2:21" x14ac:dyDescent="0.3">
      <c r="B136" s="292"/>
      <c r="C136" s="9" t="s">
        <v>206</v>
      </c>
      <c r="D136" s="79">
        <v>2.8989023418218607</v>
      </c>
      <c r="E136" s="79">
        <v>4.3078263782591444</v>
      </c>
      <c r="F136" s="79">
        <v>4.0160591290935237</v>
      </c>
      <c r="G136" s="79">
        <v>3.974414811831835</v>
      </c>
      <c r="H136" s="79">
        <v>3.5899113043427371</v>
      </c>
      <c r="I136" s="79">
        <v>3.2719332374895669</v>
      </c>
      <c r="J136" s="79"/>
      <c r="K136" s="79"/>
      <c r="L136" s="79"/>
      <c r="M136" s="79"/>
      <c r="N136" s="79"/>
      <c r="O136" s="79"/>
      <c r="P136" s="79"/>
      <c r="Q136" s="79"/>
    </row>
    <row r="137" spans="2:21" x14ac:dyDescent="0.3">
      <c r="B137" s="292"/>
      <c r="C137" s="9" t="s">
        <v>207</v>
      </c>
      <c r="D137" s="79">
        <v>3.7644772593360178</v>
      </c>
      <c r="E137" s="79">
        <v>4.2191748638935529</v>
      </c>
      <c r="F137" s="79">
        <v>4.4573772327023757</v>
      </c>
      <c r="G137" s="79">
        <v>4.5384385965334753</v>
      </c>
      <c r="H137" s="79">
        <v>4.0002544268604137</v>
      </c>
      <c r="I137" s="79">
        <v>4.6336866044294718</v>
      </c>
      <c r="J137" s="79"/>
      <c r="K137" s="79"/>
      <c r="L137" s="79"/>
      <c r="M137" s="79"/>
      <c r="N137" s="79"/>
      <c r="O137" s="79"/>
      <c r="P137" s="79"/>
      <c r="Q137" s="79"/>
    </row>
    <row r="138" spans="2:21" x14ac:dyDescent="0.3">
      <c r="B138" s="293"/>
      <c r="C138" s="25" t="s">
        <v>208</v>
      </c>
      <c r="D138" s="82">
        <v>3.678262970333559</v>
      </c>
      <c r="E138" s="82">
        <v>3.9675611066704497</v>
      </c>
      <c r="F138" s="82">
        <v>5.4669970670461536</v>
      </c>
      <c r="G138" s="82">
        <v>4.5764866741718064</v>
      </c>
      <c r="H138" s="82">
        <v>5.2846780590640554</v>
      </c>
      <c r="I138" s="82">
        <v>10.729446516148499</v>
      </c>
      <c r="J138" s="79"/>
      <c r="K138" s="79"/>
      <c r="L138" s="79"/>
      <c r="M138" s="79"/>
      <c r="N138" s="79"/>
      <c r="O138" s="79"/>
      <c r="P138" s="79"/>
      <c r="Q138" s="79"/>
    </row>
    <row r="139" spans="2:21" x14ac:dyDescent="0.3">
      <c r="B139" s="60"/>
      <c r="C139" s="9"/>
      <c r="D139" s="58"/>
      <c r="E139" s="58"/>
      <c r="F139" s="50"/>
      <c r="G139" s="58"/>
      <c r="H139" s="50"/>
      <c r="I139" s="58"/>
      <c r="J139" s="58"/>
      <c r="K139" s="58"/>
      <c r="L139" s="50"/>
      <c r="M139" s="58"/>
      <c r="N139" s="58"/>
    </row>
    <row r="140" spans="2:21" x14ac:dyDescent="0.3">
      <c r="B140" s="60"/>
      <c r="C140" s="9"/>
      <c r="D140" s="58"/>
      <c r="E140" s="58"/>
      <c r="F140" s="50"/>
      <c r="G140" s="58"/>
      <c r="H140" s="50"/>
      <c r="I140" s="58"/>
      <c r="J140" s="58"/>
      <c r="K140" s="58"/>
      <c r="L140" s="50"/>
      <c r="M140" s="58"/>
      <c r="N140" s="58"/>
    </row>
    <row r="141" spans="2:21" ht="17.25" customHeight="1" x14ac:dyDescent="0.3">
      <c r="B141" s="1" t="s">
        <v>487</v>
      </c>
      <c r="D141" s="59"/>
      <c r="E141" s="59"/>
      <c r="F141" s="304"/>
      <c r="G141" s="304"/>
      <c r="H141" s="304"/>
      <c r="I141" s="304"/>
      <c r="J141" s="304"/>
      <c r="K141" s="304"/>
      <c r="L141" s="304"/>
      <c r="M141" s="304"/>
      <c r="N141" s="304"/>
      <c r="O141" s="304"/>
      <c r="P141" s="304"/>
      <c r="Q141" s="304"/>
      <c r="R141" s="304"/>
      <c r="S141" s="304"/>
      <c r="T141" s="304"/>
      <c r="U141" s="304"/>
    </row>
    <row r="142" spans="2:21" ht="10.5" customHeight="1" x14ac:dyDescent="0.3"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30"/>
      <c r="P142" s="30"/>
      <c r="Q142" s="30" t="s">
        <v>52</v>
      </c>
    </row>
    <row r="143" spans="2:21" s="22" customFormat="1" ht="20.25" customHeight="1" x14ac:dyDescent="0.3">
      <c r="B143" s="307"/>
      <c r="C143" s="307"/>
      <c r="D143" s="300" t="s">
        <v>120</v>
      </c>
      <c r="E143" s="300"/>
      <c r="F143" s="300"/>
      <c r="G143" s="300"/>
      <c r="H143" s="300"/>
      <c r="I143" s="300"/>
      <c r="J143" s="301"/>
      <c r="K143" s="299" t="s">
        <v>125</v>
      </c>
      <c r="L143" s="300"/>
      <c r="M143" s="300"/>
      <c r="N143" s="300"/>
      <c r="O143" s="300"/>
      <c r="P143" s="301"/>
      <c r="Q143" s="212" t="s">
        <v>38</v>
      </c>
    </row>
    <row r="144" spans="2:21" s="22" customFormat="1" ht="27" x14ac:dyDescent="0.3">
      <c r="B144" s="300"/>
      <c r="C144" s="300"/>
      <c r="D144" s="202" t="s">
        <v>39</v>
      </c>
      <c r="E144" s="202" t="s">
        <v>40</v>
      </c>
      <c r="F144" s="202" t="s">
        <v>116</v>
      </c>
      <c r="G144" s="202" t="s">
        <v>117</v>
      </c>
      <c r="H144" s="202" t="s">
        <v>115</v>
      </c>
      <c r="I144" s="202" t="s">
        <v>119</v>
      </c>
      <c r="J144" s="202" t="s">
        <v>300</v>
      </c>
      <c r="K144" s="214" t="s">
        <v>298</v>
      </c>
      <c r="L144" s="202" t="s">
        <v>299</v>
      </c>
      <c r="M144" s="202" t="s">
        <v>121</v>
      </c>
      <c r="N144" s="202" t="s">
        <v>118</v>
      </c>
      <c r="O144" s="202" t="s">
        <v>122</v>
      </c>
      <c r="P144" s="202" t="s">
        <v>124</v>
      </c>
      <c r="Q144" s="214" t="s">
        <v>38</v>
      </c>
    </row>
    <row r="145" spans="2:17" ht="21.75" customHeight="1" x14ac:dyDescent="0.3">
      <c r="B145" s="292" t="s">
        <v>20</v>
      </c>
      <c r="C145" s="292"/>
      <c r="D145" s="86">
        <v>8.5861454725812418</v>
      </c>
      <c r="E145" s="86">
        <v>6.3885283652737312</v>
      </c>
      <c r="F145" s="88">
        <v>10.667478958988298</v>
      </c>
      <c r="G145" s="88">
        <v>16.469607349866099</v>
      </c>
      <c r="H145" s="88">
        <v>8.6904168168315703</v>
      </c>
      <c r="I145" s="86">
        <v>0.83391048873931695</v>
      </c>
      <c r="J145" s="86">
        <v>3.4439721627160136</v>
      </c>
      <c r="K145" s="92">
        <v>8.2759395382647796</v>
      </c>
      <c r="L145" s="86">
        <v>4.165546714825652</v>
      </c>
      <c r="M145" s="88">
        <v>4.2449492459827844</v>
      </c>
      <c r="N145" s="86">
        <v>24.337506509839248</v>
      </c>
      <c r="O145" s="86">
        <v>2.6744901712045666</v>
      </c>
      <c r="P145" s="86">
        <v>0.60457594079404953</v>
      </c>
      <c r="Q145" s="92">
        <v>0.61693226409254276</v>
      </c>
    </row>
    <row r="146" spans="2:17" x14ac:dyDescent="0.3">
      <c r="B146" s="296" t="s">
        <v>5</v>
      </c>
      <c r="C146" s="13" t="s">
        <v>0</v>
      </c>
      <c r="D146" s="84">
        <v>8.9724473059859839</v>
      </c>
      <c r="E146" s="84">
        <v>6.4814437581798643</v>
      </c>
      <c r="F146" s="89">
        <v>11.423013198573898</v>
      </c>
      <c r="G146" s="89">
        <v>17.658009054548639</v>
      </c>
      <c r="H146" s="89">
        <v>9.3337241516683402</v>
      </c>
      <c r="I146" s="84">
        <v>1.7358186903274504</v>
      </c>
      <c r="J146" s="84">
        <v>3.7493396442280975</v>
      </c>
      <c r="K146" s="93">
        <v>6.3587615192783735</v>
      </c>
      <c r="L146" s="84">
        <v>2.0829240852171083</v>
      </c>
      <c r="M146" s="89">
        <v>3.5320159561303797</v>
      </c>
      <c r="N146" s="84">
        <v>25.565594767466969</v>
      </c>
      <c r="O146" s="84">
        <v>2.1185379900550241</v>
      </c>
      <c r="P146" s="84">
        <v>0.83575599335621376</v>
      </c>
      <c r="Q146" s="93">
        <v>0.15261388498374051</v>
      </c>
    </row>
    <row r="147" spans="2:17" x14ac:dyDescent="0.3">
      <c r="B147" s="295"/>
      <c r="C147" s="12" t="s">
        <v>1</v>
      </c>
      <c r="D147" s="90">
        <v>8.346125459626407</v>
      </c>
      <c r="E147" s="90">
        <v>6.330797461921617</v>
      </c>
      <c r="F147" s="91">
        <v>10.198044640298011</v>
      </c>
      <c r="G147" s="91">
        <v>15.73122050339572</v>
      </c>
      <c r="H147" s="91">
        <v>8.2907121778952799</v>
      </c>
      <c r="I147" s="90">
        <v>0.27352997922603184</v>
      </c>
      <c r="J147" s="90">
        <v>3.2542389009747348</v>
      </c>
      <c r="K147" s="94">
        <v>9.4671352644101905</v>
      </c>
      <c r="L147" s="90">
        <v>5.4595377532139331</v>
      </c>
      <c r="M147" s="91">
        <v>4.6879144163992299</v>
      </c>
      <c r="N147" s="90">
        <v>23.574461310422219</v>
      </c>
      <c r="O147" s="90">
        <v>3.0199186371936952</v>
      </c>
      <c r="P147" s="90">
        <v>0.46093738044392063</v>
      </c>
      <c r="Q147" s="94">
        <v>0.90542611457888633</v>
      </c>
    </row>
    <row r="148" spans="2:17" x14ac:dyDescent="0.3">
      <c r="B148" s="296" t="s">
        <v>4</v>
      </c>
      <c r="C148" s="9" t="s">
        <v>175</v>
      </c>
      <c r="D148" s="86">
        <v>14.856634156272669</v>
      </c>
      <c r="E148" s="86">
        <v>3.3207278158350237</v>
      </c>
      <c r="F148" s="88">
        <v>10.468180128849953</v>
      </c>
      <c r="G148" s="88">
        <v>8.3793069286796662</v>
      </c>
      <c r="H148" s="88">
        <v>6.0480480450871719</v>
      </c>
      <c r="I148" s="86">
        <v>2.0698415518757369</v>
      </c>
      <c r="J148" s="86">
        <v>1.949969870330839</v>
      </c>
      <c r="K148" s="92">
        <v>29.61309651905923</v>
      </c>
      <c r="L148" s="86">
        <v>8.1102436207287383</v>
      </c>
      <c r="M148" s="88">
        <v>0</v>
      </c>
      <c r="N148" s="86">
        <v>12.017990384295018</v>
      </c>
      <c r="O148" s="86">
        <v>0</v>
      </c>
      <c r="P148" s="86">
        <v>1.379894367917158</v>
      </c>
      <c r="Q148" s="92">
        <v>1.7860666110687928</v>
      </c>
    </row>
    <row r="149" spans="2:17" x14ac:dyDescent="0.3">
      <c r="B149" s="292"/>
      <c r="C149" s="9" t="s">
        <v>176</v>
      </c>
      <c r="D149" s="86">
        <v>7.4769946294296457</v>
      </c>
      <c r="E149" s="86">
        <v>8.222890471393594</v>
      </c>
      <c r="F149" s="88">
        <v>17.764410680566009</v>
      </c>
      <c r="G149" s="88">
        <v>13.002262035388521</v>
      </c>
      <c r="H149" s="88">
        <v>8.1720285296320228</v>
      </c>
      <c r="I149" s="86">
        <v>1.3974877386363411</v>
      </c>
      <c r="J149" s="86">
        <v>0.85242658954097061</v>
      </c>
      <c r="K149" s="92">
        <v>18.895767145303253</v>
      </c>
      <c r="L149" s="86">
        <v>5.0408482519000177</v>
      </c>
      <c r="M149" s="88">
        <v>2.0396837356619084</v>
      </c>
      <c r="N149" s="86">
        <v>14.326664974392065</v>
      </c>
      <c r="O149" s="86">
        <v>0.86147301587535752</v>
      </c>
      <c r="P149" s="86">
        <v>1.9470622022802926</v>
      </c>
      <c r="Q149" s="92">
        <v>0</v>
      </c>
    </row>
    <row r="150" spans="2:17" x14ac:dyDescent="0.3">
      <c r="B150" s="292"/>
      <c r="C150" s="9" t="s">
        <v>177</v>
      </c>
      <c r="D150" s="86">
        <v>11.327893442585008</v>
      </c>
      <c r="E150" s="86">
        <v>7.9160790706052957</v>
      </c>
      <c r="F150" s="88">
        <v>13.515520629085737</v>
      </c>
      <c r="G150" s="88">
        <v>10.32835980264907</v>
      </c>
      <c r="H150" s="88">
        <v>6.6219368587631289</v>
      </c>
      <c r="I150" s="86">
        <v>0.82462476005744023</v>
      </c>
      <c r="J150" s="86">
        <v>4.1359540364332164</v>
      </c>
      <c r="K150" s="92">
        <v>6.2659218408678576</v>
      </c>
      <c r="L150" s="86">
        <v>7.4725670746243464</v>
      </c>
      <c r="M150" s="88">
        <v>4.0355317080860145</v>
      </c>
      <c r="N150" s="86">
        <v>25.897443695727041</v>
      </c>
      <c r="O150" s="86">
        <v>0.73096543307291184</v>
      </c>
      <c r="P150" s="86">
        <v>0</v>
      </c>
      <c r="Q150" s="92">
        <v>0.92720164744291866</v>
      </c>
    </row>
    <row r="151" spans="2:17" x14ac:dyDescent="0.3">
      <c r="B151" s="292"/>
      <c r="C151" s="9" t="s">
        <v>178</v>
      </c>
      <c r="D151" s="86">
        <v>6.8720057483563632</v>
      </c>
      <c r="E151" s="86">
        <v>4.3601777326709996</v>
      </c>
      <c r="F151" s="88">
        <v>11.492385274815623</v>
      </c>
      <c r="G151" s="88">
        <v>15.282853851273238</v>
      </c>
      <c r="H151" s="88">
        <v>9.648801238242946</v>
      </c>
      <c r="I151" s="86">
        <v>0.81695596360488976</v>
      </c>
      <c r="J151" s="86">
        <v>3.0141156626122143</v>
      </c>
      <c r="K151" s="92">
        <v>7.4129700397275506</v>
      </c>
      <c r="L151" s="86">
        <v>3.275783313974999</v>
      </c>
      <c r="M151" s="88">
        <v>6.0938300570322417</v>
      </c>
      <c r="N151" s="86">
        <v>26.981942659279053</v>
      </c>
      <c r="O151" s="86">
        <v>3.9960937440626654</v>
      </c>
      <c r="P151" s="86">
        <v>0.21085953271662364</v>
      </c>
      <c r="Q151" s="92">
        <v>0.54122518163063948</v>
      </c>
    </row>
    <row r="152" spans="2:17" x14ac:dyDescent="0.3">
      <c r="B152" s="292"/>
      <c r="C152" s="9" t="s">
        <v>179</v>
      </c>
      <c r="D152" s="86">
        <v>6.6679099251765281</v>
      </c>
      <c r="E152" s="86">
        <v>5.612368534415201</v>
      </c>
      <c r="F152" s="88">
        <v>5.7768617475803437</v>
      </c>
      <c r="G152" s="88">
        <v>20.34154010101291</v>
      </c>
      <c r="H152" s="88">
        <v>9.4441577854312424</v>
      </c>
      <c r="I152" s="86">
        <v>0.22534185921359162</v>
      </c>
      <c r="J152" s="86">
        <v>2.4603435598846484</v>
      </c>
      <c r="K152" s="92">
        <v>3.8133032782426279</v>
      </c>
      <c r="L152" s="86">
        <v>2.5681974502976752</v>
      </c>
      <c r="M152" s="88">
        <v>5.7378068168823129</v>
      </c>
      <c r="N152" s="86">
        <v>32.238422211635083</v>
      </c>
      <c r="O152" s="86">
        <v>3.8504817757460925</v>
      </c>
      <c r="P152" s="86">
        <v>0.65526757403250535</v>
      </c>
      <c r="Q152" s="92">
        <v>0.60799738044923113</v>
      </c>
    </row>
    <row r="153" spans="2:17" x14ac:dyDescent="0.3">
      <c r="B153" s="298"/>
      <c r="C153" s="12" t="s">
        <v>180</v>
      </c>
      <c r="D153" s="90">
        <v>9.5883876517766247</v>
      </c>
      <c r="E153" s="90">
        <v>6.7621672825584858</v>
      </c>
      <c r="F153" s="91">
        <v>5.7101941369815465</v>
      </c>
      <c r="G153" s="91">
        <v>24.957004065091251</v>
      </c>
      <c r="H153" s="91">
        <v>10.016946991806725</v>
      </c>
      <c r="I153" s="90">
        <v>0.83632508591923416</v>
      </c>
      <c r="J153" s="90">
        <v>6.9903433923028073</v>
      </c>
      <c r="K153" s="94">
        <v>3.1060540651573394</v>
      </c>
      <c r="L153" s="90">
        <v>1.7760918568550752</v>
      </c>
      <c r="M153" s="91">
        <v>3.4039859201172322</v>
      </c>
      <c r="N153" s="90">
        <v>21.684875102064133</v>
      </c>
      <c r="O153" s="90">
        <v>4.1459427240348905</v>
      </c>
      <c r="P153" s="90">
        <v>0.30235421364079812</v>
      </c>
      <c r="Q153" s="94">
        <v>0.71932751169394304</v>
      </c>
    </row>
    <row r="154" spans="2:17" x14ac:dyDescent="0.3">
      <c r="B154" s="292" t="s">
        <v>223</v>
      </c>
      <c r="C154" s="9" t="s">
        <v>210</v>
      </c>
      <c r="D154" s="86">
        <v>34.069361358055716</v>
      </c>
      <c r="E154" s="86">
        <v>4.0668192651627733</v>
      </c>
      <c r="F154" s="88">
        <v>10.056975655427868</v>
      </c>
      <c r="G154" s="88">
        <v>10.290919233524523</v>
      </c>
      <c r="H154" s="88">
        <v>8.8348615768671959</v>
      </c>
      <c r="I154" s="86">
        <v>6.1002288977441594</v>
      </c>
      <c r="J154" s="86">
        <v>0</v>
      </c>
      <c r="K154" s="92">
        <v>13.226212432768719</v>
      </c>
      <c r="L154" s="86">
        <v>0</v>
      </c>
      <c r="M154" s="88">
        <v>0</v>
      </c>
      <c r="N154" s="86">
        <v>9.2878023152862692</v>
      </c>
      <c r="O154" s="86">
        <v>0</v>
      </c>
      <c r="P154" s="86">
        <v>4.0668192651627733</v>
      </c>
      <c r="Q154" s="92">
        <v>0</v>
      </c>
    </row>
    <row r="155" spans="2:17" x14ac:dyDescent="0.3">
      <c r="B155" s="292"/>
      <c r="C155" s="9" t="s">
        <v>211</v>
      </c>
      <c r="D155" s="86">
        <v>8.8139750877812126</v>
      </c>
      <c r="E155" s="86">
        <v>5.2745371566693162</v>
      </c>
      <c r="F155" s="88">
        <v>15.668960733754828</v>
      </c>
      <c r="G155" s="88">
        <v>17.684014347388306</v>
      </c>
      <c r="H155" s="88">
        <v>8.8113743824643898</v>
      </c>
      <c r="I155" s="86">
        <v>3.4951870829109133</v>
      </c>
      <c r="J155" s="86">
        <v>0</v>
      </c>
      <c r="K155" s="92">
        <v>17.460939641944204</v>
      </c>
      <c r="L155" s="86">
        <v>1.9148004763336051</v>
      </c>
      <c r="M155" s="88">
        <v>2.6357645006009331</v>
      </c>
      <c r="N155" s="86">
        <v>14.092230692765254</v>
      </c>
      <c r="O155" s="86">
        <v>0</v>
      </c>
      <c r="P155" s="86">
        <v>4.1482158973869634</v>
      </c>
      <c r="Q155" s="92">
        <v>0</v>
      </c>
    </row>
    <row r="156" spans="2:17" x14ac:dyDescent="0.3">
      <c r="B156" s="292"/>
      <c r="C156" s="9" t="s">
        <v>212</v>
      </c>
      <c r="D156" s="86">
        <v>10.712719781576103</v>
      </c>
      <c r="E156" s="86">
        <v>6.4350288869704872</v>
      </c>
      <c r="F156" s="88">
        <v>19.062482040411329</v>
      </c>
      <c r="G156" s="88">
        <v>9.668740037165259</v>
      </c>
      <c r="H156" s="88">
        <v>7.0033146640610795</v>
      </c>
      <c r="I156" s="86">
        <v>1.2606635260417203</v>
      </c>
      <c r="J156" s="86">
        <v>6.4810256973208444</v>
      </c>
      <c r="K156" s="92">
        <v>6.9979415167019523</v>
      </c>
      <c r="L156" s="86">
        <v>3.2437524191916887</v>
      </c>
      <c r="M156" s="88">
        <v>3.2210121372932208</v>
      </c>
      <c r="N156" s="86">
        <v>25.913319293266312</v>
      </c>
      <c r="O156" s="86">
        <v>0</v>
      </c>
      <c r="P156" s="86">
        <v>0</v>
      </c>
      <c r="Q156" s="92">
        <v>0</v>
      </c>
    </row>
    <row r="157" spans="2:17" x14ac:dyDescent="0.3">
      <c r="B157" s="292"/>
      <c r="C157" s="9" t="s">
        <v>213</v>
      </c>
      <c r="D157" s="86">
        <v>10.506248894602852</v>
      </c>
      <c r="E157" s="86">
        <v>5.7522014050388295</v>
      </c>
      <c r="F157" s="88">
        <v>11.078116370175357</v>
      </c>
      <c r="G157" s="88">
        <v>17.099629020704789</v>
      </c>
      <c r="H157" s="88">
        <v>11.555903695021716</v>
      </c>
      <c r="I157" s="86">
        <v>1.6261918524976999</v>
      </c>
      <c r="J157" s="86">
        <v>1.9607787568411486</v>
      </c>
      <c r="K157" s="92">
        <v>3.361769458292073</v>
      </c>
      <c r="L157" s="86">
        <v>2.0435045631849076</v>
      </c>
      <c r="M157" s="88">
        <v>3.2826240002014409</v>
      </c>
      <c r="N157" s="86">
        <v>26.846883891682229</v>
      </c>
      <c r="O157" s="86">
        <v>4.8861480917569793</v>
      </c>
      <c r="P157" s="86">
        <v>0</v>
      </c>
      <c r="Q157" s="92">
        <v>0</v>
      </c>
    </row>
    <row r="158" spans="2:17" x14ac:dyDescent="0.3">
      <c r="B158" s="292"/>
      <c r="C158" s="9" t="s">
        <v>214</v>
      </c>
      <c r="D158" s="86">
        <v>6.3522269003044185</v>
      </c>
      <c r="E158" s="86">
        <v>8.387627432906454</v>
      </c>
      <c r="F158" s="88">
        <v>5.9422527110873835</v>
      </c>
      <c r="G158" s="88">
        <v>20.191596565328556</v>
      </c>
      <c r="H158" s="88">
        <v>9.32277775248075</v>
      </c>
      <c r="I158" s="86">
        <v>0</v>
      </c>
      <c r="J158" s="86">
        <v>2.3900554208633076</v>
      </c>
      <c r="K158" s="92">
        <v>2.2152644504983598</v>
      </c>
      <c r="L158" s="86">
        <v>1.6869448018579702</v>
      </c>
      <c r="M158" s="88">
        <v>4.8199934607809549</v>
      </c>
      <c r="N158" s="86">
        <v>35.06699792382063</v>
      </c>
      <c r="O158" s="86">
        <v>3.6242625800713237</v>
      </c>
      <c r="P158" s="86">
        <v>0</v>
      </c>
      <c r="Q158" s="92">
        <v>0</v>
      </c>
    </row>
    <row r="159" spans="2:17" x14ac:dyDescent="0.3">
      <c r="B159" s="292"/>
      <c r="C159" s="12" t="s">
        <v>215</v>
      </c>
      <c r="D159" s="90">
        <v>4.6149548955001078</v>
      </c>
      <c r="E159" s="90">
        <v>6.3631837788911838</v>
      </c>
      <c r="F159" s="91">
        <v>5.2643896446303486</v>
      </c>
      <c r="G159" s="91">
        <v>26.288756333672975</v>
      </c>
      <c r="H159" s="91">
        <v>10.670383454678763</v>
      </c>
      <c r="I159" s="90">
        <v>2.2684572866370578</v>
      </c>
      <c r="J159" s="90">
        <v>8.2931266432730855</v>
      </c>
      <c r="K159" s="94">
        <v>1.8093271617656639</v>
      </c>
      <c r="L159" s="90">
        <v>1.6842654109882682</v>
      </c>
      <c r="M159" s="91">
        <v>3.9619909972443677</v>
      </c>
      <c r="N159" s="90">
        <v>25.413219934051806</v>
      </c>
      <c r="O159" s="90">
        <v>2.4813741494011592</v>
      </c>
      <c r="P159" s="90">
        <v>0</v>
      </c>
      <c r="Q159" s="94">
        <v>0.88657030926517533</v>
      </c>
    </row>
    <row r="160" spans="2:17" x14ac:dyDescent="0.3">
      <c r="B160" s="292"/>
      <c r="C160" s="9" t="s">
        <v>216</v>
      </c>
      <c r="D160" s="86">
        <v>4.9897658693152076</v>
      </c>
      <c r="E160" s="86">
        <v>2.9375658636963959</v>
      </c>
      <c r="F160" s="88">
        <v>10.67935787241813</v>
      </c>
      <c r="G160" s="88">
        <v>7.3975812928792015</v>
      </c>
      <c r="H160" s="88">
        <v>4.6168549734532629</v>
      </c>
      <c r="I160" s="86">
        <v>0</v>
      </c>
      <c r="J160" s="86">
        <v>2.9513943777430058</v>
      </c>
      <c r="K160" s="92">
        <v>38.028727741786554</v>
      </c>
      <c r="L160" s="86">
        <v>12.275331936428186</v>
      </c>
      <c r="M160" s="88">
        <v>0</v>
      </c>
      <c r="N160" s="86">
        <v>13.420102941903814</v>
      </c>
      <c r="O160" s="86">
        <v>0</v>
      </c>
      <c r="P160" s="86">
        <v>0</v>
      </c>
      <c r="Q160" s="92">
        <v>2.7033171303762642</v>
      </c>
    </row>
    <row r="161" spans="2:17" x14ac:dyDescent="0.3">
      <c r="B161" s="292"/>
      <c r="C161" s="9" t="s">
        <v>217</v>
      </c>
      <c r="D161" s="86">
        <v>6.586297970519805</v>
      </c>
      <c r="E161" s="86">
        <v>10.18708406173857</v>
      </c>
      <c r="F161" s="88">
        <v>19.160399870145259</v>
      </c>
      <c r="G161" s="88">
        <v>9.8832776732064165</v>
      </c>
      <c r="H161" s="88">
        <v>7.7460961897474325</v>
      </c>
      <c r="I161" s="86">
        <v>0</v>
      </c>
      <c r="J161" s="86">
        <v>1.4203133604562082</v>
      </c>
      <c r="K161" s="92">
        <v>19.851649525910027</v>
      </c>
      <c r="L161" s="86">
        <v>7.1234219289472502</v>
      </c>
      <c r="M161" s="88">
        <v>1.642574606313663</v>
      </c>
      <c r="N161" s="86">
        <v>14.482845141480198</v>
      </c>
      <c r="O161" s="86">
        <v>1.4353865178925942</v>
      </c>
      <c r="P161" s="86">
        <v>0.48065315364257077</v>
      </c>
      <c r="Q161" s="92">
        <v>0</v>
      </c>
    </row>
    <row r="162" spans="2:17" x14ac:dyDescent="0.3">
      <c r="B162" s="292"/>
      <c r="C162" s="9" t="s">
        <v>218</v>
      </c>
      <c r="D162" s="86">
        <v>11.761524311116329</v>
      </c>
      <c r="E162" s="86">
        <v>8.9600591987771718</v>
      </c>
      <c r="F162" s="88">
        <v>9.605513021546038</v>
      </c>
      <c r="G162" s="88">
        <v>10.793320365716859</v>
      </c>
      <c r="H162" s="88">
        <v>6.3531067715342688</v>
      </c>
      <c r="I162" s="86">
        <v>0.51726460992195922</v>
      </c>
      <c r="J162" s="86">
        <v>2.4829322548908159</v>
      </c>
      <c r="K162" s="92">
        <v>5.7499271747546015</v>
      </c>
      <c r="L162" s="86">
        <v>10.453423844216619</v>
      </c>
      <c r="M162" s="88">
        <v>4.6096798735640014</v>
      </c>
      <c r="N162" s="86">
        <v>25.886253117219304</v>
      </c>
      <c r="O162" s="86">
        <v>1.2462169721097796</v>
      </c>
      <c r="P162" s="86">
        <v>0</v>
      </c>
      <c r="Q162" s="92">
        <v>1.5807784846321942</v>
      </c>
    </row>
    <row r="163" spans="2:17" x14ac:dyDescent="0.3">
      <c r="B163" s="292"/>
      <c r="C163" s="9" t="s">
        <v>219</v>
      </c>
      <c r="D163" s="86">
        <v>5.1095727532440423</v>
      </c>
      <c r="E163" s="86">
        <v>3.6851132553004216</v>
      </c>
      <c r="F163" s="88">
        <v>11.693285753128713</v>
      </c>
      <c r="G163" s="88">
        <v>14.401805342833718</v>
      </c>
      <c r="H163" s="88">
        <v>8.7239483432576037</v>
      </c>
      <c r="I163" s="86">
        <v>0.4245155092872519</v>
      </c>
      <c r="J163" s="86">
        <v>3.5249333605468682</v>
      </c>
      <c r="K163" s="92">
        <v>9.3776073210592426</v>
      </c>
      <c r="L163" s="86">
        <v>3.8733791935493485</v>
      </c>
      <c r="M163" s="88">
        <v>7.4571296798808975</v>
      </c>
      <c r="N163" s="86">
        <v>27.047439660638922</v>
      </c>
      <c r="O163" s="86">
        <v>3.5644602273454966</v>
      </c>
      <c r="P163" s="86">
        <v>0.31311625656229214</v>
      </c>
      <c r="Q163" s="92">
        <v>0.80369334336513087</v>
      </c>
    </row>
    <row r="164" spans="2:17" x14ac:dyDescent="0.3">
      <c r="B164" s="292"/>
      <c r="C164" s="9" t="s">
        <v>220</v>
      </c>
      <c r="D164" s="86">
        <v>6.8921364938960341</v>
      </c>
      <c r="E164" s="86">
        <v>3.6411292497907519</v>
      </c>
      <c r="F164" s="88">
        <v>5.6593861618740107</v>
      </c>
      <c r="G164" s="88">
        <v>20.448043529639737</v>
      </c>
      <c r="H164" s="88">
        <v>9.5303728370976266</v>
      </c>
      <c r="I164" s="86">
        <v>0.38539998049144059</v>
      </c>
      <c r="J164" s="86">
        <v>2.5102685384001049</v>
      </c>
      <c r="K164" s="92">
        <v>4.94837464665342</v>
      </c>
      <c r="L164" s="86">
        <v>3.1941425976956608</v>
      </c>
      <c r="M164" s="88">
        <v>6.3897206777777988</v>
      </c>
      <c r="N164" s="86">
        <v>30.229312515085411</v>
      </c>
      <c r="O164" s="86">
        <v>4.0111630605417794</v>
      </c>
      <c r="P164" s="86">
        <v>1.1206977306840691</v>
      </c>
      <c r="Q164" s="92">
        <v>1.039851980372084</v>
      </c>
    </row>
    <row r="165" spans="2:17" x14ac:dyDescent="0.3">
      <c r="B165" s="295"/>
      <c r="C165" s="9" t="s">
        <v>221</v>
      </c>
      <c r="D165" s="86">
        <v>12.492733057264797</v>
      </c>
      <c r="E165" s="86">
        <v>6.9951624717020957</v>
      </c>
      <c r="F165" s="88">
        <v>5.9705314718881342</v>
      </c>
      <c r="G165" s="88">
        <v>24.179298047527688</v>
      </c>
      <c r="H165" s="88">
        <v>9.6353584026525088</v>
      </c>
      <c r="I165" s="86">
        <v>0</v>
      </c>
      <c r="J165" s="86">
        <v>6.2295544694954321</v>
      </c>
      <c r="K165" s="92">
        <v>3.8633062506394098</v>
      </c>
      <c r="L165" s="86">
        <v>1.8297159288441838</v>
      </c>
      <c r="M165" s="88">
        <v>3.0781265868532941</v>
      </c>
      <c r="N165" s="86">
        <v>19.507626164860035</v>
      </c>
      <c r="O165" s="86">
        <v>5.1180041409217099</v>
      </c>
      <c r="P165" s="86">
        <v>0.47892060435140343</v>
      </c>
      <c r="Q165" s="92">
        <v>0.62166240299934861</v>
      </c>
    </row>
    <row r="166" spans="2:17" ht="16.5" customHeight="1" x14ac:dyDescent="0.3">
      <c r="B166" s="291" t="s">
        <v>222</v>
      </c>
      <c r="C166" s="13" t="s">
        <v>226</v>
      </c>
      <c r="D166" s="84">
        <v>8.6752588345496431</v>
      </c>
      <c r="E166" s="84">
        <v>6.3380403492520081</v>
      </c>
      <c r="F166" s="89">
        <v>9.0852449087008189</v>
      </c>
      <c r="G166" s="89">
        <v>16.033220291346485</v>
      </c>
      <c r="H166" s="89">
        <v>6.0056849521346471</v>
      </c>
      <c r="I166" s="84">
        <v>0.7046017923071608</v>
      </c>
      <c r="J166" s="84">
        <v>5.4018716884251399</v>
      </c>
      <c r="K166" s="93">
        <v>6.8023842003103141</v>
      </c>
      <c r="L166" s="84">
        <v>6.2005266743160563</v>
      </c>
      <c r="M166" s="89">
        <v>3.4512517494074157</v>
      </c>
      <c r="N166" s="84">
        <v>25.747130109456347</v>
      </c>
      <c r="O166" s="84">
        <v>2.5586732473532008</v>
      </c>
      <c r="P166" s="84">
        <v>1.4864775238688981</v>
      </c>
      <c r="Q166" s="93">
        <v>1.5096336785718776</v>
      </c>
    </row>
    <row r="167" spans="2:17" ht="16.5" customHeight="1" x14ac:dyDescent="0.3">
      <c r="B167" s="294"/>
      <c r="C167" s="9" t="s">
        <v>227</v>
      </c>
      <c r="D167" s="86">
        <v>7.558155463412648</v>
      </c>
      <c r="E167" s="86">
        <v>5.2021740915232</v>
      </c>
      <c r="F167" s="88">
        <v>12.27176087125323</v>
      </c>
      <c r="G167" s="88">
        <v>19.097263229029174</v>
      </c>
      <c r="H167" s="88">
        <v>8.5211729438274979</v>
      </c>
      <c r="I167" s="86">
        <v>0.48104387031316598</v>
      </c>
      <c r="J167" s="86">
        <v>2.3152872017056132</v>
      </c>
      <c r="K167" s="92">
        <v>8.8223392150765942</v>
      </c>
      <c r="L167" s="86">
        <v>2.8968306527312171</v>
      </c>
      <c r="M167" s="88">
        <v>4.1438114953896674</v>
      </c>
      <c r="N167" s="86">
        <v>24.292571517988634</v>
      </c>
      <c r="O167" s="86">
        <v>3.5810758355092216</v>
      </c>
      <c r="P167" s="86">
        <v>0.30379703265887503</v>
      </c>
      <c r="Q167" s="92">
        <v>0.51271657958129913</v>
      </c>
    </row>
    <row r="168" spans="2:17" x14ac:dyDescent="0.3">
      <c r="B168" s="292"/>
      <c r="C168" s="9" t="s">
        <v>228</v>
      </c>
      <c r="D168" s="86">
        <v>7.7250857855323538</v>
      </c>
      <c r="E168" s="86">
        <v>5.9881454166342358</v>
      </c>
      <c r="F168" s="88">
        <v>10.750674920341817</v>
      </c>
      <c r="G168" s="88">
        <v>17.367619739547859</v>
      </c>
      <c r="H168" s="88">
        <v>9.8805460180651057</v>
      </c>
      <c r="I168" s="86">
        <v>0.66796296243752096</v>
      </c>
      <c r="J168" s="86">
        <v>3.9457101268148103</v>
      </c>
      <c r="K168" s="92">
        <v>7.9082738745068202</v>
      </c>
      <c r="L168" s="86">
        <v>4.1299842398257978</v>
      </c>
      <c r="M168" s="88">
        <v>4.0438698289145103</v>
      </c>
      <c r="N168" s="86">
        <v>24.202355180461936</v>
      </c>
      <c r="O168" s="86">
        <v>2.8002109261621739</v>
      </c>
      <c r="P168" s="86">
        <v>0.18731283467586488</v>
      </c>
      <c r="Q168" s="92">
        <v>0.40224814607929271</v>
      </c>
    </row>
    <row r="169" spans="2:17" x14ac:dyDescent="0.3">
      <c r="B169" s="295"/>
      <c r="C169" s="12" t="s">
        <v>229</v>
      </c>
      <c r="D169" s="90">
        <v>10.298109886438233</v>
      </c>
      <c r="E169" s="90">
        <v>7.9804857917419678</v>
      </c>
      <c r="F169" s="91">
        <v>10.275277881020481</v>
      </c>
      <c r="G169" s="91">
        <v>13.387712960129361</v>
      </c>
      <c r="H169" s="91">
        <v>10.060343225542825</v>
      </c>
      <c r="I169" s="90">
        <v>1.4423515736607091</v>
      </c>
      <c r="J169" s="90">
        <v>2.5384879982232418</v>
      </c>
      <c r="K169" s="94">
        <v>9.2568403967311941</v>
      </c>
      <c r="L169" s="90">
        <v>3.8009964417554007</v>
      </c>
      <c r="M169" s="91">
        <v>5.1777587139668775</v>
      </c>
      <c r="N169" s="90">
        <v>23.332695017649613</v>
      </c>
      <c r="O169" s="90">
        <v>1.7408820260767337</v>
      </c>
      <c r="P169" s="90">
        <v>0.53937064603178042</v>
      </c>
      <c r="Q169" s="94">
        <v>0.16868744103175032</v>
      </c>
    </row>
    <row r="170" spans="2:17" x14ac:dyDescent="0.3">
      <c r="B170" s="296" t="s">
        <v>199</v>
      </c>
      <c r="C170" s="13" t="s">
        <v>192</v>
      </c>
      <c r="D170" s="84">
        <v>9.9720854433981394</v>
      </c>
      <c r="E170" s="84">
        <v>7.7903904660487937</v>
      </c>
      <c r="F170" s="89">
        <v>11.019920447787884</v>
      </c>
      <c r="G170" s="89">
        <v>14.131152935356727</v>
      </c>
      <c r="H170" s="89">
        <v>9.2654469842167302</v>
      </c>
      <c r="I170" s="84">
        <v>1.0219276389311613</v>
      </c>
      <c r="J170" s="84">
        <v>2.9101336775752791</v>
      </c>
      <c r="K170" s="93">
        <v>8.5324092450681626</v>
      </c>
      <c r="L170" s="84">
        <v>4.6302032312357708</v>
      </c>
      <c r="M170" s="89">
        <v>4.6105176022501677</v>
      </c>
      <c r="N170" s="84">
        <v>22.994474209987697</v>
      </c>
      <c r="O170" s="84">
        <v>2.0566468417733446</v>
      </c>
      <c r="P170" s="84">
        <v>0.43248232320503072</v>
      </c>
      <c r="Q170" s="93">
        <v>0.63220895316504311</v>
      </c>
    </row>
    <row r="171" spans="2:17" x14ac:dyDescent="0.3">
      <c r="B171" s="292"/>
      <c r="C171" s="9" t="s">
        <v>200</v>
      </c>
      <c r="D171" s="86">
        <v>1.9871303035956529</v>
      </c>
      <c r="E171" s="86">
        <v>4.8119466287957557</v>
      </c>
      <c r="F171" s="88">
        <v>5.6992154064659086</v>
      </c>
      <c r="G171" s="88">
        <v>27.797109294706047</v>
      </c>
      <c r="H171" s="88">
        <v>4.8669742380749321</v>
      </c>
      <c r="I171" s="86">
        <v>0</v>
      </c>
      <c r="J171" s="86">
        <v>0.81593405752639536</v>
      </c>
      <c r="K171" s="92">
        <v>9.0876440851405871</v>
      </c>
      <c r="L171" s="86">
        <v>8.1713147891983962</v>
      </c>
      <c r="M171" s="88">
        <v>2.6235109078472023</v>
      </c>
      <c r="N171" s="86">
        <v>26.727650429005518</v>
      </c>
      <c r="O171" s="86">
        <v>4.9621583011185288</v>
      </c>
      <c r="P171" s="86">
        <v>1.0854789106297129</v>
      </c>
      <c r="Q171" s="92">
        <v>1.3639326478954348</v>
      </c>
    </row>
    <row r="172" spans="2:17" x14ac:dyDescent="0.3">
      <c r="B172" s="292"/>
      <c r="C172" s="9" t="s">
        <v>201</v>
      </c>
      <c r="D172" s="86">
        <v>7.5889552887388811</v>
      </c>
      <c r="E172" s="86">
        <v>4.1170051225657929</v>
      </c>
      <c r="F172" s="88">
        <v>12.188153098880083</v>
      </c>
      <c r="G172" s="88">
        <v>16.771200462358976</v>
      </c>
      <c r="H172" s="88">
        <v>8.2686023611956099</v>
      </c>
      <c r="I172" s="86">
        <v>1.0963873328009488</v>
      </c>
      <c r="J172" s="86">
        <v>3.5923491653651891</v>
      </c>
      <c r="K172" s="92">
        <v>7.3626393056831798</v>
      </c>
      <c r="L172" s="86">
        <v>4.4754621281366047</v>
      </c>
      <c r="M172" s="88">
        <v>3.48742646154431</v>
      </c>
      <c r="N172" s="86">
        <v>25.614741352115374</v>
      </c>
      <c r="O172" s="86">
        <v>4.2056554858756199</v>
      </c>
      <c r="P172" s="86">
        <v>0.79167909932036351</v>
      </c>
      <c r="Q172" s="92">
        <v>0.43974333541911192</v>
      </c>
    </row>
    <row r="173" spans="2:17" x14ac:dyDescent="0.3">
      <c r="B173" s="292"/>
      <c r="C173" s="9" t="s">
        <v>202</v>
      </c>
      <c r="D173" s="86">
        <v>5.679526430569001</v>
      </c>
      <c r="E173" s="86">
        <v>1.7256661688849535</v>
      </c>
      <c r="F173" s="88">
        <v>14.597932536216209</v>
      </c>
      <c r="G173" s="88">
        <v>17.432209925234002</v>
      </c>
      <c r="H173" s="88">
        <v>5.8493784879904789</v>
      </c>
      <c r="I173" s="86">
        <v>0.61062373122402391</v>
      </c>
      <c r="J173" s="86">
        <v>3.9181132776431356</v>
      </c>
      <c r="K173" s="92">
        <v>10.128766793416419</v>
      </c>
      <c r="L173" s="86">
        <v>3.3817366851236033</v>
      </c>
      <c r="M173" s="88">
        <v>6.0433849614662165</v>
      </c>
      <c r="N173" s="86">
        <v>25.318872684476673</v>
      </c>
      <c r="O173" s="86">
        <v>3.9001700907205916</v>
      </c>
      <c r="P173" s="86">
        <v>0</v>
      </c>
      <c r="Q173" s="92">
        <v>1.4136182270347564</v>
      </c>
    </row>
    <row r="174" spans="2:17" x14ac:dyDescent="0.3">
      <c r="B174" s="295"/>
      <c r="C174" s="12" t="s">
        <v>203</v>
      </c>
      <c r="D174" s="90">
        <v>7.7199537539798548</v>
      </c>
      <c r="E174" s="90">
        <v>5.7251725435828469</v>
      </c>
      <c r="F174" s="91">
        <v>8.5294884751787681</v>
      </c>
      <c r="G174" s="91">
        <v>20.021991143191293</v>
      </c>
      <c r="H174" s="91">
        <v>9.1570174792823078</v>
      </c>
      <c r="I174" s="90">
        <v>0.44360566333813906</v>
      </c>
      <c r="J174" s="90">
        <v>5.191787741163167</v>
      </c>
      <c r="K174" s="94">
        <v>7.1842978297008333</v>
      </c>
      <c r="L174" s="90">
        <v>2.2097194921725052</v>
      </c>
      <c r="M174" s="91">
        <v>3.2974221947525786</v>
      </c>
      <c r="N174" s="90">
        <v>26.51664197615635</v>
      </c>
      <c r="O174" s="90">
        <v>2.6808659079714148</v>
      </c>
      <c r="P174" s="90">
        <v>1.1040240803075936</v>
      </c>
      <c r="Q174" s="94">
        <v>0.21801171922235996</v>
      </c>
    </row>
    <row r="175" spans="2:17" x14ac:dyDescent="0.3">
      <c r="B175" s="291" t="s">
        <v>204</v>
      </c>
      <c r="C175" s="13" t="s">
        <v>192</v>
      </c>
      <c r="D175" s="84">
        <v>9.9720854433981394</v>
      </c>
      <c r="E175" s="84">
        <v>7.7903904660487937</v>
      </c>
      <c r="F175" s="89">
        <v>11.019920447787884</v>
      </c>
      <c r="G175" s="89">
        <v>14.131152935356727</v>
      </c>
      <c r="H175" s="89">
        <v>9.2654469842167302</v>
      </c>
      <c r="I175" s="84">
        <v>1.0219276389311613</v>
      </c>
      <c r="J175" s="84">
        <v>2.9101336775752791</v>
      </c>
      <c r="K175" s="93">
        <v>8.5324092450681626</v>
      </c>
      <c r="L175" s="84">
        <v>4.6302032312357708</v>
      </c>
      <c r="M175" s="89">
        <v>4.6105176022501677</v>
      </c>
      <c r="N175" s="84">
        <v>22.994474209987697</v>
      </c>
      <c r="O175" s="84">
        <v>2.0566468417733446</v>
      </c>
      <c r="P175" s="84">
        <v>0.43248232320503072</v>
      </c>
      <c r="Q175" s="93">
        <v>0.63220895316504311</v>
      </c>
    </row>
    <row r="176" spans="2:17" x14ac:dyDescent="0.3">
      <c r="B176" s="295"/>
      <c r="C176" s="12" t="s">
        <v>193</v>
      </c>
      <c r="D176" s="90">
        <v>6.7583095388879482</v>
      </c>
      <c r="E176" s="90">
        <v>4.5396936568201296</v>
      </c>
      <c r="F176" s="91">
        <v>10.202664297951781</v>
      </c>
      <c r="G176" s="91">
        <v>19.553659399843955</v>
      </c>
      <c r="H176" s="91">
        <v>7.9320428431848251</v>
      </c>
      <c r="I176" s="90">
        <v>0.58594556204144377</v>
      </c>
      <c r="J176" s="90">
        <v>4.1480208130724368</v>
      </c>
      <c r="K176" s="94">
        <v>7.9376965004204587</v>
      </c>
      <c r="L176" s="90">
        <v>3.5527381550014052</v>
      </c>
      <c r="M176" s="91">
        <v>3.7628223199422122</v>
      </c>
      <c r="N176" s="90">
        <v>26.108754002133328</v>
      </c>
      <c r="O176" s="90">
        <v>3.4893279439123388</v>
      </c>
      <c r="P176" s="90">
        <v>0.83154024286485384</v>
      </c>
      <c r="Q176" s="94">
        <v>0.59678472392302451</v>
      </c>
    </row>
    <row r="177" spans="2:21" ht="16.5" customHeight="1" x14ac:dyDescent="0.3">
      <c r="B177" s="291" t="s">
        <v>209</v>
      </c>
      <c r="C177" s="13" t="s">
        <v>205</v>
      </c>
      <c r="D177" s="84">
        <v>8.1940782344374448</v>
      </c>
      <c r="E177" s="84">
        <v>5.2724137455198345</v>
      </c>
      <c r="F177" s="89">
        <v>9.6791174039497569</v>
      </c>
      <c r="G177" s="89">
        <v>14.597769806239274</v>
      </c>
      <c r="H177" s="89">
        <v>7.1144106706105328</v>
      </c>
      <c r="I177" s="84">
        <v>0.61156360990874148</v>
      </c>
      <c r="J177" s="84">
        <v>1.8722721442032391</v>
      </c>
      <c r="K177" s="93">
        <v>7.6586136672145884</v>
      </c>
      <c r="L177" s="84">
        <v>6.3777927246207859</v>
      </c>
      <c r="M177" s="89">
        <v>4.4674720536581995</v>
      </c>
      <c r="N177" s="84">
        <v>29.543528800133899</v>
      </c>
      <c r="O177" s="84">
        <v>2.9487592022217766</v>
      </c>
      <c r="P177" s="84">
        <v>0.81250923816825615</v>
      </c>
      <c r="Q177" s="93">
        <v>0.84969869911367091</v>
      </c>
    </row>
    <row r="178" spans="2:21" x14ac:dyDescent="0.3">
      <c r="B178" s="292"/>
      <c r="C178" s="9" t="s">
        <v>206</v>
      </c>
      <c r="D178" s="86">
        <v>6.9756193957130144</v>
      </c>
      <c r="E178" s="86">
        <v>6.6153783747657844</v>
      </c>
      <c r="F178" s="88">
        <v>8.0069693889365219</v>
      </c>
      <c r="G178" s="88">
        <v>17.460605292718594</v>
      </c>
      <c r="H178" s="88">
        <v>7.6430264243990447</v>
      </c>
      <c r="I178" s="86">
        <v>0.31957812805629893</v>
      </c>
      <c r="J178" s="86">
        <v>5.3692614956384697</v>
      </c>
      <c r="K178" s="92">
        <v>6.099061487654077</v>
      </c>
      <c r="L178" s="86">
        <v>3.1652215806965769</v>
      </c>
      <c r="M178" s="88">
        <v>3.9960434626490695</v>
      </c>
      <c r="N178" s="86">
        <v>30.325214969738052</v>
      </c>
      <c r="O178" s="86">
        <v>3.1574747871931672</v>
      </c>
      <c r="P178" s="86">
        <v>0</v>
      </c>
      <c r="Q178" s="92">
        <v>0.86654521184126176</v>
      </c>
    </row>
    <row r="179" spans="2:21" x14ac:dyDescent="0.3">
      <c r="B179" s="292"/>
      <c r="C179" s="9" t="s">
        <v>207</v>
      </c>
      <c r="D179" s="86">
        <v>9.2573607017275403</v>
      </c>
      <c r="E179" s="86">
        <v>5.9347317341500583</v>
      </c>
      <c r="F179" s="88">
        <v>10.937642614195076</v>
      </c>
      <c r="G179" s="88">
        <v>18.228061755188236</v>
      </c>
      <c r="H179" s="88">
        <v>9.6975422696521214</v>
      </c>
      <c r="I179" s="86">
        <v>0.91180725129699713</v>
      </c>
      <c r="J179" s="86">
        <v>2.9103449302538906</v>
      </c>
      <c r="K179" s="92">
        <v>6.7547490741440965</v>
      </c>
      <c r="L179" s="86">
        <v>3.6722671604711876</v>
      </c>
      <c r="M179" s="88">
        <v>5.5535520894587407</v>
      </c>
      <c r="N179" s="86">
        <v>23.40323931678401</v>
      </c>
      <c r="O179" s="86">
        <v>2.3465765154163876</v>
      </c>
      <c r="P179" s="86">
        <v>0.39212458726185551</v>
      </c>
      <c r="Q179" s="92">
        <v>0</v>
      </c>
    </row>
    <row r="180" spans="2:21" x14ac:dyDescent="0.3">
      <c r="B180" s="293"/>
      <c r="C180" s="25" t="s">
        <v>208</v>
      </c>
      <c r="D180" s="87">
        <v>9.186054508660499</v>
      </c>
      <c r="E180" s="87">
        <v>7.2637573697491993</v>
      </c>
      <c r="F180" s="95">
        <v>12.613919664775963</v>
      </c>
      <c r="G180" s="95">
        <v>15.234539320868265</v>
      </c>
      <c r="H180" s="95">
        <v>9.2640956309102123</v>
      </c>
      <c r="I180" s="87">
        <v>1.203343039684412</v>
      </c>
      <c r="J180" s="87">
        <v>3.5745591082540979</v>
      </c>
      <c r="K180" s="96">
        <v>11.370710970920667</v>
      </c>
      <c r="L180" s="87">
        <v>4.0582813364918184</v>
      </c>
      <c r="M180" s="95">
        <v>3.0758040249747758</v>
      </c>
      <c r="N180" s="87">
        <v>18.656793460257148</v>
      </c>
      <c r="O180" s="87">
        <v>2.5271057837904785</v>
      </c>
      <c r="P180" s="87">
        <v>1.0669502167610565</v>
      </c>
      <c r="Q180" s="96">
        <v>0.90408556390159622</v>
      </c>
    </row>
    <row r="181" spans="2:21" x14ac:dyDescent="0.3">
      <c r="B181" s="136"/>
    </row>
    <row r="182" spans="2:21" x14ac:dyDescent="0.3">
      <c r="B182" s="60"/>
      <c r="C182" s="9"/>
      <c r="D182" s="58"/>
      <c r="E182" s="58"/>
      <c r="F182" s="50"/>
      <c r="G182" s="58"/>
      <c r="H182" s="50"/>
      <c r="I182" s="58"/>
      <c r="J182" s="58"/>
      <c r="K182" s="58"/>
      <c r="L182" s="50"/>
      <c r="M182" s="58"/>
      <c r="N182" s="58"/>
    </row>
    <row r="183" spans="2:21" ht="17.25" customHeight="1" x14ac:dyDescent="0.3">
      <c r="B183" s="1" t="s">
        <v>488</v>
      </c>
      <c r="D183" s="59"/>
      <c r="E183" s="59"/>
      <c r="F183" s="304"/>
      <c r="G183" s="304"/>
      <c r="H183" s="304"/>
      <c r="I183" s="304"/>
      <c r="J183" s="304"/>
      <c r="K183" s="304"/>
      <c r="L183" s="304"/>
      <c r="M183" s="304"/>
      <c r="N183" s="304"/>
      <c r="O183" s="304"/>
      <c r="P183" s="304"/>
      <c r="Q183" s="304"/>
      <c r="R183" s="304"/>
      <c r="S183" s="304"/>
      <c r="T183" s="304"/>
      <c r="U183" s="304"/>
    </row>
    <row r="184" spans="2:21" ht="10.5" customHeight="1" x14ac:dyDescent="0.3"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30"/>
      <c r="P184" s="30"/>
      <c r="Q184" s="30" t="s">
        <v>157</v>
      </c>
    </row>
    <row r="185" spans="2:21" s="22" customFormat="1" ht="20.25" customHeight="1" x14ac:dyDescent="0.3">
      <c r="B185" s="307"/>
      <c r="C185" s="307"/>
      <c r="D185" s="300" t="s">
        <v>120</v>
      </c>
      <c r="E185" s="300"/>
      <c r="F185" s="300"/>
      <c r="G185" s="300"/>
      <c r="H185" s="300"/>
      <c r="I185" s="300"/>
      <c r="J185" s="301"/>
      <c r="K185" s="299" t="s">
        <v>125</v>
      </c>
      <c r="L185" s="300"/>
      <c r="M185" s="300"/>
      <c r="N185" s="300"/>
      <c r="O185" s="300"/>
      <c r="P185" s="301"/>
      <c r="Q185" s="212" t="s">
        <v>38</v>
      </c>
    </row>
    <row r="186" spans="2:21" s="22" customFormat="1" ht="27" x14ac:dyDescent="0.3">
      <c r="B186" s="300"/>
      <c r="C186" s="300"/>
      <c r="D186" s="202" t="s">
        <v>39</v>
      </c>
      <c r="E186" s="202" t="s">
        <v>40</v>
      </c>
      <c r="F186" s="202" t="s">
        <v>116</v>
      </c>
      <c r="G186" s="202" t="s">
        <v>117</v>
      </c>
      <c r="H186" s="202" t="s">
        <v>115</v>
      </c>
      <c r="I186" s="202" t="s">
        <v>119</v>
      </c>
      <c r="J186" s="202" t="s">
        <v>300</v>
      </c>
      <c r="K186" s="214" t="s">
        <v>298</v>
      </c>
      <c r="L186" s="202" t="s">
        <v>299</v>
      </c>
      <c r="M186" s="202" t="s">
        <v>121</v>
      </c>
      <c r="N186" s="202" t="s">
        <v>118</v>
      </c>
      <c r="O186" s="202" t="s">
        <v>122</v>
      </c>
      <c r="P186" s="202" t="s">
        <v>124</v>
      </c>
      <c r="Q186" s="214" t="s">
        <v>38</v>
      </c>
    </row>
    <row r="187" spans="2:21" ht="21.75" customHeight="1" x14ac:dyDescent="0.3">
      <c r="B187" s="292" t="s">
        <v>20</v>
      </c>
      <c r="C187" s="292"/>
      <c r="D187" s="86">
        <v>17.211255893981633</v>
      </c>
      <c r="E187" s="86">
        <v>18.694930280839486</v>
      </c>
      <c r="F187" s="88">
        <v>26.589341227915309</v>
      </c>
      <c r="G187" s="88">
        <v>40.202818776201148</v>
      </c>
      <c r="H187" s="88">
        <v>31.735633815608111</v>
      </c>
      <c r="I187" s="86">
        <v>5.3927504460939346</v>
      </c>
      <c r="J187" s="86">
        <v>15.55323802024219</v>
      </c>
      <c r="K187" s="92">
        <v>28.583393079446374</v>
      </c>
      <c r="L187" s="86">
        <v>18.784917563367891</v>
      </c>
      <c r="M187" s="88">
        <v>26.391943792106225</v>
      </c>
      <c r="N187" s="86">
        <v>52.31074936773684</v>
      </c>
      <c r="O187" s="86">
        <v>13.704590047547899</v>
      </c>
      <c r="P187" s="86">
        <v>3.279676898345929</v>
      </c>
      <c r="Q187" s="92">
        <v>1.5647607905665866</v>
      </c>
    </row>
    <row r="188" spans="2:21" x14ac:dyDescent="0.3">
      <c r="B188" s="296" t="s">
        <v>5</v>
      </c>
      <c r="C188" s="13" t="s">
        <v>0</v>
      </c>
      <c r="D188" s="84">
        <v>18.42484818878922</v>
      </c>
      <c r="E188" s="84">
        <v>20.003961742723245</v>
      </c>
      <c r="F188" s="89">
        <v>30.847540484974289</v>
      </c>
      <c r="G188" s="89">
        <v>41.710204023593924</v>
      </c>
      <c r="H188" s="89">
        <v>34.426156992338427</v>
      </c>
      <c r="I188" s="84">
        <v>6.7982398380599953</v>
      </c>
      <c r="J188" s="84">
        <v>16.388978942335928</v>
      </c>
      <c r="K188" s="93">
        <v>25.577286376851525</v>
      </c>
      <c r="L188" s="84">
        <v>13.976529070855323</v>
      </c>
      <c r="M188" s="89">
        <v>22.520669901667013</v>
      </c>
      <c r="N188" s="84">
        <v>52.579383183081859</v>
      </c>
      <c r="O188" s="84">
        <v>12.838330848783416</v>
      </c>
      <c r="P188" s="84">
        <v>3.0690165245592778</v>
      </c>
      <c r="Q188" s="93">
        <v>0.83885388138679584</v>
      </c>
    </row>
    <row r="189" spans="2:21" x14ac:dyDescent="0.3">
      <c r="B189" s="295"/>
      <c r="C189" s="12" t="s">
        <v>1</v>
      </c>
      <c r="D189" s="90">
        <v>16.457217437176215</v>
      </c>
      <c r="E189" s="90">
        <v>17.881592829990687</v>
      </c>
      <c r="F189" s="91">
        <v>23.943604261472398</v>
      </c>
      <c r="G189" s="91">
        <v>39.266238632590827</v>
      </c>
      <c r="H189" s="91">
        <v>30.063937354728303</v>
      </c>
      <c r="I189" s="90">
        <v>4.5194810155703085</v>
      </c>
      <c r="J189" s="90">
        <v>15.033969071451905</v>
      </c>
      <c r="K189" s="94">
        <v>30.451170312966603</v>
      </c>
      <c r="L189" s="90">
        <v>21.772502318254638</v>
      </c>
      <c r="M189" s="91">
        <v>28.797273327162976</v>
      </c>
      <c r="N189" s="90">
        <v>52.143839748719664</v>
      </c>
      <c r="O189" s="90">
        <v>14.242820845670629</v>
      </c>
      <c r="P189" s="90">
        <v>3.4105660147648256</v>
      </c>
      <c r="Q189" s="94">
        <v>2.0157868294795245</v>
      </c>
    </row>
    <row r="190" spans="2:21" x14ac:dyDescent="0.3">
      <c r="B190" s="296" t="s">
        <v>4</v>
      </c>
      <c r="C190" s="9" t="s">
        <v>175</v>
      </c>
      <c r="D190" s="86">
        <v>25.66736554295214</v>
      </c>
      <c r="E190" s="86">
        <v>17.442429784019929</v>
      </c>
      <c r="F190" s="88">
        <v>35.591153594358985</v>
      </c>
      <c r="G190" s="88">
        <v>28.343607799536414</v>
      </c>
      <c r="H190" s="88">
        <v>24.271750718895614</v>
      </c>
      <c r="I190" s="86">
        <v>4.0106749997936024</v>
      </c>
      <c r="J190" s="86">
        <v>9.8916272367460394</v>
      </c>
      <c r="K190" s="92">
        <v>62.734038768891097</v>
      </c>
      <c r="L190" s="86">
        <v>40.102640040779249</v>
      </c>
      <c r="M190" s="88">
        <v>17.136428017620617</v>
      </c>
      <c r="N190" s="86">
        <v>23.691315605824112</v>
      </c>
      <c r="O190" s="86">
        <v>3.1659609789859511</v>
      </c>
      <c r="P190" s="86">
        <v>6.1649403005274674</v>
      </c>
      <c r="Q190" s="92">
        <v>1.7860666110687928</v>
      </c>
    </row>
    <row r="191" spans="2:21" x14ac:dyDescent="0.3">
      <c r="B191" s="292"/>
      <c r="C191" s="9" t="s">
        <v>176</v>
      </c>
      <c r="D191" s="86">
        <v>15.74141328127919</v>
      </c>
      <c r="E191" s="86">
        <v>23.875286600982914</v>
      </c>
      <c r="F191" s="88">
        <v>38.260413248461099</v>
      </c>
      <c r="G191" s="88">
        <v>36.015823943046129</v>
      </c>
      <c r="H191" s="88">
        <v>30.783042809293239</v>
      </c>
      <c r="I191" s="86">
        <v>8.2234030703676719</v>
      </c>
      <c r="J191" s="86">
        <v>11.649589061945333</v>
      </c>
      <c r="K191" s="92">
        <v>45.014936104234785</v>
      </c>
      <c r="L191" s="86">
        <v>24.650092767400242</v>
      </c>
      <c r="M191" s="88">
        <v>15.59460514057314</v>
      </c>
      <c r="N191" s="86">
        <v>39.66981594756944</v>
      </c>
      <c r="O191" s="86">
        <v>5.6511190622620333</v>
      </c>
      <c r="P191" s="86">
        <v>3.8449562850928682</v>
      </c>
      <c r="Q191" s="92">
        <v>1.0255026774918563</v>
      </c>
    </row>
    <row r="192" spans="2:21" x14ac:dyDescent="0.3">
      <c r="B192" s="292"/>
      <c r="C192" s="9" t="s">
        <v>177</v>
      </c>
      <c r="D192" s="86">
        <v>22.999887308728152</v>
      </c>
      <c r="E192" s="86">
        <v>22.743122718619325</v>
      </c>
      <c r="F192" s="88">
        <v>31.518231401506934</v>
      </c>
      <c r="G192" s="88">
        <v>32.075027434937091</v>
      </c>
      <c r="H192" s="88">
        <v>29.51498470947654</v>
      </c>
      <c r="I192" s="86">
        <v>7.4383673366357446</v>
      </c>
      <c r="J192" s="86">
        <v>10.911682416607654</v>
      </c>
      <c r="K192" s="92">
        <v>28.705060485135292</v>
      </c>
      <c r="L192" s="86">
        <v>24.9599096033633</v>
      </c>
      <c r="M192" s="88">
        <v>26.740136148882996</v>
      </c>
      <c r="N192" s="86">
        <v>50.427550989020418</v>
      </c>
      <c r="O192" s="86">
        <v>8.6605822420363978</v>
      </c>
      <c r="P192" s="86">
        <v>1.7876803575581413</v>
      </c>
      <c r="Q192" s="92">
        <v>1.5177768474918429</v>
      </c>
    </row>
    <row r="193" spans="2:17" x14ac:dyDescent="0.3">
      <c r="B193" s="292"/>
      <c r="C193" s="9" t="s">
        <v>178</v>
      </c>
      <c r="D193" s="86">
        <v>14.826704367212587</v>
      </c>
      <c r="E193" s="86">
        <v>17.163638969363774</v>
      </c>
      <c r="F193" s="88">
        <v>25.033681028981729</v>
      </c>
      <c r="G193" s="88">
        <v>35.969272119223604</v>
      </c>
      <c r="H193" s="88">
        <v>31.029426783289388</v>
      </c>
      <c r="I193" s="86">
        <v>5.8388157782810808</v>
      </c>
      <c r="J193" s="86">
        <v>14.25183876434418</v>
      </c>
      <c r="K193" s="92">
        <v>28.432733095833878</v>
      </c>
      <c r="L193" s="86">
        <v>18.109535620595729</v>
      </c>
      <c r="M193" s="88">
        <v>31.636699812474848</v>
      </c>
      <c r="N193" s="86">
        <v>60.039427222883745</v>
      </c>
      <c r="O193" s="86">
        <v>13.883590161045618</v>
      </c>
      <c r="P193" s="86">
        <v>2.659992951149178</v>
      </c>
      <c r="Q193" s="92">
        <v>1.1246433253208339</v>
      </c>
    </row>
    <row r="194" spans="2:17" x14ac:dyDescent="0.3">
      <c r="B194" s="292"/>
      <c r="C194" s="9" t="s">
        <v>179</v>
      </c>
      <c r="D194" s="86">
        <v>13.884126044933273</v>
      </c>
      <c r="E194" s="86">
        <v>15.551179566020867</v>
      </c>
      <c r="F194" s="88">
        <v>18.636229894276116</v>
      </c>
      <c r="G194" s="88">
        <v>48.481976709156861</v>
      </c>
      <c r="H194" s="88">
        <v>31.146819278530653</v>
      </c>
      <c r="I194" s="86">
        <v>2.2688033569707575</v>
      </c>
      <c r="J194" s="86">
        <v>18.74763466700503</v>
      </c>
      <c r="K194" s="92">
        <v>20.727878371093919</v>
      </c>
      <c r="L194" s="86">
        <v>11.875326376189992</v>
      </c>
      <c r="M194" s="88">
        <v>32.162934512863536</v>
      </c>
      <c r="N194" s="86">
        <v>62.602164914669935</v>
      </c>
      <c r="O194" s="86">
        <v>18.354503593468117</v>
      </c>
      <c r="P194" s="86">
        <v>3.4283765133097179</v>
      </c>
      <c r="Q194" s="92">
        <v>2.1320462015112955</v>
      </c>
    </row>
    <row r="195" spans="2:17" x14ac:dyDescent="0.3">
      <c r="B195" s="298"/>
      <c r="C195" s="12" t="s">
        <v>180</v>
      </c>
      <c r="D195" s="90">
        <v>17.112170810423731</v>
      </c>
      <c r="E195" s="90">
        <v>14.986692905121016</v>
      </c>
      <c r="F195" s="91">
        <v>19.706835686417605</v>
      </c>
      <c r="G195" s="91">
        <v>50.60964373193432</v>
      </c>
      <c r="H195" s="91">
        <v>38.02810877460864</v>
      </c>
      <c r="I195" s="90">
        <v>3.8689805224765972</v>
      </c>
      <c r="J195" s="90">
        <v>23.224322072918969</v>
      </c>
      <c r="K195" s="94">
        <v>16.446990972474591</v>
      </c>
      <c r="L195" s="90">
        <v>11.364931881928801</v>
      </c>
      <c r="M195" s="91">
        <v>24.815017400884944</v>
      </c>
      <c r="N195" s="90">
        <v>50.308680789470614</v>
      </c>
      <c r="O195" s="90">
        <v>23.142914049176145</v>
      </c>
      <c r="P195" s="90">
        <v>4.4706326738829008</v>
      </c>
      <c r="Q195" s="94">
        <v>1.9140777282813322</v>
      </c>
    </row>
    <row r="196" spans="2:17" x14ac:dyDescent="0.3">
      <c r="B196" s="292" t="s">
        <v>223</v>
      </c>
      <c r="C196" s="9" t="s">
        <v>210</v>
      </c>
      <c r="D196" s="86">
        <v>44.360280591580235</v>
      </c>
      <c r="E196" s="86">
        <v>31.638667217339801</v>
      </c>
      <c r="F196" s="88">
        <v>56.524961918740836</v>
      </c>
      <c r="G196" s="88">
        <v>19.125780810391717</v>
      </c>
      <c r="H196" s="88">
        <v>32.50153561005979</v>
      </c>
      <c r="I196" s="86">
        <v>6.1002288977441594</v>
      </c>
      <c r="J196" s="86">
        <v>5.4130744977847316</v>
      </c>
      <c r="K196" s="92">
        <v>43.813638318580118</v>
      </c>
      <c r="L196" s="86">
        <v>17.998522738092177</v>
      </c>
      <c r="M196" s="88">
        <v>14.357738498687297</v>
      </c>
      <c r="N196" s="86">
        <v>15.388031213030429</v>
      </c>
      <c r="O196" s="86">
        <v>4.0668192651627733</v>
      </c>
      <c r="P196" s="86">
        <v>8.7107204228059079</v>
      </c>
      <c r="Q196" s="92">
        <v>0</v>
      </c>
    </row>
    <row r="197" spans="2:17" x14ac:dyDescent="0.3">
      <c r="B197" s="292"/>
      <c r="C197" s="9" t="s">
        <v>211</v>
      </c>
      <c r="D197" s="86">
        <v>17.850788011517103</v>
      </c>
      <c r="E197" s="86">
        <v>20.93130268265481</v>
      </c>
      <c r="F197" s="88">
        <v>42.767064350673913</v>
      </c>
      <c r="G197" s="88">
        <v>34.419510842766854</v>
      </c>
      <c r="H197" s="88">
        <v>32.047890650438617</v>
      </c>
      <c r="I197" s="86">
        <v>10.028338672540595</v>
      </c>
      <c r="J197" s="86">
        <v>13.811064047148513</v>
      </c>
      <c r="K197" s="92">
        <v>37.864795985226728</v>
      </c>
      <c r="L197" s="86">
        <v>15.315962153934976</v>
      </c>
      <c r="M197" s="88">
        <v>18.366036511008744</v>
      </c>
      <c r="N197" s="86">
        <v>43.264766021087283</v>
      </c>
      <c r="O197" s="86">
        <v>6.2352885946776127</v>
      </c>
      <c r="P197" s="86">
        <v>5.5008858563460441</v>
      </c>
      <c r="Q197" s="92">
        <v>1.5963056199779997</v>
      </c>
    </row>
    <row r="198" spans="2:17" x14ac:dyDescent="0.3">
      <c r="B198" s="292"/>
      <c r="C198" s="9" t="s">
        <v>212</v>
      </c>
      <c r="D198" s="86">
        <v>24.959943415474275</v>
      </c>
      <c r="E198" s="86">
        <v>20.989580136202019</v>
      </c>
      <c r="F198" s="88">
        <v>36.959197968868615</v>
      </c>
      <c r="G198" s="88">
        <v>35.725836399176856</v>
      </c>
      <c r="H198" s="88">
        <v>32.736989938602498</v>
      </c>
      <c r="I198" s="86">
        <v>10.001811143969867</v>
      </c>
      <c r="J198" s="86">
        <v>11.858218050419715</v>
      </c>
      <c r="K198" s="92">
        <v>26.719180119314601</v>
      </c>
      <c r="L198" s="86">
        <v>16.21308861502408</v>
      </c>
      <c r="M198" s="88">
        <v>22.590991041935332</v>
      </c>
      <c r="N198" s="86">
        <v>47.626635674542833</v>
      </c>
      <c r="O198" s="86">
        <v>12.450661977245256</v>
      </c>
      <c r="P198" s="86">
        <v>1.1678655192240155</v>
      </c>
      <c r="Q198" s="92">
        <v>0</v>
      </c>
    </row>
    <row r="199" spans="2:17" x14ac:dyDescent="0.3">
      <c r="B199" s="292"/>
      <c r="C199" s="9" t="s">
        <v>213</v>
      </c>
      <c r="D199" s="86">
        <v>20.869036139902246</v>
      </c>
      <c r="E199" s="86">
        <v>24.224281523770586</v>
      </c>
      <c r="F199" s="88">
        <v>29.743490693044137</v>
      </c>
      <c r="G199" s="88">
        <v>38.36870826668104</v>
      </c>
      <c r="H199" s="88">
        <v>33.545626107136492</v>
      </c>
      <c r="I199" s="86">
        <v>8.8014769288007972</v>
      </c>
      <c r="J199" s="86">
        <v>16.101662954191013</v>
      </c>
      <c r="K199" s="92">
        <v>26.279872105945817</v>
      </c>
      <c r="L199" s="86">
        <v>19.650997894584034</v>
      </c>
      <c r="M199" s="88">
        <v>17.9297472393852</v>
      </c>
      <c r="N199" s="86">
        <v>52.263943404269831</v>
      </c>
      <c r="O199" s="86">
        <v>9.8157440501723521</v>
      </c>
      <c r="P199" s="86">
        <v>1.4432914387596629</v>
      </c>
      <c r="Q199" s="92">
        <v>0.96212125335683685</v>
      </c>
    </row>
    <row r="200" spans="2:17" x14ac:dyDescent="0.3">
      <c r="B200" s="292"/>
      <c r="C200" s="9" t="s">
        <v>214</v>
      </c>
      <c r="D200" s="86">
        <v>14.746304712266669</v>
      </c>
      <c r="E200" s="86">
        <v>15.326821003228005</v>
      </c>
      <c r="F200" s="88">
        <v>19.148534234511118</v>
      </c>
      <c r="G200" s="88">
        <v>49.941756662946311</v>
      </c>
      <c r="H200" s="88">
        <v>33.409378833875728</v>
      </c>
      <c r="I200" s="86">
        <v>2.1221810942939174</v>
      </c>
      <c r="J200" s="86">
        <v>17.503359105087565</v>
      </c>
      <c r="K200" s="92">
        <v>20.37155463783003</v>
      </c>
      <c r="L200" s="86">
        <v>10.171994652857657</v>
      </c>
      <c r="M200" s="88">
        <v>29.541069988304674</v>
      </c>
      <c r="N200" s="86">
        <v>67.730613379073802</v>
      </c>
      <c r="O200" s="86">
        <v>15.911621306483289</v>
      </c>
      <c r="P200" s="86">
        <v>3.0264715702992548</v>
      </c>
      <c r="Q200" s="92">
        <v>1.0483388189422158</v>
      </c>
    </row>
    <row r="201" spans="2:17" x14ac:dyDescent="0.3">
      <c r="B201" s="292"/>
      <c r="C201" s="12" t="s">
        <v>215</v>
      </c>
      <c r="D201" s="90">
        <v>8.6875404053923724</v>
      </c>
      <c r="E201" s="90">
        <v>17.780694116120944</v>
      </c>
      <c r="F201" s="91">
        <v>23.45267538981156</v>
      </c>
      <c r="G201" s="91">
        <v>52.933686856903464</v>
      </c>
      <c r="H201" s="91">
        <v>41.559424249085261</v>
      </c>
      <c r="I201" s="90">
        <v>3.7554447326792681</v>
      </c>
      <c r="J201" s="90">
        <v>25.433096385989423</v>
      </c>
      <c r="K201" s="94">
        <v>14.918966876031211</v>
      </c>
      <c r="L201" s="90">
        <v>8.3669122901768347</v>
      </c>
      <c r="M201" s="91">
        <v>23.30809533451724</v>
      </c>
      <c r="N201" s="90">
        <v>54.651494055990923</v>
      </c>
      <c r="O201" s="90">
        <v>20.43840322906463</v>
      </c>
      <c r="P201" s="90">
        <v>3.8269957689716256</v>
      </c>
      <c r="Q201" s="94">
        <v>0.88657030926517533</v>
      </c>
    </row>
    <row r="202" spans="2:17" x14ac:dyDescent="0.3">
      <c r="B202" s="292"/>
      <c r="C202" s="9" t="s">
        <v>216</v>
      </c>
      <c r="D202" s="86">
        <v>16.067451447103149</v>
      </c>
      <c r="E202" s="86">
        <v>10.151824787976329</v>
      </c>
      <c r="F202" s="88">
        <v>24.840408668260181</v>
      </c>
      <c r="G202" s="88">
        <v>33.077505483016346</v>
      </c>
      <c r="H202" s="88">
        <v>20.045270912136406</v>
      </c>
      <c r="I202" s="86">
        <v>2.9375658636963959</v>
      </c>
      <c r="J202" s="86">
        <v>12.191628143823035</v>
      </c>
      <c r="K202" s="92">
        <v>72.450780032067087</v>
      </c>
      <c r="L202" s="86">
        <v>51.454407633920873</v>
      </c>
      <c r="M202" s="88">
        <v>18.563448929629391</v>
      </c>
      <c r="N202" s="86">
        <v>27.955541740531398</v>
      </c>
      <c r="O202" s="86">
        <v>2.7033171303762642</v>
      </c>
      <c r="P202" s="86">
        <v>4.8575320970869544</v>
      </c>
      <c r="Q202" s="92">
        <v>2.7033171303762642</v>
      </c>
    </row>
    <row r="203" spans="2:17" x14ac:dyDescent="0.3">
      <c r="B203" s="292"/>
      <c r="C203" s="9" t="s">
        <v>217</v>
      </c>
      <c r="D203" s="86">
        <v>14.336147398090269</v>
      </c>
      <c r="E203" s="86">
        <v>25.83656929854169</v>
      </c>
      <c r="F203" s="88">
        <v>35.258081348589933</v>
      </c>
      <c r="G203" s="88">
        <v>37.079288061845453</v>
      </c>
      <c r="H203" s="88">
        <v>29.940400914940817</v>
      </c>
      <c r="I203" s="86">
        <v>7.0209545974969521</v>
      </c>
      <c r="J203" s="86">
        <v>10.209613978082576</v>
      </c>
      <c r="K203" s="92">
        <v>49.778360935880997</v>
      </c>
      <c r="L203" s="86">
        <v>30.868492519848466</v>
      </c>
      <c r="M203" s="88">
        <v>13.748276986242114</v>
      </c>
      <c r="N203" s="86">
        <v>37.274859462283203</v>
      </c>
      <c r="O203" s="86">
        <v>5.2619451984936667</v>
      </c>
      <c r="P203" s="86">
        <v>2.7417756609544131</v>
      </c>
      <c r="Q203" s="92">
        <v>0.64523363870937589</v>
      </c>
    </row>
    <row r="204" spans="2:17" x14ac:dyDescent="0.3">
      <c r="B204" s="292"/>
      <c r="C204" s="9" t="s">
        <v>218</v>
      </c>
      <c r="D204" s="86">
        <v>21.618259833740815</v>
      </c>
      <c r="E204" s="86">
        <v>23.979180503949763</v>
      </c>
      <c r="F204" s="88">
        <v>27.682938690200842</v>
      </c>
      <c r="G204" s="88">
        <v>29.501602136771872</v>
      </c>
      <c r="H204" s="88">
        <v>27.24381964752159</v>
      </c>
      <c r="I204" s="86">
        <v>5.6314168199596866</v>
      </c>
      <c r="J204" s="86">
        <v>10.244477210987132</v>
      </c>
      <c r="K204" s="92">
        <v>30.104891268556393</v>
      </c>
      <c r="L204" s="86">
        <v>31.125471984303164</v>
      </c>
      <c r="M204" s="88">
        <v>29.664834507127839</v>
      </c>
      <c r="N204" s="86">
        <v>52.401893223549258</v>
      </c>
      <c r="O204" s="86">
        <v>5.9889861195915479</v>
      </c>
      <c r="P204" s="86">
        <v>2.2245827539231553</v>
      </c>
      <c r="Q204" s="92">
        <v>2.5876452998167165</v>
      </c>
    </row>
    <row r="205" spans="2:17" x14ac:dyDescent="0.3">
      <c r="B205" s="292"/>
      <c r="C205" s="9" t="s">
        <v>219</v>
      </c>
      <c r="D205" s="86">
        <v>11.896464299317715</v>
      </c>
      <c r="E205" s="86">
        <v>13.739567187751417</v>
      </c>
      <c r="F205" s="88">
        <v>22.749650044094086</v>
      </c>
      <c r="G205" s="88">
        <v>34.805661082270319</v>
      </c>
      <c r="H205" s="88">
        <v>29.809191226070936</v>
      </c>
      <c r="I205" s="86">
        <v>4.4020677251393332</v>
      </c>
      <c r="J205" s="86">
        <v>13.354763071786236</v>
      </c>
      <c r="K205" s="92">
        <v>29.476767050025295</v>
      </c>
      <c r="L205" s="86">
        <v>17.362000614523328</v>
      </c>
      <c r="M205" s="88">
        <v>38.283912039373583</v>
      </c>
      <c r="N205" s="86">
        <v>63.81016260943597</v>
      </c>
      <c r="O205" s="86">
        <v>15.856299722937987</v>
      </c>
      <c r="P205" s="86">
        <v>3.2500346198947185</v>
      </c>
      <c r="Q205" s="92">
        <v>1.2034587073789094</v>
      </c>
    </row>
    <row r="206" spans="2:17" x14ac:dyDescent="0.3">
      <c r="B206" s="292"/>
      <c r="C206" s="9" t="s">
        <v>220</v>
      </c>
      <c r="D206" s="86">
        <v>13.271728959984996</v>
      </c>
      <c r="E206" s="86">
        <v>15.710539261456702</v>
      </c>
      <c r="F206" s="88">
        <v>18.272345126010407</v>
      </c>
      <c r="G206" s="88">
        <v>47.445109268291553</v>
      </c>
      <c r="H206" s="88">
        <v>29.539745328881061</v>
      </c>
      <c r="I206" s="86">
        <v>2.3729477178252489</v>
      </c>
      <c r="J206" s="86">
        <v>19.631431443544784</v>
      </c>
      <c r="K206" s="92">
        <v>20.980971637972772</v>
      </c>
      <c r="L206" s="86">
        <v>13.085186259750801</v>
      </c>
      <c r="M206" s="88">
        <v>34.0252192721642</v>
      </c>
      <c r="N206" s="86">
        <v>58.959478069236802</v>
      </c>
      <c r="O206" s="86">
        <v>20.089659017863141</v>
      </c>
      <c r="P206" s="86">
        <v>3.7138456681974548</v>
      </c>
      <c r="Q206" s="92">
        <v>2.9017929688197621</v>
      </c>
    </row>
    <row r="207" spans="2:17" x14ac:dyDescent="0.3">
      <c r="B207" s="295"/>
      <c r="C207" s="9" t="s">
        <v>221</v>
      </c>
      <c r="D207" s="86">
        <v>22.03191896202182</v>
      </c>
      <c r="E207" s="86">
        <v>13.355074468166132</v>
      </c>
      <c r="F207" s="88">
        <v>17.519370234408047</v>
      </c>
      <c r="G207" s="88">
        <v>49.252467651963713</v>
      </c>
      <c r="H207" s="88">
        <v>35.965919462672673</v>
      </c>
      <c r="I207" s="86">
        <v>3.9352822431624093</v>
      </c>
      <c r="J207" s="86">
        <v>21.934459749993056</v>
      </c>
      <c r="K207" s="92">
        <v>17.339314239212197</v>
      </c>
      <c r="L207" s="86">
        <v>13.115691337936255</v>
      </c>
      <c r="M207" s="88">
        <v>25.695017673203957</v>
      </c>
      <c r="N207" s="86">
        <v>47.772599500024448</v>
      </c>
      <c r="O207" s="86">
        <v>24.722272604807756</v>
      </c>
      <c r="P207" s="86">
        <v>4.8464985957097415</v>
      </c>
      <c r="Q207" s="92">
        <v>2.5141132767178624</v>
      </c>
    </row>
    <row r="208" spans="2:17" ht="16.5" customHeight="1" x14ac:dyDescent="0.3">
      <c r="B208" s="291" t="s">
        <v>222</v>
      </c>
      <c r="C208" s="13" t="s">
        <v>226</v>
      </c>
      <c r="D208" s="84">
        <v>14.454621933111078</v>
      </c>
      <c r="E208" s="84">
        <v>16.811850452192601</v>
      </c>
      <c r="F208" s="89">
        <v>25.358735668453868</v>
      </c>
      <c r="G208" s="89">
        <v>40.23566944910857</v>
      </c>
      <c r="H208" s="89">
        <v>25.42109817290914</v>
      </c>
      <c r="I208" s="84">
        <v>6.0661336660615488</v>
      </c>
      <c r="J208" s="84">
        <v>18.370541822160565</v>
      </c>
      <c r="K208" s="93">
        <v>27.848974746333223</v>
      </c>
      <c r="L208" s="84">
        <v>21.264521091045196</v>
      </c>
      <c r="M208" s="89">
        <v>25.988606934555257</v>
      </c>
      <c r="N208" s="84">
        <v>56.065393659708384</v>
      </c>
      <c r="O208" s="84">
        <v>15.340701812217544</v>
      </c>
      <c r="P208" s="84">
        <v>4.296491680767506</v>
      </c>
      <c r="Q208" s="93">
        <v>2.4766589113755457</v>
      </c>
    </row>
    <row r="209" spans="2:17" ht="16.5" customHeight="1" x14ac:dyDescent="0.3">
      <c r="B209" s="294"/>
      <c r="C209" s="9" t="s">
        <v>227</v>
      </c>
      <c r="D209" s="86">
        <v>18.097936778212393</v>
      </c>
      <c r="E209" s="86">
        <v>15.998058413693803</v>
      </c>
      <c r="F209" s="88">
        <v>27.024449629986325</v>
      </c>
      <c r="G209" s="88">
        <v>43.906188702336365</v>
      </c>
      <c r="H209" s="88">
        <v>31.103414548831381</v>
      </c>
      <c r="I209" s="86">
        <v>5.9046183566087382</v>
      </c>
      <c r="J209" s="86">
        <v>14.677398161452782</v>
      </c>
      <c r="K209" s="92">
        <v>29.310360633356375</v>
      </c>
      <c r="L209" s="86">
        <v>17.575584725686486</v>
      </c>
      <c r="M209" s="88">
        <v>25.66311079828419</v>
      </c>
      <c r="N209" s="86">
        <v>52.238082228699547</v>
      </c>
      <c r="O209" s="86">
        <v>13.815020006583856</v>
      </c>
      <c r="P209" s="86">
        <v>3.1623783103748369</v>
      </c>
      <c r="Q209" s="92">
        <v>1.5233987058929863</v>
      </c>
    </row>
    <row r="210" spans="2:17" x14ac:dyDescent="0.3">
      <c r="B210" s="292"/>
      <c r="C210" s="9" t="s">
        <v>228</v>
      </c>
      <c r="D210" s="86">
        <v>15.321361380070828</v>
      </c>
      <c r="E210" s="86">
        <v>18.394789210606977</v>
      </c>
      <c r="F210" s="88">
        <v>27.60949198185212</v>
      </c>
      <c r="G210" s="88">
        <v>40.120149583648178</v>
      </c>
      <c r="H210" s="88">
        <v>35.197539728827593</v>
      </c>
      <c r="I210" s="86">
        <v>4.9474693748301215</v>
      </c>
      <c r="J210" s="86">
        <v>15.676625551522449</v>
      </c>
      <c r="K210" s="92">
        <v>26.414220059636378</v>
      </c>
      <c r="L210" s="86">
        <v>19.852724305538132</v>
      </c>
      <c r="M210" s="88">
        <v>26.868618172017243</v>
      </c>
      <c r="N210" s="86">
        <v>50.53760655913554</v>
      </c>
      <c r="O210" s="86">
        <v>14.314561252605074</v>
      </c>
      <c r="P210" s="86">
        <v>3.635849765902698</v>
      </c>
      <c r="Q210" s="92">
        <v>1.1089930738069436</v>
      </c>
    </row>
    <row r="211" spans="2:17" x14ac:dyDescent="0.3">
      <c r="B211" s="295"/>
      <c r="C211" s="12" t="s">
        <v>229</v>
      </c>
      <c r="D211" s="90">
        <v>20.218544984462813</v>
      </c>
      <c r="E211" s="90">
        <v>23.252497277459934</v>
      </c>
      <c r="F211" s="91">
        <v>26.287790120192479</v>
      </c>
      <c r="G211" s="91">
        <v>36.483422299470298</v>
      </c>
      <c r="H211" s="91">
        <v>34.625306484917559</v>
      </c>
      <c r="I211" s="90">
        <v>4.6984474994184984</v>
      </c>
      <c r="J211" s="90">
        <v>14.005088142131793</v>
      </c>
      <c r="K211" s="94">
        <v>30.319489871035817</v>
      </c>
      <c r="L211" s="90">
        <v>17.042358221919013</v>
      </c>
      <c r="M211" s="91">
        <v>27.056180147070087</v>
      </c>
      <c r="N211" s="90">
        <v>50.802829116000424</v>
      </c>
      <c r="O211" s="90">
        <v>11.713122493102416</v>
      </c>
      <c r="P211" s="90">
        <v>2.2506761201724608</v>
      </c>
      <c r="Q211" s="94">
        <v>1.2442472226469603</v>
      </c>
    </row>
    <row r="212" spans="2:17" x14ac:dyDescent="0.3">
      <c r="B212" s="296" t="s">
        <v>199</v>
      </c>
      <c r="C212" s="13" t="s">
        <v>192</v>
      </c>
      <c r="D212" s="84">
        <v>19.494407168861414</v>
      </c>
      <c r="E212" s="84">
        <v>23.448964086204136</v>
      </c>
      <c r="F212" s="89">
        <v>30.091329594329487</v>
      </c>
      <c r="G212" s="89">
        <v>37.782000057764876</v>
      </c>
      <c r="H212" s="89">
        <v>32.525352096775414</v>
      </c>
      <c r="I212" s="84">
        <v>5.7581351399216389</v>
      </c>
      <c r="J212" s="84">
        <v>13.329927643647183</v>
      </c>
      <c r="K212" s="93">
        <v>28.833485428971162</v>
      </c>
      <c r="L212" s="84">
        <v>18.483801533297083</v>
      </c>
      <c r="M212" s="89">
        <v>25.308022367408533</v>
      </c>
      <c r="N212" s="84">
        <v>50.059886172405378</v>
      </c>
      <c r="O212" s="84">
        <v>10.69323426982449</v>
      </c>
      <c r="P212" s="84">
        <v>2.4529697699789965</v>
      </c>
      <c r="Q212" s="93">
        <v>1.7384846706099331</v>
      </c>
    </row>
    <row r="213" spans="2:17" x14ac:dyDescent="0.3">
      <c r="B213" s="292"/>
      <c r="C213" s="9" t="s">
        <v>200</v>
      </c>
      <c r="D213" s="86">
        <v>7.4090507178389426</v>
      </c>
      <c r="E213" s="86">
        <v>12.878371247595341</v>
      </c>
      <c r="F213" s="88">
        <v>13.385262465228271</v>
      </c>
      <c r="G213" s="88">
        <v>54.761026016971584</v>
      </c>
      <c r="H213" s="88">
        <v>21.067946070075624</v>
      </c>
      <c r="I213" s="86">
        <v>3.5314531999379764</v>
      </c>
      <c r="J213" s="86">
        <v>14.954100936031844</v>
      </c>
      <c r="K213" s="92">
        <v>25.708688634937559</v>
      </c>
      <c r="L213" s="86">
        <v>27.017659046682489</v>
      </c>
      <c r="M213" s="88">
        <v>22.274894969215293</v>
      </c>
      <c r="N213" s="86">
        <v>59.406922731685441</v>
      </c>
      <c r="O213" s="86">
        <v>27.929441094400552</v>
      </c>
      <c r="P213" s="86">
        <v>7.1760435263032729</v>
      </c>
      <c r="Q213" s="92">
        <v>2.4991393430959929</v>
      </c>
    </row>
    <row r="214" spans="2:17" x14ac:dyDescent="0.3">
      <c r="B214" s="292"/>
      <c r="C214" s="9" t="s">
        <v>201</v>
      </c>
      <c r="D214" s="86">
        <v>14.402674783438851</v>
      </c>
      <c r="E214" s="86">
        <v>13.886539761380023</v>
      </c>
      <c r="F214" s="88">
        <v>26.674905279133633</v>
      </c>
      <c r="G214" s="88">
        <v>37.460892389956904</v>
      </c>
      <c r="H214" s="88">
        <v>32.764524299356054</v>
      </c>
      <c r="I214" s="86">
        <v>6.4612323327076853</v>
      </c>
      <c r="J214" s="86">
        <v>20.089095234701961</v>
      </c>
      <c r="K214" s="92">
        <v>26.667346396312041</v>
      </c>
      <c r="L214" s="86">
        <v>19.938825591891003</v>
      </c>
      <c r="M214" s="88">
        <v>25.316466295043718</v>
      </c>
      <c r="N214" s="86">
        <v>53.787952088523028</v>
      </c>
      <c r="O214" s="86">
        <v>16.605835414084186</v>
      </c>
      <c r="P214" s="86">
        <v>4.1339112299461256</v>
      </c>
      <c r="Q214" s="92">
        <v>1.8097989035249322</v>
      </c>
    </row>
    <row r="215" spans="2:17" x14ac:dyDescent="0.3">
      <c r="B215" s="292"/>
      <c r="C215" s="9" t="s">
        <v>202</v>
      </c>
      <c r="D215" s="86">
        <v>14.205636975872062</v>
      </c>
      <c r="E215" s="86">
        <v>8.1921057950803782</v>
      </c>
      <c r="F215" s="88">
        <v>23.254926859423918</v>
      </c>
      <c r="G215" s="88">
        <v>38.78479169659056</v>
      </c>
      <c r="H215" s="88">
        <v>32.426016583612977</v>
      </c>
      <c r="I215" s="86">
        <v>4.4815355027030064</v>
      </c>
      <c r="J215" s="86">
        <v>12.264695268414256</v>
      </c>
      <c r="K215" s="92">
        <v>35.285763473655656</v>
      </c>
      <c r="L215" s="86">
        <v>19.720769404272371</v>
      </c>
      <c r="M215" s="88">
        <v>28.979193514948708</v>
      </c>
      <c r="N215" s="86">
        <v>56.150546905429152</v>
      </c>
      <c r="O215" s="86">
        <v>18.797376062882247</v>
      </c>
      <c r="P215" s="86">
        <v>5.5331732720593179</v>
      </c>
      <c r="Q215" s="92">
        <v>1.9234686850555718</v>
      </c>
    </row>
    <row r="216" spans="2:17" x14ac:dyDescent="0.3">
      <c r="B216" s="295"/>
      <c r="C216" s="12" t="s">
        <v>203</v>
      </c>
      <c r="D216" s="90">
        <v>15.49066301386719</v>
      </c>
      <c r="E216" s="90">
        <v>13.157859732529808</v>
      </c>
      <c r="F216" s="91">
        <v>20.925158709002904</v>
      </c>
      <c r="G216" s="91">
        <v>45.701158596468453</v>
      </c>
      <c r="H216" s="91">
        <v>31.005841122880852</v>
      </c>
      <c r="I216" s="90">
        <v>4.5812561564472425</v>
      </c>
      <c r="J216" s="90">
        <v>20.693499679385049</v>
      </c>
      <c r="K216" s="94">
        <v>26.985876372387459</v>
      </c>
      <c r="L216" s="90">
        <v>17.001356748736683</v>
      </c>
      <c r="M216" s="91">
        <v>29.778979199896828</v>
      </c>
      <c r="N216" s="90">
        <v>54.853823174435199</v>
      </c>
      <c r="O216" s="90">
        <v>15.693257438455122</v>
      </c>
      <c r="P216" s="90">
        <v>3.485227254624232</v>
      </c>
      <c r="Q216" s="94">
        <v>0.64604280088312482</v>
      </c>
    </row>
    <row r="217" spans="2:17" x14ac:dyDescent="0.3">
      <c r="B217" s="291" t="s">
        <v>204</v>
      </c>
      <c r="C217" s="13" t="s">
        <v>192</v>
      </c>
      <c r="D217" s="84">
        <v>19.494407168861414</v>
      </c>
      <c r="E217" s="84">
        <v>23.448964086204136</v>
      </c>
      <c r="F217" s="89">
        <v>30.091329594329487</v>
      </c>
      <c r="G217" s="89">
        <v>37.782000057764876</v>
      </c>
      <c r="H217" s="89">
        <v>32.525352096775414</v>
      </c>
      <c r="I217" s="84">
        <v>5.7581351399216389</v>
      </c>
      <c r="J217" s="84">
        <v>13.329927643647183</v>
      </c>
      <c r="K217" s="93">
        <v>28.833485428971162</v>
      </c>
      <c r="L217" s="84">
        <v>18.483801533297083</v>
      </c>
      <c r="M217" s="89">
        <v>25.308022367408533</v>
      </c>
      <c r="N217" s="84">
        <v>50.059886172405378</v>
      </c>
      <c r="O217" s="84">
        <v>10.69323426982449</v>
      </c>
      <c r="P217" s="84">
        <v>2.4529697699789965</v>
      </c>
      <c r="Q217" s="93">
        <v>1.7384846706099331</v>
      </c>
    </row>
    <row r="218" spans="2:17" x14ac:dyDescent="0.3">
      <c r="B218" s="295"/>
      <c r="C218" s="12" t="s">
        <v>193</v>
      </c>
      <c r="D218" s="90">
        <v>14.20013995089851</v>
      </c>
      <c r="E218" s="90">
        <v>12.425110517782601</v>
      </c>
      <c r="F218" s="91">
        <v>21.97077165759347</v>
      </c>
      <c r="G218" s="91">
        <v>43.395496334888854</v>
      </c>
      <c r="H218" s="91">
        <v>30.694120126554836</v>
      </c>
      <c r="I218" s="90">
        <v>4.9108657418046544</v>
      </c>
      <c r="J218" s="90">
        <v>18.485433269433443</v>
      </c>
      <c r="K218" s="94">
        <v>28.253560768647567</v>
      </c>
      <c r="L218" s="90">
        <v>19.182042050404764</v>
      </c>
      <c r="M218" s="91">
        <v>27.82146496263347</v>
      </c>
      <c r="N218" s="90">
        <v>55.279282433299514</v>
      </c>
      <c r="O218" s="90">
        <v>17.676092721226876</v>
      </c>
      <c r="P218" s="90">
        <v>4.3699730350385257</v>
      </c>
      <c r="Q218" s="94">
        <v>1.3356464297933084</v>
      </c>
    </row>
    <row r="219" spans="2:17" ht="16.5" customHeight="1" x14ac:dyDescent="0.3">
      <c r="B219" s="291" t="s">
        <v>209</v>
      </c>
      <c r="C219" s="13" t="s">
        <v>205</v>
      </c>
      <c r="D219" s="84">
        <v>16.277422908822707</v>
      </c>
      <c r="E219" s="84">
        <v>16.398627424126953</v>
      </c>
      <c r="F219" s="89">
        <v>24.894033364679551</v>
      </c>
      <c r="G219" s="89">
        <v>36.386479482155238</v>
      </c>
      <c r="H219" s="89">
        <v>25.337774944441833</v>
      </c>
      <c r="I219" s="84">
        <v>3.9562662724909194</v>
      </c>
      <c r="J219" s="84">
        <v>13.475005117221883</v>
      </c>
      <c r="K219" s="93">
        <v>34.828256488547623</v>
      </c>
      <c r="L219" s="84">
        <v>21.432400042558889</v>
      </c>
      <c r="M219" s="89">
        <v>26.026429401784711</v>
      </c>
      <c r="N219" s="84">
        <v>60.03856251882339</v>
      </c>
      <c r="O219" s="84">
        <v>14.060798500481669</v>
      </c>
      <c r="P219" s="84">
        <v>5.0525650788913881</v>
      </c>
      <c r="Q219" s="93">
        <v>1.8353784549732368</v>
      </c>
    </row>
    <row r="220" spans="2:17" x14ac:dyDescent="0.3">
      <c r="B220" s="292"/>
      <c r="C220" s="9" t="s">
        <v>206</v>
      </c>
      <c r="D220" s="86">
        <v>17.329723891950895</v>
      </c>
      <c r="E220" s="86">
        <v>16.416330290238324</v>
      </c>
      <c r="F220" s="88">
        <v>18.677324528399421</v>
      </c>
      <c r="G220" s="88">
        <v>42.770168175430229</v>
      </c>
      <c r="H220" s="88">
        <v>32.129813464822767</v>
      </c>
      <c r="I220" s="86">
        <v>3.1455419051356306</v>
      </c>
      <c r="J220" s="86">
        <v>21.112861108388685</v>
      </c>
      <c r="K220" s="92">
        <v>22.650466124711667</v>
      </c>
      <c r="L220" s="86">
        <v>17.189910774665805</v>
      </c>
      <c r="M220" s="88">
        <v>27.392842944501915</v>
      </c>
      <c r="N220" s="86">
        <v>57.198027799542373</v>
      </c>
      <c r="O220" s="86">
        <v>19.649666523000494</v>
      </c>
      <c r="P220" s="86">
        <v>2.3720076290106866</v>
      </c>
      <c r="Q220" s="92">
        <v>1.9653148402009066</v>
      </c>
    </row>
    <row r="221" spans="2:17" x14ac:dyDescent="0.3">
      <c r="B221" s="292"/>
      <c r="C221" s="9" t="s">
        <v>207</v>
      </c>
      <c r="D221" s="86">
        <v>16.337145287958482</v>
      </c>
      <c r="E221" s="86">
        <v>17.617007869767434</v>
      </c>
      <c r="F221" s="88">
        <v>28.365625576514248</v>
      </c>
      <c r="G221" s="88">
        <v>40.846947805443932</v>
      </c>
      <c r="H221" s="88">
        <v>30.963363156006373</v>
      </c>
      <c r="I221" s="86">
        <v>6.4701310562067338</v>
      </c>
      <c r="J221" s="86">
        <v>14.590560097770993</v>
      </c>
      <c r="K221" s="92">
        <v>25.729647863848953</v>
      </c>
      <c r="L221" s="86">
        <v>19.589123698089349</v>
      </c>
      <c r="M221" s="88">
        <v>30.698803571841054</v>
      </c>
      <c r="N221" s="86">
        <v>52.628149770183406</v>
      </c>
      <c r="O221" s="86">
        <v>12.554849673572413</v>
      </c>
      <c r="P221" s="86">
        <v>2.4647735437578446</v>
      </c>
      <c r="Q221" s="92">
        <v>1.1438710290394372</v>
      </c>
    </row>
    <row r="222" spans="2:17" x14ac:dyDescent="0.3">
      <c r="B222" s="293"/>
      <c r="C222" s="25" t="s">
        <v>208</v>
      </c>
      <c r="D222" s="87">
        <v>18.44362652506042</v>
      </c>
      <c r="E222" s="87">
        <v>22.346338408015729</v>
      </c>
      <c r="F222" s="95">
        <v>30.813873745127456</v>
      </c>
      <c r="G222" s="95">
        <v>40.051719742671857</v>
      </c>
      <c r="H222" s="95">
        <v>35.634875827753042</v>
      </c>
      <c r="I222" s="87">
        <v>6.5775641826763209</v>
      </c>
      <c r="J222" s="87">
        <v>14.076894116406169</v>
      </c>
      <c r="K222" s="96">
        <v>31.572133340696013</v>
      </c>
      <c r="L222" s="87">
        <v>17.620917324367436</v>
      </c>
      <c r="M222" s="95">
        <v>21.99456036062654</v>
      </c>
      <c r="N222" s="87">
        <v>44.81185896390906</v>
      </c>
      <c r="O222" s="87">
        <v>10.852517516676603</v>
      </c>
      <c r="P222" s="87">
        <v>3.6465589198237622</v>
      </c>
      <c r="Q222" s="96">
        <v>1.556561026190183</v>
      </c>
    </row>
    <row r="223" spans="2:17" x14ac:dyDescent="0.3">
      <c r="B223" s="136"/>
    </row>
    <row r="224" spans="2:17" x14ac:dyDescent="0.3">
      <c r="B224" s="60"/>
      <c r="C224" s="9"/>
      <c r="D224" s="58"/>
      <c r="E224" s="58"/>
      <c r="F224" s="50"/>
      <c r="G224" s="58"/>
      <c r="H224" s="50"/>
      <c r="I224" s="58"/>
      <c r="J224" s="58"/>
      <c r="K224" s="58"/>
      <c r="L224" s="50"/>
      <c r="M224" s="58"/>
      <c r="N224" s="58"/>
    </row>
    <row r="225" spans="2:19" x14ac:dyDescent="0.3">
      <c r="B225" s="1" t="s">
        <v>489</v>
      </c>
      <c r="D225" s="59"/>
      <c r="E225" s="304"/>
      <c r="F225" s="304"/>
      <c r="G225" s="304"/>
      <c r="H225" s="304"/>
      <c r="I225" s="304"/>
      <c r="J225" s="304"/>
      <c r="K225" s="304"/>
      <c r="L225" s="304"/>
      <c r="M225" s="304"/>
      <c r="N225" s="304"/>
      <c r="O225" s="304"/>
      <c r="P225" s="304"/>
      <c r="Q225" s="304"/>
      <c r="R225" s="304"/>
      <c r="S225" s="304"/>
    </row>
    <row r="226" spans="2:19" ht="10.5" customHeight="1" x14ac:dyDescent="0.3"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30"/>
      <c r="O226" s="30"/>
      <c r="P226" s="30" t="s">
        <v>52</v>
      </c>
    </row>
    <row r="227" spans="2:19" s="125" customFormat="1" ht="27" x14ac:dyDescent="0.3">
      <c r="B227" s="297"/>
      <c r="C227" s="297"/>
      <c r="D227" s="215" t="s">
        <v>57</v>
      </c>
      <c r="E227" s="215" t="s">
        <v>59</v>
      </c>
      <c r="F227" s="215" t="s">
        <v>126</v>
      </c>
      <c r="G227" s="215" t="s">
        <v>58</v>
      </c>
      <c r="H227" s="215" t="s">
        <v>127</v>
      </c>
      <c r="I227" s="202" t="s">
        <v>376</v>
      </c>
      <c r="J227" s="215" t="s">
        <v>60</v>
      </c>
      <c r="K227" s="215" t="s">
        <v>61</v>
      </c>
      <c r="L227" s="215" t="s">
        <v>128</v>
      </c>
      <c r="M227" s="215" t="s">
        <v>129</v>
      </c>
      <c r="N227" s="202" t="s">
        <v>377</v>
      </c>
      <c r="O227" s="215" t="s">
        <v>130</v>
      </c>
      <c r="P227" s="215" t="s">
        <v>38</v>
      </c>
      <c r="Q227" s="126"/>
    </row>
    <row r="228" spans="2:19" ht="21.75" customHeight="1" x14ac:dyDescent="0.3">
      <c r="B228" s="292" t="s">
        <v>20</v>
      </c>
      <c r="C228" s="292"/>
      <c r="D228" s="86">
        <v>9.2292948691615155</v>
      </c>
      <c r="E228" s="86">
        <v>34.679715140803971</v>
      </c>
      <c r="F228" s="88">
        <v>11.640951830164171</v>
      </c>
      <c r="G228" s="86">
        <v>2.8471960885487024</v>
      </c>
      <c r="H228" s="88">
        <v>8.5071134490731399</v>
      </c>
      <c r="I228" s="86">
        <v>16.586178157955249</v>
      </c>
      <c r="J228" s="86">
        <v>4.3885494971083565</v>
      </c>
      <c r="K228" s="86">
        <v>2.9937049640777245</v>
      </c>
      <c r="L228" s="88">
        <v>7.5026514463814253</v>
      </c>
      <c r="M228" s="86">
        <v>1.0622154342836414</v>
      </c>
      <c r="N228" s="86">
        <v>0.23962650760605908</v>
      </c>
      <c r="O228" s="86">
        <v>0.20737983446416047</v>
      </c>
      <c r="P228" s="86">
        <v>0.11542278037172922</v>
      </c>
    </row>
    <row r="229" spans="2:19" x14ac:dyDescent="0.3">
      <c r="B229" s="296" t="s">
        <v>5</v>
      </c>
      <c r="C229" s="13" t="s">
        <v>0</v>
      </c>
      <c r="D229" s="84">
        <v>11.585197372618323</v>
      </c>
      <c r="E229" s="84">
        <v>28.606138940408492</v>
      </c>
      <c r="F229" s="89">
        <v>11.801376261338033</v>
      </c>
      <c r="G229" s="84">
        <v>3.5393136390275202</v>
      </c>
      <c r="H229" s="89">
        <v>9.2590511558722017</v>
      </c>
      <c r="I229" s="84">
        <v>15.701187387768718</v>
      </c>
      <c r="J229" s="84">
        <v>3.7814601754644537</v>
      </c>
      <c r="K229" s="84">
        <v>3.638742124973414</v>
      </c>
      <c r="L229" s="89">
        <v>10.326134049370395</v>
      </c>
      <c r="M229" s="84">
        <v>1.4981061538929827</v>
      </c>
      <c r="N229" s="84">
        <v>0.10761564771511112</v>
      </c>
      <c r="O229" s="84">
        <v>0.15567709155044135</v>
      </c>
      <c r="P229" s="84">
        <v>0</v>
      </c>
    </row>
    <row r="230" spans="2:19" x14ac:dyDescent="0.3">
      <c r="B230" s="295"/>
      <c r="C230" s="12" t="s">
        <v>1</v>
      </c>
      <c r="D230" s="90">
        <v>7.7655074871130356</v>
      </c>
      <c r="E230" s="90">
        <v>38.453396009602351</v>
      </c>
      <c r="F230" s="90">
        <v>11.541275694254459</v>
      </c>
      <c r="G230" s="90">
        <v>2.4171643127011664</v>
      </c>
      <c r="H230" s="90">
        <v>8.0399137556716074</v>
      </c>
      <c r="I230" s="90">
        <v>17.136047399457237</v>
      </c>
      <c r="J230" s="90">
        <v>4.7657508827747073</v>
      </c>
      <c r="K230" s="90">
        <v>2.5929255363696302</v>
      </c>
      <c r="L230" s="90">
        <v>5.7483436167389259</v>
      </c>
      <c r="M230" s="90">
        <v>0.79138447486151908</v>
      </c>
      <c r="N230" s="90">
        <v>0.32164850585013166</v>
      </c>
      <c r="O230" s="90">
        <v>0.23950417856725953</v>
      </c>
      <c r="P230" s="90">
        <v>0.18713814603783158</v>
      </c>
    </row>
    <row r="231" spans="2:19" x14ac:dyDescent="0.3">
      <c r="B231" s="296" t="s">
        <v>4</v>
      </c>
      <c r="C231" s="9" t="s">
        <v>175</v>
      </c>
      <c r="D231" s="86">
        <v>16.985027818468517</v>
      </c>
      <c r="E231" s="86">
        <v>32.579682604888269</v>
      </c>
      <c r="F231" s="88">
        <v>14.445732422415066</v>
      </c>
      <c r="G231" s="86">
        <v>3.6453725596990756</v>
      </c>
      <c r="H231" s="88">
        <v>5.5191819499207391</v>
      </c>
      <c r="I231" s="86">
        <v>18.52945695958892</v>
      </c>
      <c r="J231" s="86">
        <v>3.7492589510482235</v>
      </c>
      <c r="K231" s="86">
        <v>0.428307165066803</v>
      </c>
      <c r="L231" s="88">
        <v>2.2143737761355959</v>
      </c>
      <c r="M231" s="86">
        <v>0</v>
      </c>
      <c r="N231" s="86">
        <v>1.9036057927687973</v>
      </c>
      <c r="O231" s="86">
        <v>0</v>
      </c>
      <c r="P231" s="86">
        <v>0</v>
      </c>
    </row>
    <row r="232" spans="2:19" x14ac:dyDescent="0.3">
      <c r="B232" s="292"/>
      <c r="C232" s="9" t="s">
        <v>176</v>
      </c>
      <c r="D232" s="86">
        <v>11.93887575673148</v>
      </c>
      <c r="E232" s="86">
        <v>26.521386199061219</v>
      </c>
      <c r="F232" s="88">
        <v>19.724302613543696</v>
      </c>
      <c r="G232" s="86">
        <v>4.7486156753302753</v>
      </c>
      <c r="H232" s="88">
        <v>7.9331038746828844</v>
      </c>
      <c r="I232" s="86">
        <v>15.541826236410531</v>
      </c>
      <c r="J232" s="86">
        <v>3.8514350229648531</v>
      </c>
      <c r="K232" s="86">
        <v>3.3240592527733126</v>
      </c>
      <c r="L232" s="88">
        <v>5.8178504045485973</v>
      </c>
      <c r="M232" s="86">
        <v>0.28311157306632362</v>
      </c>
      <c r="N232" s="86">
        <v>0.31543339088682232</v>
      </c>
      <c r="O232" s="86">
        <v>0</v>
      </c>
      <c r="P232" s="86">
        <v>0</v>
      </c>
    </row>
    <row r="233" spans="2:19" x14ac:dyDescent="0.3">
      <c r="B233" s="292"/>
      <c r="C233" s="9" t="s">
        <v>177</v>
      </c>
      <c r="D233" s="86">
        <v>9.7612675923001291</v>
      </c>
      <c r="E233" s="86">
        <v>34.742997445470479</v>
      </c>
      <c r="F233" s="88">
        <v>10.259157506583685</v>
      </c>
      <c r="G233" s="86">
        <v>5.3891003946029068</v>
      </c>
      <c r="H233" s="88">
        <v>11.006558643710163</v>
      </c>
      <c r="I233" s="86">
        <v>11.519724667498002</v>
      </c>
      <c r="J233" s="86">
        <v>3.9160238129524036</v>
      </c>
      <c r="K233" s="86">
        <v>3.3505163717599493</v>
      </c>
      <c r="L233" s="88">
        <v>7.4675912634810988</v>
      </c>
      <c r="M233" s="86">
        <v>2.1699503470704311</v>
      </c>
      <c r="N233" s="86">
        <v>0</v>
      </c>
      <c r="O233" s="86">
        <v>0.41711195457071243</v>
      </c>
      <c r="P233" s="86">
        <v>0</v>
      </c>
    </row>
    <row r="234" spans="2:19" x14ac:dyDescent="0.3">
      <c r="B234" s="292"/>
      <c r="C234" s="9" t="s">
        <v>178</v>
      </c>
      <c r="D234" s="86">
        <v>8.7077945705776276</v>
      </c>
      <c r="E234" s="86">
        <v>32.879492847131978</v>
      </c>
      <c r="F234" s="88">
        <v>12.714744487234508</v>
      </c>
      <c r="G234" s="86">
        <v>1.5141772952078134</v>
      </c>
      <c r="H234" s="88">
        <v>7.7539757604390624</v>
      </c>
      <c r="I234" s="86">
        <v>18.320820963607552</v>
      </c>
      <c r="J234" s="86">
        <v>4.8265878861457825</v>
      </c>
      <c r="K234" s="86">
        <v>3.1334772416334333</v>
      </c>
      <c r="L234" s="88">
        <v>8.5845121682820889</v>
      </c>
      <c r="M234" s="86">
        <v>0.76217380152036573</v>
      </c>
      <c r="N234" s="86">
        <v>0.24297067135721548</v>
      </c>
      <c r="O234" s="86">
        <v>0</v>
      </c>
      <c r="P234" s="86">
        <v>0.55927230686261209</v>
      </c>
    </row>
    <row r="235" spans="2:19" x14ac:dyDescent="0.3">
      <c r="B235" s="292"/>
      <c r="C235" s="9" t="s">
        <v>179</v>
      </c>
      <c r="D235" s="86">
        <v>7.0687552552526887</v>
      </c>
      <c r="E235" s="86">
        <v>37.917062734209267</v>
      </c>
      <c r="F235" s="88">
        <v>7.6560279471350592</v>
      </c>
      <c r="G235" s="86">
        <v>1.8174289711083289</v>
      </c>
      <c r="H235" s="88">
        <v>8.7300687917283764</v>
      </c>
      <c r="I235" s="86">
        <v>15.981581950717358</v>
      </c>
      <c r="J235" s="86">
        <v>5.2258900450013117</v>
      </c>
      <c r="K235" s="86">
        <v>3.4123713936743143</v>
      </c>
      <c r="L235" s="88">
        <v>10.423256111590771</v>
      </c>
      <c r="M235" s="86">
        <v>1.1214279958115561</v>
      </c>
      <c r="N235" s="86">
        <v>0.35387038834441414</v>
      </c>
      <c r="O235" s="86">
        <v>0.29225841542655934</v>
      </c>
      <c r="P235" s="86">
        <v>0</v>
      </c>
    </row>
    <row r="236" spans="2:19" x14ac:dyDescent="0.3">
      <c r="B236" s="298"/>
      <c r="C236" s="12" t="s">
        <v>180</v>
      </c>
      <c r="D236" s="90">
        <v>7.8529749145075174</v>
      </c>
      <c r="E236" s="90">
        <v>40.799922591152018</v>
      </c>
      <c r="F236" s="91">
        <v>8.6896852959226205</v>
      </c>
      <c r="G236" s="90">
        <v>0.79326206945447042</v>
      </c>
      <c r="H236" s="91">
        <v>7.3363716345880388</v>
      </c>
      <c r="I236" s="90">
        <v>21.698453059320293</v>
      </c>
      <c r="J236" s="90">
        <v>4.0461527433107358</v>
      </c>
      <c r="K236" s="90">
        <v>2.0914710109063228</v>
      </c>
      <c r="L236" s="91">
        <v>5.3648098246495497</v>
      </c>
      <c r="M236" s="90">
        <v>0.99006256236567614</v>
      </c>
      <c r="N236" s="90">
        <v>0</v>
      </c>
      <c r="O236" s="90">
        <v>0.33683429382281271</v>
      </c>
      <c r="P236" s="90">
        <v>0</v>
      </c>
    </row>
    <row r="237" spans="2:19" x14ac:dyDescent="0.3">
      <c r="B237" s="292" t="s">
        <v>223</v>
      </c>
      <c r="C237" s="9" t="s">
        <v>210</v>
      </c>
      <c r="D237" s="86">
        <v>35.960545724394407</v>
      </c>
      <c r="E237" s="86">
        <v>36.369618969721188</v>
      </c>
      <c r="F237" s="88">
        <v>7.5374001593505806</v>
      </c>
      <c r="G237" s="86">
        <v>4.9966841518012899</v>
      </c>
      <c r="H237" s="88">
        <v>4.0668192651627733</v>
      </c>
      <c r="I237" s="86">
        <v>11.068931729569742</v>
      </c>
      <c r="J237" s="86">
        <v>0</v>
      </c>
      <c r="K237" s="86">
        <v>0</v>
      </c>
      <c r="L237" s="88">
        <v>0</v>
      </c>
      <c r="M237" s="86">
        <v>0</v>
      </c>
      <c r="N237" s="86">
        <v>0</v>
      </c>
      <c r="O237" s="86">
        <v>0</v>
      </c>
      <c r="P237" s="86">
        <v>0</v>
      </c>
    </row>
    <row r="238" spans="2:19" x14ac:dyDescent="0.3">
      <c r="B238" s="292"/>
      <c r="C238" s="9" t="s">
        <v>211</v>
      </c>
      <c r="D238" s="86">
        <v>19.241579299065052</v>
      </c>
      <c r="E238" s="86">
        <v>19.148122615169179</v>
      </c>
      <c r="F238" s="88">
        <v>20.752557235042911</v>
      </c>
      <c r="G238" s="86">
        <v>5.3334584221066361</v>
      </c>
      <c r="H238" s="88">
        <v>7.665415012244388</v>
      </c>
      <c r="I238" s="86">
        <v>13.883565521867947</v>
      </c>
      <c r="J238" s="86">
        <v>1.7736064544757735</v>
      </c>
      <c r="K238" s="86">
        <v>3.2232202115908026</v>
      </c>
      <c r="L238" s="88">
        <v>8.2703989528131032</v>
      </c>
      <c r="M238" s="86">
        <v>0.70807627562412667</v>
      </c>
      <c r="N238" s="86">
        <v>0</v>
      </c>
      <c r="O238" s="86">
        <v>0</v>
      </c>
      <c r="P238" s="86">
        <v>0</v>
      </c>
    </row>
    <row r="239" spans="2:19" x14ac:dyDescent="0.3">
      <c r="B239" s="292"/>
      <c r="C239" s="9" t="s">
        <v>212</v>
      </c>
      <c r="D239" s="86">
        <v>10.035791913105824</v>
      </c>
      <c r="E239" s="86">
        <v>26.650508601593252</v>
      </c>
      <c r="F239" s="88">
        <v>9.2082337623157713</v>
      </c>
      <c r="G239" s="86">
        <v>7.4622559002421189</v>
      </c>
      <c r="H239" s="88">
        <v>15.248839384790516</v>
      </c>
      <c r="I239" s="86">
        <v>11.190726255661971</v>
      </c>
      <c r="J239" s="86">
        <v>3.6587236578887494</v>
      </c>
      <c r="K239" s="86">
        <v>4.296615030459856</v>
      </c>
      <c r="L239" s="88">
        <v>8.1888157675638666</v>
      </c>
      <c r="M239" s="86">
        <v>3.3530492703195462</v>
      </c>
      <c r="N239" s="86">
        <v>0</v>
      </c>
      <c r="O239" s="86">
        <v>0.70644045605851558</v>
      </c>
      <c r="P239" s="86">
        <v>0</v>
      </c>
    </row>
    <row r="240" spans="2:19" x14ac:dyDescent="0.3">
      <c r="B240" s="292"/>
      <c r="C240" s="9" t="s">
        <v>213</v>
      </c>
      <c r="D240" s="86">
        <v>10.071362927341621</v>
      </c>
      <c r="E240" s="86">
        <v>30.16701864087128</v>
      </c>
      <c r="F240" s="88">
        <v>13.901771176527216</v>
      </c>
      <c r="G240" s="86">
        <v>2.5503393495233286</v>
      </c>
      <c r="H240" s="88">
        <v>6.5944555160438165</v>
      </c>
      <c r="I240" s="86">
        <v>13.007564213725217</v>
      </c>
      <c r="J240" s="86">
        <v>4.8712979133941205</v>
      </c>
      <c r="K240" s="86">
        <v>4.126425792852265</v>
      </c>
      <c r="L240" s="88">
        <v>14.000530488022662</v>
      </c>
      <c r="M240" s="86">
        <v>0.70923398169849994</v>
      </c>
      <c r="N240" s="86">
        <v>0</v>
      </c>
      <c r="O240" s="86">
        <v>0</v>
      </c>
      <c r="P240" s="86">
        <v>0</v>
      </c>
    </row>
    <row r="241" spans="2:16" x14ac:dyDescent="0.3">
      <c r="B241" s="292"/>
      <c r="C241" s="9" t="s">
        <v>214</v>
      </c>
      <c r="D241" s="86">
        <v>8.704629205041682</v>
      </c>
      <c r="E241" s="86">
        <v>33.256916060194364</v>
      </c>
      <c r="F241" s="88">
        <v>7.8355867912963433</v>
      </c>
      <c r="G241" s="86">
        <v>0.67311454003365967</v>
      </c>
      <c r="H241" s="88">
        <v>8.6237464235062546</v>
      </c>
      <c r="I241" s="86">
        <v>16.586396947559457</v>
      </c>
      <c r="J241" s="86">
        <v>3.9330566047514068</v>
      </c>
      <c r="K241" s="86">
        <v>4.5783816986327546</v>
      </c>
      <c r="L241" s="88">
        <v>14.462739059266175</v>
      </c>
      <c r="M241" s="86">
        <v>0.87667397020636428</v>
      </c>
      <c r="N241" s="86">
        <v>0.46875869951163229</v>
      </c>
      <c r="O241" s="86">
        <v>0</v>
      </c>
      <c r="P241" s="86">
        <v>0</v>
      </c>
    </row>
    <row r="242" spans="2:16" x14ac:dyDescent="0.3">
      <c r="B242" s="292"/>
      <c r="C242" s="12" t="s">
        <v>215</v>
      </c>
      <c r="D242" s="90">
        <v>7.1618800267071041</v>
      </c>
      <c r="E242" s="90">
        <v>31.519985941214777</v>
      </c>
      <c r="F242" s="91">
        <v>9.9782607322483567</v>
      </c>
      <c r="G242" s="90">
        <v>1.3010288511789452</v>
      </c>
      <c r="H242" s="91">
        <v>7.6358344851215048</v>
      </c>
      <c r="I242" s="90">
        <v>25.653085790413748</v>
      </c>
      <c r="J242" s="90">
        <v>5.2775205186724623</v>
      </c>
      <c r="K242" s="90">
        <v>2.074343431795171</v>
      </c>
      <c r="L242" s="91">
        <v>7.5936069904225993</v>
      </c>
      <c r="M242" s="90">
        <v>1.8044532322253042</v>
      </c>
      <c r="N242" s="90">
        <v>0</v>
      </c>
      <c r="O242" s="90">
        <v>0</v>
      </c>
      <c r="P242" s="90">
        <v>0</v>
      </c>
    </row>
    <row r="243" spans="2:16" x14ac:dyDescent="0.3">
      <c r="B243" s="292"/>
      <c r="C243" s="9" t="s">
        <v>216</v>
      </c>
      <c r="D243" s="86">
        <v>7.2399804918610862</v>
      </c>
      <c r="E243" s="86">
        <v>30.633326809845997</v>
      </c>
      <c r="F243" s="88">
        <v>17.993568385852374</v>
      </c>
      <c r="G243" s="86">
        <v>2.9513943777430058</v>
      </c>
      <c r="H243" s="88">
        <v>6.2650558263826346</v>
      </c>
      <c r="I243" s="86">
        <v>22.360876571339343</v>
      </c>
      <c r="J243" s="86">
        <v>5.6747244955887162</v>
      </c>
      <c r="K243" s="86">
        <v>0.64826814924619103</v>
      </c>
      <c r="L243" s="88">
        <v>3.351585279622455</v>
      </c>
      <c r="M243" s="86">
        <v>0</v>
      </c>
      <c r="N243" s="86">
        <v>2.8812196125182319</v>
      </c>
      <c r="O243" s="86">
        <v>0</v>
      </c>
      <c r="P243" s="86">
        <v>0</v>
      </c>
    </row>
    <row r="244" spans="2:16" x14ac:dyDescent="0.3">
      <c r="B244" s="292"/>
      <c r="C244" s="9" t="s">
        <v>217</v>
      </c>
      <c r="D244" s="86">
        <v>7.0738131407937264</v>
      </c>
      <c r="E244" s="86">
        <v>31.433455929333398</v>
      </c>
      <c r="F244" s="88">
        <v>19.039279171236117</v>
      </c>
      <c r="G244" s="86">
        <v>4.3589933160150007</v>
      </c>
      <c r="H244" s="88">
        <v>8.1114382504113891</v>
      </c>
      <c r="I244" s="86">
        <v>16.646559868692329</v>
      </c>
      <c r="J244" s="86">
        <v>5.2356848466477386</v>
      </c>
      <c r="K244" s="86">
        <v>3.391238242943198</v>
      </c>
      <c r="L244" s="88">
        <v>4.1839620525477619</v>
      </c>
      <c r="M244" s="86">
        <v>0</v>
      </c>
      <c r="N244" s="86">
        <v>0.5255751813793299</v>
      </c>
      <c r="O244" s="86">
        <v>0</v>
      </c>
      <c r="P244" s="86">
        <v>0</v>
      </c>
    </row>
    <row r="245" spans="2:16" x14ac:dyDescent="0.3">
      <c r="B245" s="292"/>
      <c r="C245" s="9" t="s">
        <v>218</v>
      </c>
      <c r="D245" s="86">
        <v>9.5677576499714654</v>
      </c>
      <c r="E245" s="86">
        <v>40.447326464036443</v>
      </c>
      <c r="F245" s="88">
        <v>10.999945035164965</v>
      </c>
      <c r="G245" s="86">
        <v>3.9277500808777246</v>
      </c>
      <c r="H245" s="88">
        <v>8.0162097407818269</v>
      </c>
      <c r="I245" s="86">
        <v>11.751632949845318</v>
      </c>
      <c r="J245" s="86">
        <v>4.0973925821069725</v>
      </c>
      <c r="K245" s="86">
        <v>2.683619186312304</v>
      </c>
      <c r="L245" s="88">
        <v>6.9592060254028407</v>
      </c>
      <c r="M245" s="86">
        <v>1.3359936188099812</v>
      </c>
      <c r="N245" s="86">
        <v>0</v>
      </c>
      <c r="O245" s="86">
        <v>0.2131666666901138</v>
      </c>
      <c r="P245" s="86">
        <v>0</v>
      </c>
    </row>
    <row r="246" spans="2:16" x14ac:dyDescent="0.3">
      <c r="B246" s="292"/>
      <c r="C246" s="9" t="s">
        <v>219</v>
      </c>
      <c r="D246" s="86">
        <v>8.0465295516055111</v>
      </c>
      <c r="E246" s="86">
        <v>34.194912274817327</v>
      </c>
      <c r="F246" s="88">
        <v>12.139093679321673</v>
      </c>
      <c r="G246" s="86">
        <v>1.0116885735340519</v>
      </c>
      <c r="H246" s="88">
        <v>8.3162872665730116</v>
      </c>
      <c r="I246" s="86">
        <v>20.897494738769602</v>
      </c>
      <c r="J246" s="86">
        <v>4.8049056750047221</v>
      </c>
      <c r="K246" s="86">
        <v>2.6519449889209286</v>
      </c>
      <c r="L246" s="88">
        <v>5.9580039780686178</v>
      </c>
      <c r="M246" s="86">
        <v>0.78784706592638587</v>
      </c>
      <c r="N246" s="86">
        <v>0.36079975180463086</v>
      </c>
      <c r="O246" s="86">
        <v>0</v>
      </c>
      <c r="P246" s="86">
        <v>0.8304924556535016</v>
      </c>
    </row>
    <row r="247" spans="2:16" x14ac:dyDescent="0.3">
      <c r="B247" s="292"/>
      <c r="C247" s="9" t="s">
        <v>220</v>
      </c>
      <c r="D247" s="86">
        <v>5.9068099692576022</v>
      </c>
      <c r="E247" s="86">
        <v>41.227119392679654</v>
      </c>
      <c r="F247" s="88">
        <v>7.5284890542033329</v>
      </c>
      <c r="G247" s="86">
        <v>2.6302243329116397</v>
      </c>
      <c r="H247" s="88">
        <v>8.8055885312336475</v>
      </c>
      <c r="I247" s="86">
        <v>15.551987766782529</v>
      </c>
      <c r="J247" s="86">
        <v>6.1441770081679703</v>
      </c>
      <c r="K247" s="86">
        <v>2.5841656645942046</v>
      </c>
      <c r="L247" s="88">
        <v>7.5540508347939888</v>
      </c>
      <c r="M247" s="86">
        <v>1.295274389243614</v>
      </c>
      <c r="N247" s="86">
        <v>0.27226634324429827</v>
      </c>
      <c r="O247" s="86">
        <v>0.49984671288742771</v>
      </c>
      <c r="P247" s="86">
        <v>0</v>
      </c>
    </row>
    <row r="248" spans="2:16" x14ac:dyDescent="0.3">
      <c r="B248" s="295"/>
      <c r="C248" s="9" t="s">
        <v>221</v>
      </c>
      <c r="D248" s="90">
        <v>8.2565549688686399</v>
      </c>
      <c r="E248" s="90">
        <v>46.219145629495642</v>
      </c>
      <c r="F248" s="91">
        <v>7.9371933388544145</v>
      </c>
      <c r="G248" s="90">
        <v>0.49674049334592063</v>
      </c>
      <c r="H248" s="91">
        <v>7.1614937189343726</v>
      </c>
      <c r="I248" s="90">
        <v>19.389058328196281</v>
      </c>
      <c r="J248" s="90">
        <v>3.3270684576481404</v>
      </c>
      <c r="K248" s="90">
        <v>2.1014730373006314</v>
      </c>
      <c r="L248" s="91">
        <v>4.063254716659233</v>
      </c>
      <c r="M248" s="90">
        <v>0.51448122525113205</v>
      </c>
      <c r="N248" s="90">
        <v>0</v>
      </c>
      <c r="O248" s="90">
        <v>0.53353608544561848</v>
      </c>
      <c r="P248" s="90">
        <v>0</v>
      </c>
    </row>
    <row r="249" spans="2:16" ht="16.5" customHeight="1" x14ac:dyDescent="0.3">
      <c r="B249" s="291" t="s">
        <v>222</v>
      </c>
      <c r="C249" s="13" t="s">
        <v>226</v>
      </c>
      <c r="D249" s="80">
        <v>12.155155742819069</v>
      </c>
      <c r="E249" s="80">
        <v>29.486437333913457</v>
      </c>
      <c r="F249" s="80">
        <v>12.482805778751535</v>
      </c>
      <c r="G249" s="80">
        <v>2.6167054837719994</v>
      </c>
      <c r="H249" s="80">
        <v>10.631924874196219</v>
      </c>
      <c r="I249" s="80">
        <v>15.281687975068953</v>
      </c>
      <c r="J249" s="80">
        <v>2.511728101707269</v>
      </c>
      <c r="K249" s="80">
        <v>3.4025521817911595</v>
      </c>
      <c r="L249" s="80">
        <v>10.401835921668628</v>
      </c>
      <c r="M249" s="80">
        <v>0.6936576003873528</v>
      </c>
      <c r="N249" s="80">
        <v>0.33550900592436472</v>
      </c>
      <c r="O249" s="80">
        <v>0</v>
      </c>
      <c r="P249" s="80">
        <v>0</v>
      </c>
    </row>
    <row r="250" spans="2:16" x14ac:dyDescent="0.3">
      <c r="B250" s="294"/>
      <c r="C250" s="9" t="s">
        <v>227</v>
      </c>
      <c r="D250" s="79">
        <v>9.9184343055009609</v>
      </c>
      <c r="E250" s="79">
        <v>34.34517963205527</v>
      </c>
      <c r="F250" s="79">
        <v>11.804621526821839</v>
      </c>
      <c r="G250" s="79">
        <v>2.7580438141454602</v>
      </c>
      <c r="H250" s="79">
        <v>10.172850996494143</v>
      </c>
      <c r="I250" s="79">
        <v>14.101773096078087</v>
      </c>
      <c r="J250" s="79">
        <v>3.6940836364341076</v>
      </c>
      <c r="K250" s="79">
        <v>3.5514668762038544</v>
      </c>
      <c r="L250" s="79">
        <v>8.2352920867573118</v>
      </c>
      <c r="M250" s="79">
        <v>0.77028870061511046</v>
      </c>
      <c r="N250" s="79">
        <v>0</v>
      </c>
      <c r="O250" s="79">
        <v>0.53629564395444995</v>
      </c>
      <c r="P250" s="79">
        <v>0.11166968493940466</v>
      </c>
    </row>
    <row r="251" spans="2:16" x14ac:dyDescent="0.3">
      <c r="B251" s="292"/>
      <c r="C251" s="9" t="s">
        <v>228</v>
      </c>
      <c r="D251" s="79">
        <v>6.2778391641484967</v>
      </c>
      <c r="E251" s="79">
        <v>38.182332625285234</v>
      </c>
      <c r="F251" s="79">
        <v>12.550772873241007</v>
      </c>
      <c r="G251" s="79">
        <v>3.285418487567846</v>
      </c>
      <c r="H251" s="79">
        <v>5.9984819094538242</v>
      </c>
      <c r="I251" s="79">
        <v>18.208445832058878</v>
      </c>
      <c r="J251" s="79">
        <v>5.8888776304527841</v>
      </c>
      <c r="K251" s="79">
        <v>1.9837313815228692</v>
      </c>
      <c r="L251" s="79">
        <v>6.3274587423898634</v>
      </c>
      <c r="M251" s="79">
        <v>0.63406731146640616</v>
      </c>
      <c r="N251" s="79">
        <v>0.21583812032905064</v>
      </c>
      <c r="O251" s="79">
        <v>0.25942308740799613</v>
      </c>
      <c r="P251" s="79">
        <v>0.18731283467586488</v>
      </c>
    </row>
    <row r="252" spans="2:16" x14ac:dyDescent="0.3">
      <c r="B252" s="295"/>
      <c r="C252" s="12" t="s">
        <v>229</v>
      </c>
      <c r="D252" s="81">
        <v>8.6473766788608319</v>
      </c>
      <c r="E252" s="81">
        <v>36.303738974548061</v>
      </c>
      <c r="F252" s="81">
        <v>9.9947462013704342</v>
      </c>
      <c r="G252" s="81">
        <v>2.7514139391411017</v>
      </c>
      <c r="H252" s="81">
        <v>7.2147110353155934</v>
      </c>
      <c r="I252" s="81">
        <v>18.794364184286614</v>
      </c>
      <c r="J252" s="81">
        <v>5.3564915291661883</v>
      </c>
      <c r="K252" s="81">
        <v>2.9577425668439927</v>
      </c>
      <c r="L252" s="81">
        <v>5.3698373608844214</v>
      </c>
      <c r="M252" s="81">
        <v>2.0324318305765141</v>
      </c>
      <c r="N252" s="81">
        <v>0.42424297312901482</v>
      </c>
      <c r="O252" s="81">
        <v>0</v>
      </c>
      <c r="P252" s="81">
        <v>0.15290272587738554</v>
      </c>
    </row>
    <row r="253" spans="2:16" x14ac:dyDescent="0.3">
      <c r="B253" s="296" t="s">
        <v>199</v>
      </c>
      <c r="C253" s="13" t="s">
        <v>192</v>
      </c>
      <c r="D253" s="80">
        <v>9.7505468331300449</v>
      </c>
      <c r="E253" s="80">
        <v>34.643259320766013</v>
      </c>
      <c r="F253" s="80">
        <v>11.541597834974658</v>
      </c>
      <c r="G253" s="80">
        <v>3.6226683708807945</v>
      </c>
      <c r="H253" s="80">
        <v>8.6345801563930547</v>
      </c>
      <c r="I253" s="80">
        <v>16.951995891644099</v>
      </c>
      <c r="J253" s="80">
        <v>3.8999776946250191</v>
      </c>
      <c r="K253" s="80">
        <v>2.8074776339473262</v>
      </c>
      <c r="L253" s="80">
        <v>7.0148253204127435</v>
      </c>
      <c r="M253" s="80">
        <v>0.91777668808069168</v>
      </c>
      <c r="N253" s="80">
        <v>0.10932474594553729</v>
      </c>
      <c r="O253" s="80">
        <v>0.10596950919997888</v>
      </c>
      <c r="P253" s="80">
        <v>0</v>
      </c>
    </row>
    <row r="254" spans="2:16" ht="16.5" customHeight="1" x14ac:dyDescent="0.3">
      <c r="B254" s="292"/>
      <c r="C254" s="9" t="s">
        <v>200</v>
      </c>
      <c r="D254" s="79">
        <v>7.0773456446767051</v>
      </c>
      <c r="E254" s="79">
        <v>34.090767804359061</v>
      </c>
      <c r="F254" s="79">
        <v>10.242550053490424</v>
      </c>
      <c r="G254" s="79">
        <v>0.71615061260760116</v>
      </c>
      <c r="H254" s="79">
        <v>6.1519039007484659</v>
      </c>
      <c r="I254" s="79">
        <v>18.059639558068156</v>
      </c>
      <c r="J254" s="79">
        <v>4.2344560694710864</v>
      </c>
      <c r="K254" s="79">
        <v>3.933717039720773</v>
      </c>
      <c r="L254" s="79">
        <v>12.057267327115639</v>
      </c>
      <c r="M254" s="79">
        <v>0.67550883676454088</v>
      </c>
      <c r="N254" s="79">
        <v>0</v>
      </c>
      <c r="O254" s="79">
        <v>2.0445425403700157</v>
      </c>
      <c r="P254" s="79">
        <v>0.71615061260760116</v>
      </c>
    </row>
    <row r="255" spans="2:16" ht="16.5" customHeight="1" x14ac:dyDescent="0.3">
      <c r="B255" s="292"/>
      <c r="C255" s="9" t="s">
        <v>201</v>
      </c>
      <c r="D255" s="79">
        <v>6.9284673182545209</v>
      </c>
      <c r="E255" s="79">
        <v>37.580951570693614</v>
      </c>
      <c r="F255" s="79">
        <v>13.405102705807071</v>
      </c>
      <c r="G255" s="79">
        <v>2.7665007205399874</v>
      </c>
      <c r="H255" s="79">
        <v>7.6844359524767478</v>
      </c>
      <c r="I255" s="79">
        <v>13.567171910864337</v>
      </c>
      <c r="J255" s="79">
        <v>5.1327910418863203</v>
      </c>
      <c r="K255" s="79">
        <v>2.9644149756259912</v>
      </c>
      <c r="L255" s="79">
        <v>7.9343426532930348</v>
      </c>
      <c r="M255" s="79">
        <v>1.6372262447329322</v>
      </c>
      <c r="N255" s="79">
        <v>0</v>
      </c>
      <c r="O255" s="79">
        <v>0</v>
      </c>
      <c r="P255" s="79">
        <v>0.39859490582550344</v>
      </c>
    </row>
    <row r="256" spans="2:16" x14ac:dyDescent="0.3">
      <c r="B256" s="292"/>
      <c r="C256" s="9" t="s">
        <v>202</v>
      </c>
      <c r="D256" s="79">
        <v>7.4254297171150911</v>
      </c>
      <c r="E256" s="79">
        <v>32.731030019567996</v>
      </c>
      <c r="F256" s="79">
        <v>17.310892511775865</v>
      </c>
      <c r="G256" s="79">
        <v>2.373430162287248</v>
      </c>
      <c r="H256" s="79">
        <v>10.489744650486122</v>
      </c>
      <c r="I256" s="79">
        <v>13.914682176508933</v>
      </c>
      <c r="J256" s="79">
        <v>6.0314990268100148</v>
      </c>
      <c r="K256" s="79">
        <v>3.0375110208869822</v>
      </c>
      <c r="L256" s="79">
        <v>4.4798309946811443</v>
      </c>
      <c r="M256" s="79">
        <v>1.2250350920276647</v>
      </c>
      <c r="N256" s="79">
        <v>0.98091462785299544</v>
      </c>
      <c r="O256" s="79">
        <v>0</v>
      </c>
      <c r="P256" s="79">
        <v>0</v>
      </c>
    </row>
    <row r="257" spans="2:19" x14ac:dyDescent="0.3">
      <c r="B257" s="295"/>
      <c r="C257" s="12" t="s">
        <v>203</v>
      </c>
      <c r="D257" s="81">
        <v>10.052702978278443</v>
      </c>
      <c r="E257" s="81">
        <v>34.173406381056679</v>
      </c>
      <c r="F257" s="81">
        <v>9.244540661213879</v>
      </c>
      <c r="G257" s="81">
        <v>1.3827926156691126</v>
      </c>
      <c r="H257" s="81">
        <v>8.3244361325408942</v>
      </c>
      <c r="I257" s="81">
        <v>17.764526131733234</v>
      </c>
      <c r="J257" s="81">
        <v>4.7810693299814089</v>
      </c>
      <c r="K257" s="81">
        <v>3.3073411698974535</v>
      </c>
      <c r="L257" s="81">
        <v>8.7925382031758321</v>
      </c>
      <c r="M257" s="81">
        <v>1.190296563121465</v>
      </c>
      <c r="N257" s="81">
        <v>0.49151481807294456</v>
      </c>
      <c r="O257" s="81">
        <v>0.28612517553781747</v>
      </c>
      <c r="P257" s="81">
        <v>0.20870983972085477</v>
      </c>
    </row>
    <row r="258" spans="2:19" x14ac:dyDescent="0.3">
      <c r="B258" s="291" t="s">
        <v>204</v>
      </c>
      <c r="C258" s="13" t="s">
        <v>192</v>
      </c>
      <c r="D258" s="80">
        <v>9.7505468331300449</v>
      </c>
      <c r="E258" s="80">
        <v>34.643259320766013</v>
      </c>
      <c r="F258" s="80">
        <v>11.541597834974658</v>
      </c>
      <c r="G258" s="80">
        <v>3.6226683708807945</v>
      </c>
      <c r="H258" s="80">
        <v>8.6345801563930547</v>
      </c>
      <c r="I258" s="80">
        <v>16.951995891644099</v>
      </c>
      <c r="J258" s="80">
        <v>3.8999776946250191</v>
      </c>
      <c r="K258" s="80">
        <v>2.8074776339473262</v>
      </c>
      <c r="L258" s="80">
        <v>7.0148253204127435</v>
      </c>
      <c r="M258" s="80">
        <v>0.91777668808069168</v>
      </c>
      <c r="N258" s="80">
        <v>0.10932474594553729</v>
      </c>
      <c r="O258" s="80">
        <v>0.10596950919997888</v>
      </c>
      <c r="P258" s="80">
        <v>0</v>
      </c>
    </row>
    <row r="259" spans="2:19" x14ac:dyDescent="0.3">
      <c r="B259" s="295"/>
      <c r="C259" s="12" t="s">
        <v>193</v>
      </c>
      <c r="D259" s="81">
        <v>8.5418458523846308</v>
      </c>
      <c r="E259" s="81">
        <v>34.727794609800569</v>
      </c>
      <c r="F259" s="81">
        <v>11.771984058390025</v>
      </c>
      <c r="G259" s="81">
        <v>1.8244706220234135</v>
      </c>
      <c r="H259" s="81">
        <v>8.3390049935160437</v>
      </c>
      <c r="I259" s="81">
        <v>16.103722342481099</v>
      </c>
      <c r="J259" s="81">
        <v>5.0328985422131156</v>
      </c>
      <c r="K259" s="81">
        <v>3.2393094007889962</v>
      </c>
      <c r="L259" s="81">
        <v>8.1460170619314507</v>
      </c>
      <c r="M259" s="81">
        <v>1.2527073286560588</v>
      </c>
      <c r="N259" s="81">
        <v>0.41147395208539234</v>
      </c>
      <c r="O259" s="81">
        <v>0.34112403729290508</v>
      </c>
      <c r="P259" s="81">
        <v>0.26764719843645074</v>
      </c>
    </row>
    <row r="260" spans="2:19" x14ac:dyDescent="0.3">
      <c r="B260" s="291" t="s">
        <v>209</v>
      </c>
      <c r="C260" s="13" t="s">
        <v>205</v>
      </c>
      <c r="D260" s="80">
        <v>10.319997857519013</v>
      </c>
      <c r="E260" s="80">
        <v>32.608868026721396</v>
      </c>
      <c r="F260" s="80">
        <v>9.5489386578143343</v>
      </c>
      <c r="G260" s="80">
        <v>1.9882919554535003</v>
      </c>
      <c r="H260" s="80">
        <v>9.0036054980844078</v>
      </c>
      <c r="I260" s="80">
        <v>15.938341122620702</v>
      </c>
      <c r="J260" s="80">
        <v>4.0975350581946817</v>
      </c>
      <c r="K260" s="80">
        <v>4.2942763261118442</v>
      </c>
      <c r="L260" s="80">
        <v>10.633910992607126</v>
      </c>
      <c r="M260" s="80">
        <v>1.3293325062871366</v>
      </c>
      <c r="N260" s="80">
        <v>0.23690199858583927</v>
      </c>
      <c r="O260" s="80">
        <v>0</v>
      </c>
      <c r="P260" s="80">
        <v>0</v>
      </c>
    </row>
    <row r="261" spans="2:19" x14ac:dyDescent="0.3">
      <c r="B261" s="292"/>
      <c r="C261" s="9" t="s">
        <v>206</v>
      </c>
      <c r="D261" s="79">
        <v>7.697377541700007</v>
      </c>
      <c r="E261" s="79">
        <v>36.99683036756182</v>
      </c>
      <c r="F261" s="79">
        <v>9.7549212624242063</v>
      </c>
      <c r="G261" s="79">
        <v>2.5400569968334445</v>
      </c>
      <c r="H261" s="79">
        <v>8.9429522270233797</v>
      </c>
      <c r="I261" s="79">
        <v>17.37516902564402</v>
      </c>
      <c r="J261" s="79">
        <v>3.6204000320417102</v>
      </c>
      <c r="K261" s="79">
        <v>3.9687471986729275</v>
      </c>
      <c r="L261" s="79">
        <v>7.2914566968463417</v>
      </c>
      <c r="M261" s="79">
        <v>1.2009156162647003</v>
      </c>
      <c r="N261" s="79">
        <v>0.16619840818335874</v>
      </c>
      <c r="O261" s="79">
        <v>0.29401356575696341</v>
      </c>
      <c r="P261" s="79">
        <v>0.15096106104705212</v>
      </c>
    </row>
    <row r="262" spans="2:19" x14ac:dyDescent="0.3">
      <c r="B262" s="292"/>
      <c r="C262" s="9" t="s">
        <v>207</v>
      </c>
      <c r="D262" s="79">
        <v>7.9001701930555601</v>
      </c>
      <c r="E262" s="79">
        <v>38.865563269678823</v>
      </c>
      <c r="F262" s="79">
        <v>11.907080260822347</v>
      </c>
      <c r="G262" s="79">
        <v>1.7921975498721776</v>
      </c>
      <c r="H262" s="79">
        <v>7.3676826496797601</v>
      </c>
      <c r="I262" s="79">
        <v>17.036586564624685</v>
      </c>
      <c r="J262" s="79">
        <v>4.9019645850741069</v>
      </c>
      <c r="K262" s="79">
        <v>1.6069839180632639</v>
      </c>
      <c r="L262" s="79">
        <v>6.8396162745626574</v>
      </c>
      <c r="M262" s="79">
        <v>1.0942202678782493</v>
      </c>
      <c r="N262" s="79">
        <v>0</v>
      </c>
      <c r="O262" s="79">
        <v>0.40408633021966484</v>
      </c>
      <c r="P262" s="79">
        <v>0.28384813646891588</v>
      </c>
    </row>
    <row r="263" spans="2:19" x14ac:dyDescent="0.3">
      <c r="B263" s="293"/>
      <c r="C263" s="25" t="s">
        <v>208</v>
      </c>
      <c r="D263" s="82">
        <v>10.826673294279871</v>
      </c>
      <c r="E263" s="82">
        <v>30.485678486989869</v>
      </c>
      <c r="F263" s="82">
        <v>13.698965766426044</v>
      </c>
      <c r="G263" s="82">
        <v>4.4722811696375997</v>
      </c>
      <c r="H263" s="82">
        <v>9.0174742901216316</v>
      </c>
      <c r="I263" s="82">
        <v>16.025364109687533</v>
      </c>
      <c r="J263" s="82">
        <v>4.5524794288086996</v>
      </c>
      <c r="K263" s="82">
        <v>2.9628239724245584</v>
      </c>
      <c r="L263" s="82">
        <v>6.5646390755070074</v>
      </c>
      <c r="M263" s="82">
        <v>0.80255248629224618</v>
      </c>
      <c r="N263" s="82">
        <v>0.50776937985972515</v>
      </c>
      <c r="O263" s="82">
        <v>8.3298539965399029E-2</v>
      </c>
      <c r="P263" s="82">
        <v>0</v>
      </c>
    </row>
    <row r="264" spans="2:19" x14ac:dyDescent="0.3">
      <c r="B264" s="60"/>
      <c r="C264" s="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</row>
    <row r="265" spans="2:19" x14ac:dyDescent="0.3">
      <c r="B265" s="60"/>
      <c r="C265" s="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</row>
    <row r="266" spans="2:19" x14ac:dyDescent="0.3">
      <c r="B266" s="1" t="s">
        <v>490</v>
      </c>
      <c r="D266" s="59"/>
      <c r="E266" s="304"/>
      <c r="F266" s="304"/>
      <c r="G266" s="304"/>
      <c r="H266" s="304"/>
      <c r="I266" s="304"/>
      <c r="J266" s="304"/>
      <c r="K266" s="304"/>
      <c r="L266" s="304"/>
      <c r="M266" s="304"/>
      <c r="N266" s="304"/>
      <c r="O266" s="304"/>
      <c r="P266" s="304"/>
      <c r="Q266" s="304"/>
      <c r="R266" s="304"/>
      <c r="S266" s="304"/>
    </row>
    <row r="267" spans="2:19" ht="10.5" customHeight="1" x14ac:dyDescent="0.3"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30"/>
      <c r="O267" s="30"/>
      <c r="P267" s="30" t="s">
        <v>157</v>
      </c>
    </row>
    <row r="268" spans="2:19" s="125" customFormat="1" ht="27" x14ac:dyDescent="0.3">
      <c r="B268" s="297"/>
      <c r="C268" s="297"/>
      <c r="D268" s="215" t="s">
        <v>57</v>
      </c>
      <c r="E268" s="215" t="s">
        <v>59</v>
      </c>
      <c r="F268" s="215" t="s">
        <v>126</v>
      </c>
      <c r="G268" s="215" t="s">
        <v>58</v>
      </c>
      <c r="H268" s="215" t="s">
        <v>127</v>
      </c>
      <c r="I268" s="202" t="s">
        <v>376</v>
      </c>
      <c r="J268" s="215" t="s">
        <v>60</v>
      </c>
      <c r="K268" s="215" t="s">
        <v>61</v>
      </c>
      <c r="L268" s="215" t="s">
        <v>128</v>
      </c>
      <c r="M268" s="215" t="s">
        <v>129</v>
      </c>
      <c r="N268" s="202" t="s">
        <v>377</v>
      </c>
      <c r="O268" s="215" t="s">
        <v>130</v>
      </c>
      <c r="P268" s="215" t="s">
        <v>38</v>
      </c>
      <c r="Q268" s="126"/>
    </row>
    <row r="269" spans="2:19" ht="21.75" customHeight="1" x14ac:dyDescent="0.3">
      <c r="B269" s="292" t="s">
        <v>20</v>
      </c>
      <c r="C269" s="292"/>
      <c r="D269" s="86">
        <v>19.452160509781098</v>
      </c>
      <c r="E269" s="86">
        <v>54.689274863974134</v>
      </c>
      <c r="F269" s="88">
        <v>32.220434842550887</v>
      </c>
      <c r="G269" s="86">
        <v>9.261720527907995</v>
      </c>
      <c r="H269" s="88">
        <v>34.684674148532622</v>
      </c>
      <c r="I269" s="86">
        <v>53.05319093143509</v>
      </c>
      <c r="J269" s="86">
        <v>29.199174642463415</v>
      </c>
      <c r="K269" s="86">
        <v>21.400516210952361</v>
      </c>
      <c r="L269" s="88">
        <v>35.584759057232837</v>
      </c>
      <c r="M269" s="86">
        <v>5.4246192147071906</v>
      </c>
      <c r="N269" s="86">
        <v>1.9919736156742756</v>
      </c>
      <c r="O269" s="86">
        <v>2.8931852416966888</v>
      </c>
      <c r="P269" s="86">
        <v>0.14431619309088747</v>
      </c>
    </row>
    <row r="270" spans="2:19" x14ac:dyDescent="0.3">
      <c r="B270" s="296" t="s">
        <v>5</v>
      </c>
      <c r="C270" s="13" t="s">
        <v>0</v>
      </c>
      <c r="D270" s="84">
        <v>18.782503492343821</v>
      </c>
      <c r="E270" s="84">
        <v>48.343972698610536</v>
      </c>
      <c r="F270" s="89">
        <v>32.920474933262909</v>
      </c>
      <c r="G270" s="84">
        <v>11.987557806836655</v>
      </c>
      <c r="H270" s="89">
        <v>32.070596448913186</v>
      </c>
      <c r="I270" s="84">
        <v>49.083047943839738</v>
      </c>
      <c r="J270" s="84">
        <v>29.380007066231428</v>
      </c>
      <c r="K270" s="84">
        <v>25.153321768654635</v>
      </c>
      <c r="L270" s="89">
        <v>39.993635938293188</v>
      </c>
      <c r="M270" s="84">
        <v>8.0123766824750984</v>
      </c>
      <c r="N270" s="84">
        <v>1.8563794662439297</v>
      </c>
      <c r="O270" s="84">
        <v>2.340729643032847</v>
      </c>
      <c r="P270" s="84">
        <v>7.5396111262177365E-2</v>
      </c>
    </row>
    <row r="271" spans="2:19" x14ac:dyDescent="0.3">
      <c r="B271" s="295"/>
      <c r="C271" s="12" t="s">
        <v>1</v>
      </c>
      <c r="D271" s="90">
        <v>19.868236935264164</v>
      </c>
      <c r="E271" s="90">
        <v>58.631786589869151</v>
      </c>
      <c r="F271" s="90">
        <v>31.785480573344742</v>
      </c>
      <c r="G271" s="90">
        <v>7.5680824386583119</v>
      </c>
      <c r="H271" s="90">
        <v>36.308872920248746</v>
      </c>
      <c r="I271" s="90">
        <v>55.519950570954592</v>
      </c>
      <c r="J271" s="90">
        <v>29.086818456335873</v>
      </c>
      <c r="K271" s="90">
        <v>19.068794327476436</v>
      </c>
      <c r="L271" s="90">
        <v>32.845401915741739</v>
      </c>
      <c r="M271" s="90">
        <v>3.8167739309730893</v>
      </c>
      <c r="N271" s="90">
        <v>2.0762220108113882</v>
      </c>
      <c r="O271" s="90">
        <v>3.2364411842832794</v>
      </c>
      <c r="P271" s="90">
        <v>0.18713814603783158</v>
      </c>
    </row>
    <row r="272" spans="2:19" x14ac:dyDescent="0.3">
      <c r="B272" s="296" t="s">
        <v>4</v>
      </c>
      <c r="C272" s="9" t="s">
        <v>175</v>
      </c>
      <c r="D272" s="86">
        <v>28.181079102041473</v>
      </c>
      <c r="E272" s="86">
        <v>51.965348858880333</v>
      </c>
      <c r="F272" s="88">
        <v>43.087376455560076</v>
      </c>
      <c r="G272" s="86">
        <v>11.677843863825327</v>
      </c>
      <c r="H272" s="88">
        <v>28.636015471525443</v>
      </c>
      <c r="I272" s="86">
        <v>52.21247776751089</v>
      </c>
      <c r="J272" s="86">
        <v>20.753977785517133</v>
      </c>
      <c r="K272" s="86">
        <v>24.020291306995894</v>
      </c>
      <c r="L272" s="88">
        <v>23.423162349022345</v>
      </c>
      <c r="M272" s="86">
        <v>9.0820388766066316</v>
      </c>
      <c r="N272" s="86">
        <v>5.6526407736706235</v>
      </c>
      <c r="O272" s="86">
        <v>1.3077473888438222</v>
      </c>
      <c r="P272" s="86">
        <v>0</v>
      </c>
    </row>
    <row r="273" spans="2:16" x14ac:dyDescent="0.3">
      <c r="B273" s="292"/>
      <c r="C273" s="9" t="s">
        <v>176</v>
      </c>
      <c r="D273" s="86">
        <v>20.673614756103873</v>
      </c>
      <c r="E273" s="86">
        <v>48.215060449843754</v>
      </c>
      <c r="F273" s="88">
        <v>42.172994790987694</v>
      </c>
      <c r="G273" s="86">
        <v>16.471315586496548</v>
      </c>
      <c r="H273" s="88">
        <v>33.910064202453242</v>
      </c>
      <c r="I273" s="86">
        <v>44.170198425934551</v>
      </c>
      <c r="J273" s="86">
        <v>30.441311985120983</v>
      </c>
      <c r="K273" s="86">
        <v>21.223093238610161</v>
      </c>
      <c r="L273" s="88">
        <v>33.409717487083284</v>
      </c>
      <c r="M273" s="86">
        <v>5.7516868893855522</v>
      </c>
      <c r="N273" s="86">
        <v>2.5414513435754067</v>
      </c>
      <c r="O273" s="86">
        <v>1.0194908444049091</v>
      </c>
      <c r="P273" s="86">
        <v>0</v>
      </c>
    </row>
    <row r="274" spans="2:16" x14ac:dyDescent="0.3">
      <c r="B274" s="292"/>
      <c r="C274" s="9" t="s">
        <v>177</v>
      </c>
      <c r="D274" s="86">
        <v>20.338198867353626</v>
      </c>
      <c r="E274" s="86">
        <v>53.631975509137064</v>
      </c>
      <c r="F274" s="88">
        <v>34.308678541662196</v>
      </c>
      <c r="G274" s="86">
        <v>13.684754453139329</v>
      </c>
      <c r="H274" s="88">
        <v>38.986555167012064</v>
      </c>
      <c r="I274" s="86">
        <v>48.072312644648967</v>
      </c>
      <c r="J274" s="86">
        <v>29.437333746053884</v>
      </c>
      <c r="K274" s="86">
        <v>17.742186667704829</v>
      </c>
      <c r="L274" s="88">
        <v>33.361084665461092</v>
      </c>
      <c r="M274" s="86">
        <v>6.2467395136270225</v>
      </c>
      <c r="N274" s="86">
        <v>0.5449151302503713</v>
      </c>
      <c r="O274" s="86">
        <v>3.6452650939493862</v>
      </c>
      <c r="P274" s="86">
        <v>0</v>
      </c>
    </row>
    <row r="275" spans="2:16" x14ac:dyDescent="0.3">
      <c r="B275" s="292"/>
      <c r="C275" s="9" t="s">
        <v>178</v>
      </c>
      <c r="D275" s="86">
        <v>19.012092450615995</v>
      </c>
      <c r="E275" s="86">
        <v>53.636547505261568</v>
      </c>
      <c r="F275" s="88">
        <v>32.626545139361049</v>
      </c>
      <c r="G275" s="86">
        <v>8.0024096556172264</v>
      </c>
      <c r="H275" s="88">
        <v>35.497242611944671</v>
      </c>
      <c r="I275" s="86">
        <v>54.548515348037043</v>
      </c>
      <c r="J275" s="86">
        <v>28.670863275915302</v>
      </c>
      <c r="K275" s="86">
        <v>22.130803946998164</v>
      </c>
      <c r="L275" s="88">
        <v>35.765256679767695</v>
      </c>
      <c r="M275" s="86">
        <v>4.7000905984452617</v>
      </c>
      <c r="N275" s="86">
        <v>2.4926991888377352</v>
      </c>
      <c r="O275" s="86">
        <v>2.3576612923358602</v>
      </c>
      <c r="P275" s="86">
        <v>0.55927230686261209</v>
      </c>
    </row>
    <row r="276" spans="2:16" x14ac:dyDescent="0.3">
      <c r="B276" s="292"/>
      <c r="C276" s="9" t="s">
        <v>179</v>
      </c>
      <c r="D276" s="86">
        <v>17.513165466376705</v>
      </c>
      <c r="E276" s="86">
        <v>55.696197830769258</v>
      </c>
      <c r="F276" s="88">
        <v>25.457891191614806</v>
      </c>
      <c r="G276" s="86">
        <v>4.6144748390720665</v>
      </c>
      <c r="H276" s="88">
        <v>34.940273255641024</v>
      </c>
      <c r="I276" s="86">
        <v>56.8871133714444</v>
      </c>
      <c r="J276" s="86">
        <v>32.531647546320805</v>
      </c>
      <c r="K276" s="86">
        <v>22.1746528245504</v>
      </c>
      <c r="L276" s="88">
        <v>38.282658067591989</v>
      </c>
      <c r="M276" s="86">
        <v>5.9269046981914837</v>
      </c>
      <c r="N276" s="86">
        <v>2.3718848910864376</v>
      </c>
      <c r="O276" s="86">
        <v>3.4667440197684569</v>
      </c>
      <c r="P276" s="86">
        <v>0.13639199757223427</v>
      </c>
    </row>
    <row r="277" spans="2:16" x14ac:dyDescent="0.3">
      <c r="B277" s="298"/>
      <c r="C277" s="12" t="s">
        <v>180</v>
      </c>
      <c r="D277" s="90">
        <v>18.51778173278538</v>
      </c>
      <c r="E277" s="90">
        <v>62.419305148071544</v>
      </c>
      <c r="F277" s="91">
        <v>26.161508366628134</v>
      </c>
      <c r="G277" s="90">
        <v>4.0404334122739378</v>
      </c>
      <c r="H277" s="91">
        <v>30.356609293738153</v>
      </c>
      <c r="I277" s="90">
        <v>60.86617370195615</v>
      </c>
      <c r="J277" s="90">
        <v>25.981052328934307</v>
      </c>
      <c r="K277" s="90">
        <v>23.504066542852701</v>
      </c>
      <c r="L277" s="91">
        <v>38.957914272917527</v>
      </c>
      <c r="M277" s="90">
        <v>3.7561976627712532</v>
      </c>
      <c r="N277" s="90">
        <v>1.4387129888108199</v>
      </c>
      <c r="O277" s="90">
        <v>4.0002445482602935</v>
      </c>
      <c r="P277" s="90">
        <v>0</v>
      </c>
    </row>
    <row r="278" spans="2:16" x14ac:dyDescent="0.3">
      <c r="B278" s="292" t="s">
        <v>223</v>
      </c>
      <c r="C278" s="9" t="s">
        <v>210</v>
      </c>
      <c r="D278" s="86">
        <v>42.962658188801385</v>
      </c>
      <c r="E278" s="86">
        <v>56.273412276158133</v>
      </c>
      <c r="F278" s="88">
        <v>44.30819013796112</v>
      </c>
      <c r="G278" s="86">
        <v>13.111166203632232</v>
      </c>
      <c r="H278" s="88">
        <v>27.703571563878409</v>
      </c>
      <c r="I278" s="86">
        <v>40.11875852607011</v>
      </c>
      <c r="J278" s="86">
        <v>5.4060031730618334</v>
      </c>
      <c r="K278" s="86">
        <v>27.988238298160468</v>
      </c>
      <c r="L278" s="88">
        <v>19.454850478193205</v>
      </c>
      <c r="M278" s="86">
        <v>18.606331888920323</v>
      </c>
      <c r="N278" s="86">
        <v>4.0668192651627733</v>
      </c>
      <c r="O278" s="86">
        <v>0</v>
      </c>
      <c r="P278" s="86">
        <v>0</v>
      </c>
    </row>
    <row r="279" spans="2:16" x14ac:dyDescent="0.3">
      <c r="B279" s="292"/>
      <c r="C279" s="9" t="s">
        <v>211</v>
      </c>
      <c r="D279" s="86">
        <v>25.678240505026622</v>
      </c>
      <c r="E279" s="86">
        <v>42.910469814372036</v>
      </c>
      <c r="F279" s="88">
        <v>47.645141875898545</v>
      </c>
      <c r="G279" s="86">
        <v>17.80417630769611</v>
      </c>
      <c r="H279" s="88">
        <v>29.978547731489101</v>
      </c>
      <c r="I279" s="86">
        <v>38.600565195990669</v>
      </c>
      <c r="J279" s="86">
        <v>27.87610570399448</v>
      </c>
      <c r="K279" s="86">
        <v>22.384315365583198</v>
      </c>
      <c r="L279" s="88">
        <v>33.518313295638876</v>
      </c>
      <c r="M279" s="86">
        <v>10.415760712235118</v>
      </c>
      <c r="N279" s="86">
        <v>2.16998842518765</v>
      </c>
      <c r="O279" s="86">
        <v>1.0183750668874127</v>
      </c>
      <c r="P279" s="86">
        <v>0</v>
      </c>
    </row>
    <row r="280" spans="2:16" x14ac:dyDescent="0.3">
      <c r="B280" s="292"/>
      <c r="C280" s="9" t="s">
        <v>212</v>
      </c>
      <c r="D280" s="86">
        <v>15.220476500852961</v>
      </c>
      <c r="E280" s="86">
        <v>42.925627691632151</v>
      </c>
      <c r="F280" s="88">
        <v>31.604741585405176</v>
      </c>
      <c r="G280" s="86">
        <v>20.149768688027553</v>
      </c>
      <c r="H280" s="88">
        <v>36.045362559628053</v>
      </c>
      <c r="I280" s="86">
        <v>45.318029615639524</v>
      </c>
      <c r="J280" s="86">
        <v>34.133544202717211</v>
      </c>
      <c r="K280" s="86">
        <v>24.885781424959504</v>
      </c>
      <c r="L280" s="88">
        <v>36.402089259693795</v>
      </c>
      <c r="M280" s="86">
        <v>9.061529774946381</v>
      </c>
      <c r="N280" s="86">
        <v>0.73760701669355999</v>
      </c>
      <c r="O280" s="86">
        <v>3.5154416798040931</v>
      </c>
      <c r="P280" s="86">
        <v>0</v>
      </c>
    </row>
    <row r="281" spans="2:16" x14ac:dyDescent="0.3">
      <c r="B281" s="292"/>
      <c r="C281" s="9" t="s">
        <v>213</v>
      </c>
      <c r="D281" s="86">
        <v>19.023014156797885</v>
      </c>
      <c r="E281" s="86">
        <v>47.664018272436074</v>
      </c>
      <c r="F281" s="88">
        <v>32.348971244886407</v>
      </c>
      <c r="G281" s="86">
        <v>13.055959605430429</v>
      </c>
      <c r="H281" s="88">
        <v>31.407653367649701</v>
      </c>
      <c r="I281" s="86">
        <v>52.062852249138359</v>
      </c>
      <c r="J281" s="86">
        <v>22.640622664017599</v>
      </c>
      <c r="K281" s="86">
        <v>22.816400508535299</v>
      </c>
      <c r="L281" s="88">
        <v>47.626804502678809</v>
      </c>
      <c r="M281" s="86">
        <v>7.8161839597306253</v>
      </c>
      <c r="N281" s="86">
        <v>2.6177817736747664</v>
      </c>
      <c r="O281" s="86">
        <v>0.91973769502409519</v>
      </c>
      <c r="P281" s="86">
        <v>0</v>
      </c>
    </row>
    <row r="282" spans="2:16" x14ac:dyDescent="0.3">
      <c r="B282" s="292"/>
      <c r="C282" s="9" t="s">
        <v>214</v>
      </c>
      <c r="D282" s="86">
        <v>16.482604076246304</v>
      </c>
      <c r="E282" s="86">
        <v>50.530613559520198</v>
      </c>
      <c r="F282" s="88">
        <v>26.937722993091846</v>
      </c>
      <c r="G282" s="86">
        <v>3.4713848568780339</v>
      </c>
      <c r="H282" s="88">
        <v>33.496720959643184</v>
      </c>
      <c r="I282" s="86">
        <v>52.531516901251152</v>
      </c>
      <c r="J282" s="86">
        <v>34.759852284526907</v>
      </c>
      <c r="K282" s="86">
        <v>28.002720850620737</v>
      </c>
      <c r="L282" s="88">
        <v>42.071262999246329</v>
      </c>
      <c r="M282" s="86">
        <v>6.2767000601203007</v>
      </c>
      <c r="N282" s="86">
        <v>2.3507344435156998</v>
      </c>
      <c r="O282" s="86">
        <v>2.7597511071558873</v>
      </c>
      <c r="P282" s="86">
        <v>0.32841490818374625</v>
      </c>
    </row>
    <row r="283" spans="2:16" x14ac:dyDescent="0.3">
      <c r="B283" s="292"/>
      <c r="C283" s="12" t="s">
        <v>215</v>
      </c>
      <c r="D283" s="90">
        <v>15.166630623813978</v>
      </c>
      <c r="E283" s="90">
        <v>57.191140162180453</v>
      </c>
      <c r="F283" s="91">
        <v>26.445920519681398</v>
      </c>
      <c r="G283" s="90">
        <v>5.7660788205463298</v>
      </c>
      <c r="H283" s="91">
        <v>28.595232057953773</v>
      </c>
      <c r="I283" s="90">
        <v>58.307637840334991</v>
      </c>
      <c r="J283" s="90">
        <v>28.545645724225306</v>
      </c>
      <c r="K283" s="90">
        <v>26.391829412295699</v>
      </c>
      <c r="L283" s="91">
        <v>43.984624255106489</v>
      </c>
      <c r="M283" s="90">
        <v>4.9876103488036723</v>
      </c>
      <c r="N283" s="90">
        <v>1.1646114345632195</v>
      </c>
      <c r="O283" s="90">
        <v>3.4530388004945802</v>
      </c>
      <c r="P283" s="90">
        <v>0</v>
      </c>
    </row>
    <row r="284" spans="2:16" x14ac:dyDescent="0.3">
      <c r="B284" s="292"/>
      <c r="C284" s="9" t="s">
        <v>216</v>
      </c>
      <c r="D284" s="86">
        <v>20.589866652578831</v>
      </c>
      <c r="E284" s="86">
        <v>49.752904271305368</v>
      </c>
      <c r="F284" s="88">
        <v>42.460416644979496</v>
      </c>
      <c r="G284" s="86">
        <v>10.941748327200214</v>
      </c>
      <c r="H284" s="88">
        <v>29.114880399190458</v>
      </c>
      <c r="I284" s="86">
        <v>58.423315698091905</v>
      </c>
      <c r="J284" s="86">
        <v>28.636067734653007</v>
      </c>
      <c r="K284" s="86">
        <v>21.982516559024845</v>
      </c>
      <c r="L284" s="88">
        <v>25.461124484216104</v>
      </c>
      <c r="M284" s="86">
        <v>4.19075281961379</v>
      </c>
      <c r="N284" s="86">
        <v>6.4670536254608182</v>
      </c>
      <c r="O284" s="86">
        <v>1.9793527836852713</v>
      </c>
      <c r="P284" s="86">
        <v>0</v>
      </c>
    </row>
    <row r="285" spans="2:16" x14ac:dyDescent="0.3">
      <c r="B285" s="292"/>
      <c r="C285" s="9" t="s">
        <v>217</v>
      </c>
      <c r="D285" s="86">
        <v>17.339532043215453</v>
      </c>
      <c r="E285" s="86">
        <v>51.748979832423522</v>
      </c>
      <c r="F285" s="88">
        <v>38.527449267006922</v>
      </c>
      <c r="G285" s="86">
        <v>15.583363497332639</v>
      </c>
      <c r="H285" s="88">
        <v>36.529241291589052</v>
      </c>
      <c r="I285" s="86">
        <v>47.880689239974274</v>
      </c>
      <c r="J285" s="86">
        <v>32.150252942142124</v>
      </c>
      <c r="K285" s="86">
        <v>20.449486816551989</v>
      </c>
      <c r="L285" s="88">
        <v>33.337370936879154</v>
      </c>
      <c r="M285" s="86">
        <v>2.6444799403453629</v>
      </c>
      <c r="N285" s="86">
        <v>2.7889200169207173</v>
      </c>
      <c r="O285" s="86">
        <v>1.0202341756186994</v>
      </c>
      <c r="P285" s="86">
        <v>0</v>
      </c>
    </row>
    <row r="286" spans="2:16" x14ac:dyDescent="0.3">
      <c r="B286" s="292"/>
      <c r="C286" s="9" t="s">
        <v>218</v>
      </c>
      <c r="D286" s="86">
        <v>23.945639392437705</v>
      </c>
      <c r="E286" s="86">
        <v>61.178792281638394</v>
      </c>
      <c r="F286" s="88">
        <v>36.214661526812662</v>
      </c>
      <c r="G286" s="86">
        <v>9.1276189393329563</v>
      </c>
      <c r="H286" s="88">
        <v>41.059777714879537</v>
      </c>
      <c r="I286" s="86">
        <v>50.013784163588369</v>
      </c>
      <c r="J286" s="86">
        <v>26.127013509343822</v>
      </c>
      <c r="K286" s="86">
        <v>12.706725308803568</v>
      </c>
      <c r="L286" s="88">
        <v>31.217505466634204</v>
      </c>
      <c r="M286" s="86">
        <v>4.2626169428595402</v>
      </c>
      <c r="N286" s="86">
        <v>0.40908819978611349</v>
      </c>
      <c r="O286" s="86">
        <v>3.7367765538828266</v>
      </c>
      <c r="P286" s="86">
        <v>0</v>
      </c>
    </row>
    <row r="287" spans="2:16" x14ac:dyDescent="0.3">
      <c r="B287" s="292"/>
      <c r="C287" s="9" t="s">
        <v>219</v>
      </c>
      <c r="D287" s="86">
        <v>19.006795948823637</v>
      </c>
      <c r="E287" s="86">
        <v>56.53293670120074</v>
      </c>
      <c r="F287" s="88">
        <v>32.761155117427329</v>
      </c>
      <c r="G287" s="86">
        <v>5.5516811777502904</v>
      </c>
      <c r="H287" s="88">
        <v>37.480496546961596</v>
      </c>
      <c r="I287" s="86">
        <v>55.753942305987373</v>
      </c>
      <c r="J287" s="86">
        <v>31.595239712822476</v>
      </c>
      <c r="K287" s="86">
        <v>21.798322615187264</v>
      </c>
      <c r="L287" s="88">
        <v>30.012976929913183</v>
      </c>
      <c r="M287" s="86">
        <v>3.1889353083948655</v>
      </c>
      <c r="N287" s="86">
        <v>2.4320401559223361</v>
      </c>
      <c r="O287" s="86">
        <v>3.0549850239552612</v>
      </c>
      <c r="P287" s="86">
        <v>0.8304924556535016</v>
      </c>
    </row>
    <row r="288" spans="2:16" x14ac:dyDescent="0.3">
      <c r="B288" s="292"/>
      <c r="C288" s="9" t="s">
        <v>220</v>
      </c>
      <c r="D288" s="86">
        <v>18.245163154429015</v>
      </c>
      <c r="E288" s="86">
        <v>59.365261877031607</v>
      </c>
      <c r="F288" s="88">
        <v>24.406781119219779</v>
      </c>
      <c r="G288" s="86">
        <v>5.426400486796866</v>
      </c>
      <c r="H288" s="88">
        <v>35.965614349701724</v>
      </c>
      <c r="I288" s="86">
        <v>59.980850995232913</v>
      </c>
      <c r="J288" s="86">
        <v>30.948975487679377</v>
      </c>
      <c r="K288" s="86">
        <v>18.035033038915554</v>
      </c>
      <c r="L288" s="88">
        <v>35.591648994795619</v>
      </c>
      <c r="M288" s="86">
        <v>5.6784484696974955</v>
      </c>
      <c r="N288" s="86">
        <v>2.3869078473812513</v>
      </c>
      <c r="O288" s="86">
        <v>3.9689141791184905</v>
      </c>
      <c r="P288" s="86">
        <v>0</v>
      </c>
    </row>
    <row r="289" spans="2:16" x14ac:dyDescent="0.3">
      <c r="B289" s="295"/>
      <c r="C289" s="9" t="s">
        <v>221</v>
      </c>
      <c r="D289" s="90">
        <v>20.47476010233397</v>
      </c>
      <c r="E289" s="90">
        <v>65.472407039666194</v>
      </c>
      <c r="F289" s="91">
        <v>25.995419636677379</v>
      </c>
      <c r="G289" s="90">
        <v>3.0327048355292945</v>
      </c>
      <c r="H289" s="91">
        <v>31.38520425676959</v>
      </c>
      <c r="I289" s="90">
        <v>62.360286971125824</v>
      </c>
      <c r="J289" s="90">
        <v>24.483401629795189</v>
      </c>
      <c r="K289" s="90">
        <v>21.817693923976591</v>
      </c>
      <c r="L289" s="91">
        <v>36.022456459987858</v>
      </c>
      <c r="M289" s="90">
        <v>3.0370871505350867</v>
      </c>
      <c r="N289" s="90">
        <v>1.5987806178968895</v>
      </c>
      <c r="O289" s="90">
        <v>4.3197973757061598</v>
      </c>
      <c r="P289" s="90">
        <v>0</v>
      </c>
    </row>
    <row r="290" spans="2:16" ht="16.5" customHeight="1" x14ac:dyDescent="0.3">
      <c r="B290" s="291" t="s">
        <v>222</v>
      </c>
      <c r="C290" s="13" t="s">
        <v>226</v>
      </c>
      <c r="D290" s="80">
        <v>25.640963974201618</v>
      </c>
      <c r="E290" s="80">
        <v>52.835702755419469</v>
      </c>
      <c r="F290" s="80">
        <v>36.149323138616566</v>
      </c>
      <c r="G290" s="80">
        <v>9.0716976594073344</v>
      </c>
      <c r="H290" s="80">
        <v>32.128666014388713</v>
      </c>
      <c r="I290" s="80">
        <v>49.639444273934025</v>
      </c>
      <c r="J290" s="80">
        <v>23.809781459871768</v>
      </c>
      <c r="K290" s="80">
        <v>20.011524810734549</v>
      </c>
      <c r="L290" s="80">
        <v>41.02696701134974</v>
      </c>
      <c r="M290" s="80">
        <v>5.6053344798275484</v>
      </c>
      <c r="N290" s="80">
        <v>1.7750464991268484</v>
      </c>
      <c r="O290" s="80">
        <v>2.1762329393629356</v>
      </c>
      <c r="P290" s="80">
        <v>0.129314983758858</v>
      </c>
    </row>
    <row r="291" spans="2:16" x14ac:dyDescent="0.3">
      <c r="B291" s="294"/>
      <c r="C291" s="9" t="s">
        <v>227</v>
      </c>
      <c r="D291" s="79">
        <v>21.376529264737602</v>
      </c>
      <c r="E291" s="79">
        <v>53.13467698109433</v>
      </c>
      <c r="F291" s="79">
        <v>31.663897262017265</v>
      </c>
      <c r="G291" s="79">
        <v>9.9960729469882796</v>
      </c>
      <c r="H291" s="79">
        <v>37.277691869713692</v>
      </c>
      <c r="I291" s="79">
        <v>51.133011824932609</v>
      </c>
      <c r="J291" s="79">
        <v>25.649208248897441</v>
      </c>
      <c r="K291" s="79">
        <v>21.592327583418321</v>
      </c>
      <c r="L291" s="79">
        <v>36.575462225687986</v>
      </c>
      <c r="M291" s="79">
        <v>5.657983142963956</v>
      </c>
      <c r="N291" s="79">
        <v>2.4309175161797536</v>
      </c>
      <c r="O291" s="79">
        <v>3.4005514484294146</v>
      </c>
      <c r="P291" s="79">
        <v>0.11166968493940466</v>
      </c>
    </row>
    <row r="292" spans="2:16" x14ac:dyDescent="0.3">
      <c r="B292" s="292"/>
      <c r="C292" s="9" t="s">
        <v>228</v>
      </c>
      <c r="D292" s="79">
        <v>14.689096179583153</v>
      </c>
      <c r="E292" s="79">
        <v>54.575660769406412</v>
      </c>
      <c r="F292" s="79">
        <v>31.778136357134617</v>
      </c>
      <c r="G292" s="79">
        <v>9.9919111771541012</v>
      </c>
      <c r="H292" s="79">
        <v>35.531982642582896</v>
      </c>
      <c r="I292" s="79">
        <v>53.879363724375672</v>
      </c>
      <c r="J292" s="79">
        <v>32.160756829700823</v>
      </c>
      <c r="K292" s="79">
        <v>21.150396902742735</v>
      </c>
      <c r="L292" s="79">
        <v>35.956742411122121</v>
      </c>
      <c r="M292" s="79">
        <v>5.0722395381436423</v>
      </c>
      <c r="N292" s="79">
        <v>2.4417715002335494</v>
      </c>
      <c r="O292" s="79">
        <v>2.5846291331446998</v>
      </c>
      <c r="P292" s="79">
        <v>0.18731283467586488</v>
      </c>
    </row>
    <row r="293" spans="2:16" x14ac:dyDescent="0.3">
      <c r="B293" s="295"/>
      <c r="C293" s="12" t="s">
        <v>229</v>
      </c>
      <c r="D293" s="81">
        <v>16.473345789040017</v>
      </c>
      <c r="E293" s="81">
        <v>57.901103631946484</v>
      </c>
      <c r="F293" s="81">
        <v>29.914580835728461</v>
      </c>
      <c r="G293" s="81">
        <v>8.0443109051978077</v>
      </c>
      <c r="H293" s="81">
        <v>33.436102437248536</v>
      </c>
      <c r="I293" s="81">
        <v>57.119089715649388</v>
      </c>
      <c r="J293" s="81">
        <v>34.718694291463279</v>
      </c>
      <c r="K293" s="81">
        <v>22.570584041330534</v>
      </c>
      <c r="L293" s="81">
        <v>29.753149753590701</v>
      </c>
      <c r="M293" s="81">
        <v>5.3411726142107634</v>
      </c>
      <c r="N293" s="81">
        <v>1.3383518107817851</v>
      </c>
      <c r="O293" s="81">
        <v>3.2366114479354455</v>
      </c>
      <c r="P293" s="81">
        <v>0.15290272587738554</v>
      </c>
    </row>
    <row r="294" spans="2:16" x14ac:dyDescent="0.3">
      <c r="B294" s="296" t="s">
        <v>199</v>
      </c>
      <c r="C294" s="13" t="s">
        <v>192</v>
      </c>
      <c r="D294" s="80">
        <v>19.639700239041328</v>
      </c>
      <c r="E294" s="80">
        <v>55.416187803998874</v>
      </c>
      <c r="F294" s="80">
        <v>33.322762642479184</v>
      </c>
      <c r="G294" s="80">
        <v>10.682184628627112</v>
      </c>
      <c r="H294" s="80">
        <v>35.144021446024283</v>
      </c>
      <c r="I294" s="80">
        <v>53.341724457193827</v>
      </c>
      <c r="J294" s="80">
        <v>28.202647484542748</v>
      </c>
      <c r="K294" s="80">
        <v>20.075083091974978</v>
      </c>
      <c r="L294" s="80">
        <v>33.929479729062415</v>
      </c>
      <c r="M294" s="80">
        <v>5.2920376238623019</v>
      </c>
      <c r="N294" s="80">
        <v>1.843661552898868</v>
      </c>
      <c r="O294" s="80">
        <v>3.1105093002936441</v>
      </c>
      <c r="P294" s="80">
        <v>0</v>
      </c>
    </row>
    <row r="295" spans="2:16" ht="16.5" customHeight="1" x14ac:dyDescent="0.3">
      <c r="B295" s="292"/>
      <c r="C295" s="9" t="s">
        <v>200</v>
      </c>
      <c r="D295" s="79">
        <v>12.027087047859881</v>
      </c>
      <c r="E295" s="79">
        <v>52.169636566790686</v>
      </c>
      <c r="F295" s="79">
        <v>28.092125758456476</v>
      </c>
      <c r="G295" s="79">
        <v>9.1140995850200532</v>
      </c>
      <c r="H295" s="79">
        <v>35.708888883743697</v>
      </c>
      <c r="I295" s="79">
        <v>55.194523313063591</v>
      </c>
      <c r="J295" s="79">
        <v>28.256592154646071</v>
      </c>
      <c r="K295" s="79">
        <v>32.293147097843757</v>
      </c>
      <c r="L295" s="79">
        <v>38.674764152920254</v>
      </c>
      <c r="M295" s="79">
        <v>4.3167828373059329</v>
      </c>
      <c r="N295" s="79">
        <v>0</v>
      </c>
      <c r="O295" s="79">
        <v>2.7606931529776171</v>
      </c>
      <c r="P295" s="79">
        <v>1.3916594493721421</v>
      </c>
    </row>
    <row r="296" spans="2:16" ht="16.5" customHeight="1" x14ac:dyDescent="0.3">
      <c r="B296" s="292"/>
      <c r="C296" s="9" t="s">
        <v>201</v>
      </c>
      <c r="D296" s="79">
        <v>20.092737456160044</v>
      </c>
      <c r="E296" s="79">
        <v>54.871437435807593</v>
      </c>
      <c r="F296" s="79">
        <v>36.498375862138651</v>
      </c>
      <c r="G296" s="79">
        <v>7.7911752413535789</v>
      </c>
      <c r="H296" s="79">
        <v>30.739154566095301</v>
      </c>
      <c r="I296" s="79">
        <v>49.428778099998226</v>
      </c>
      <c r="J296" s="79">
        <v>31.513903817903806</v>
      </c>
      <c r="K296" s="79">
        <v>20.441387778110318</v>
      </c>
      <c r="L296" s="79">
        <v>37.377565823111155</v>
      </c>
      <c r="M296" s="79">
        <v>5.9371332275015067</v>
      </c>
      <c r="N296" s="79">
        <v>2.9345061485950095</v>
      </c>
      <c r="O296" s="79">
        <v>1.9752496373994737</v>
      </c>
      <c r="P296" s="79">
        <v>0.39859490582550344</v>
      </c>
    </row>
    <row r="297" spans="2:16" x14ac:dyDescent="0.3">
      <c r="B297" s="292"/>
      <c r="C297" s="9" t="s">
        <v>202</v>
      </c>
      <c r="D297" s="79">
        <v>18.638784856649988</v>
      </c>
      <c r="E297" s="79">
        <v>53.558535135012249</v>
      </c>
      <c r="F297" s="79">
        <v>34.926903496558147</v>
      </c>
      <c r="G297" s="79">
        <v>10.481341108700596</v>
      </c>
      <c r="H297" s="79">
        <v>35.291585096880688</v>
      </c>
      <c r="I297" s="79">
        <v>48.922656858259202</v>
      </c>
      <c r="J297" s="79">
        <v>24.631424949895646</v>
      </c>
      <c r="K297" s="79">
        <v>24.579899686058567</v>
      </c>
      <c r="L297" s="79">
        <v>37.834101934853443</v>
      </c>
      <c r="M297" s="79">
        <v>6.2429306580450916</v>
      </c>
      <c r="N297" s="79">
        <v>3.5394782930646054</v>
      </c>
      <c r="O297" s="79">
        <v>1.3523579260219578</v>
      </c>
      <c r="P297" s="79">
        <v>0</v>
      </c>
    </row>
    <row r="298" spans="2:16" x14ac:dyDescent="0.3">
      <c r="B298" s="295"/>
      <c r="C298" s="12" t="s">
        <v>203</v>
      </c>
      <c r="D298" s="81">
        <v>20.443776682280244</v>
      </c>
      <c r="E298" s="81">
        <v>53.547301848838558</v>
      </c>
      <c r="F298" s="81">
        <v>26.943950773899495</v>
      </c>
      <c r="G298" s="81">
        <v>5.7006246696050313</v>
      </c>
      <c r="H298" s="81">
        <v>34.958560065273346</v>
      </c>
      <c r="I298" s="81">
        <v>55.14077509038048</v>
      </c>
      <c r="J298" s="81">
        <v>32.635461472268219</v>
      </c>
      <c r="K298" s="81">
        <v>22.092441399018377</v>
      </c>
      <c r="L298" s="81">
        <v>37.751265223926424</v>
      </c>
      <c r="M298" s="81">
        <v>5.4590718317997915</v>
      </c>
      <c r="N298" s="81">
        <v>1.7698827421886054</v>
      </c>
      <c r="O298" s="81">
        <v>3.3481783608007585</v>
      </c>
      <c r="P298" s="81">
        <v>0.20870983972085477</v>
      </c>
    </row>
    <row r="299" spans="2:16" x14ac:dyDescent="0.3">
      <c r="B299" s="291" t="s">
        <v>204</v>
      </c>
      <c r="C299" s="13" t="s">
        <v>192</v>
      </c>
      <c r="D299" s="80">
        <v>19.639700239041328</v>
      </c>
      <c r="E299" s="80">
        <v>55.416187803998874</v>
      </c>
      <c r="F299" s="80">
        <v>33.322762642479184</v>
      </c>
      <c r="G299" s="80">
        <v>10.682184628627112</v>
      </c>
      <c r="H299" s="80">
        <v>35.144021446024283</v>
      </c>
      <c r="I299" s="80">
        <v>53.341724457193827</v>
      </c>
      <c r="J299" s="80">
        <v>28.202647484542748</v>
      </c>
      <c r="K299" s="80">
        <v>20.075083091974978</v>
      </c>
      <c r="L299" s="80">
        <v>33.929479729062415</v>
      </c>
      <c r="M299" s="80">
        <v>5.2920376238623019</v>
      </c>
      <c r="N299" s="80">
        <v>1.843661552898868</v>
      </c>
      <c r="O299" s="80">
        <v>3.1105093002936441</v>
      </c>
      <c r="P299" s="80">
        <v>0</v>
      </c>
    </row>
    <row r="300" spans="2:16" x14ac:dyDescent="0.3">
      <c r="B300" s="295"/>
      <c r="C300" s="12" t="s">
        <v>193</v>
      </c>
      <c r="D300" s="81">
        <v>19.204825225890779</v>
      </c>
      <c r="E300" s="81">
        <v>53.730591500754031</v>
      </c>
      <c r="F300" s="81">
        <v>30.766638570097566</v>
      </c>
      <c r="G300" s="81">
        <v>7.3883527194267966</v>
      </c>
      <c r="H300" s="81">
        <v>34.078867609952987</v>
      </c>
      <c r="I300" s="81">
        <v>52.672660780373747</v>
      </c>
      <c r="J300" s="81">
        <v>30.513436577686505</v>
      </c>
      <c r="K300" s="81">
        <v>23.148553163192194</v>
      </c>
      <c r="L300" s="81">
        <v>37.767811065283844</v>
      </c>
      <c r="M300" s="81">
        <v>5.5994733938169077</v>
      </c>
      <c r="N300" s="81">
        <v>2.1875738028752361</v>
      </c>
      <c r="O300" s="81">
        <v>2.6065691313860491</v>
      </c>
      <c r="P300" s="81">
        <v>0.33464645926386488</v>
      </c>
    </row>
    <row r="301" spans="2:16" x14ac:dyDescent="0.3">
      <c r="B301" s="291" t="s">
        <v>209</v>
      </c>
      <c r="C301" s="13" t="s">
        <v>205</v>
      </c>
      <c r="D301" s="80">
        <v>22.391423731799506</v>
      </c>
      <c r="E301" s="80">
        <v>52.679399244639328</v>
      </c>
      <c r="F301" s="80">
        <v>30.161935951038188</v>
      </c>
      <c r="G301" s="80">
        <v>8.7488691161331733</v>
      </c>
      <c r="H301" s="80">
        <v>35.138818301811483</v>
      </c>
      <c r="I301" s="80">
        <v>52.364335869000243</v>
      </c>
      <c r="J301" s="80">
        <v>29.054386064174615</v>
      </c>
      <c r="K301" s="80">
        <v>21.186661362349227</v>
      </c>
      <c r="L301" s="80">
        <v>37.33463170614769</v>
      </c>
      <c r="M301" s="80">
        <v>7.2511016185074899</v>
      </c>
      <c r="N301" s="80">
        <v>1.8216653312419611</v>
      </c>
      <c r="O301" s="80">
        <v>1.7007968675002958</v>
      </c>
      <c r="P301" s="80">
        <v>0.16597483565674864</v>
      </c>
    </row>
    <row r="302" spans="2:16" x14ac:dyDescent="0.3">
      <c r="B302" s="292"/>
      <c r="C302" s="9" t="s">
        <v>206</v>
      </c>
      <c r="D302" s="79">
        <v>17.701056153213692</v>
      </c>
      <c r="E302" s="79">
        <v>57.366080196164383</v>
      </c>
      <c r="F302" s="79">
        <v>29.507771844104326</v>
      </c>
      <c r="G302" s="79">
        <v>6.8960809156665119</v>
      </c>
      <c r="H302" s="79">
        <v>34.230956036194812</v>
      </c>
      <c r="I302" s="79">
        <v>57.58438600694268</v>
      </c>
      <c r="J302" s="79">
        <v>27.565449143523157</v>
      </c>
      <c r="K302" s="79">
        <v>20.706342246947671</v>
      </c>
      <c r="L302" s="79">
        <v>40.179331321197068</v>
      </c>
      <c r="M302" s="79">
        <v>3.1614145805989287</v>
      </c>
      <c r="N302" s="79">
        <v>1.4897432489551852</v>
      </c>
      <c r="O302" s="79">
        <v>3.4604272454443348</v>
      </c>
      <c r="P302" s="79">
        <v>0.15096106104705212</v>
      </c>
    </row>
    <row r="303" spans="2:16" x14ac:dyDescent="0.3">
      <c r="B303" s="292"/>
      <c r="C303" s="9" t="s">
        <v>207</v>
      </c>
      <c r="D303" s="79">
        <v>17.510646999152787</v>
      </c>
      <c r="E303" s="79">
        <v>59.269400097167271</v>
      </c>
      <c r="F303" s="79">
        <v>30.397199559282406</v>
      </c>
      <c r="G303" s="79">
        <v>9.3831618043279157</v>
      </c>
      <c r="H303" s="79">
        <v>34.702199563008456</v>
      </c>
      <c r="I303" s="79">
        <v>53.434217915073958</v>
      </c>
      <c r="J303" s="79">
        <v>29.232610246325603</v>
      </c>
      <c r="K303" s="79">
        <v>21.798608796404494</v>
      </c>
      <c r="L303" s="79">
        <v>33.341034972430492</v>
      </c>
      <c r="M303" s="79">
        <v>5.7848105032964305</v>
      </c>
      <c r="N303" s="79">
        <v>1.2078741760913578</v>
      </c>
      <c r="O303" s="79">
        <v>3.6543872309705834</v>
      </c>
      <c r="P303" s="79">
        <v>0.28384813646891588</v>
      </c>
    </row>
    <row r="304" spans="2:16" x14ac:dyDescent="0.3">
      <c r="B304" s="293"/>
      <c r="C304" s="25" t="s">
        <v>208</v>
      </c>
      <c r="D304" s="82">
        <v>20.758453169988133</v>
      </c>
      <c r="E304" s="82">
        <v>49.874249155583421</v>
      </c>
      <c r="F304" s="82">
        <v>36.702340751836054</v>
      </c>
      <c r="G304" s="82">
        <v>10.905389259838739</v>
      </c>
      <c r="H304" s="82">
        <v>34.708636798137768</v>
      </c>
      <c r="I304" s="82">
        <v>50.23673773698377</v>
      </c>
      <c r="J304" s="82">
        <v>30.268354333289736</v>
      </c>
      <c r="K304" s="82">
        <v>21.582968132078527</v>
      </c>
      <c r="L304" s="82">
        <v>33.837312475631911</v>
      </c>
      <c r="M304" s="82">
        <v>5.5284627204647849</v>
      </c>
      <c r="N304" s="82">
        <v>3.1199367529898101</v>
      </c>
      <c r="O304" s="82">
        <v>2.4771587131778943</v>
      </c>
      <c r="P304" s="82">
        <v>0</v>
      </c>
    </row>
    <row r="305" spans="2:16" x14ac:dyDescent="0.3">
      <c r="B305" s="60"/>
      <c r="C305" s="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</row>
    <row r="306" spans="2:16" x14ac:dyDescent="0.3">
      <c r="B306" s="60"/>
      <c r="C306" s="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</row>
    <row r="307" spans="2:16" x14ac:dyDescent="0.3">
      <c r="B307" s="40"/>
      <c r="C307" s="9"/>
      <c r="D307" s="83"/>
      <c r="E307" s="83"/>
      <c r="F307" s="83"/>
      <c r="G307" s="9"/>
      <c r="H307" s="56"/>
      <c r="I307" s="56"/>
      <c r="J307" s="56"/>
      <c r="K307" s="9"/>
      <c r="L307" s="56"/>
      <c r="M307" s="56"/>
      <c r="N307" s="56"/>
    </row>
    <row r="308" spans="2:16" x14ac:dyDescent="0.3">
      <c r="B308" s="40"/>
      <c r="C308" s="9"/>
      <c r="D308" s="83"/>
      <c r="E308" s="83"/>
      <c r="F308" s="83"/>
      <c r="G308" s="9"/>
      <c r="H308" s="56"/>
      <c r="I308" s="56"/>
      <c r="J308" s="56"/>
      <c r="K308" s="9"/>
      <c r="L308" s="56"/>
      <c r="M308" s="56"/>
      <c r="N308" s="56"/>
    </row>
    <row r="309" spans="2:16" x14ac:dyDescent="0.3">
      <c r="B309" s="40"/>
      <c r="C309" s="9"/>
      <c r="D309" s="83"/>
      <c r="E309" s="83"/>
      <c r="F309" s="83"/>
      <c r="G309" s="9"/>
      <c r="H309" s="56"/>
      <c r="I309" s="56"/>
      <c r="J309" s="56"/>
      <c r="K309" s="9"/>
      <c r="L309" s="56"/>
      <c r="M309" s="56"/>
      <c r="N309" s="56"/>
    </row>
    <row r="310" spans="2:16" x14ac:dyDescent="0.3">
      <c r="B310" s="40"/>
      <c r="C310" s="9"/>
      <c r="D310" s="83"/>
      <c r="E310" s="83"/>
      <c r="F310" s="83"/>
      <c r="G310" s="9"/>
      <c r="H310" s="56"/>
      <c r="I310" s="56"/>
      <c r="J310" s="56"/>
      <c r="K310" s="9"/>
      <c r="L310" s="56"/>
      <c r="M310" s="56"/>
      <c r="N310" s="56"/>
    </row>
    <row r="311" spans="2:16" x14ac:dyDescent="0.3">
      <c r="B311" s="40"/>
      <c r="C311" s="9"/>
      <c r="D311" s="83"/>
      <c r="E311" s="83"/>
      <c r="F311" s="83"/>
      <c r="G311" s="9"/>
      <c r="H311" s="56"/>
      <c r="I311" s="56"/>
      <c r="J311" s="56"/>
      <c r="K311" s="9"/>
      <c r="L311" s="56"/>
      <c r="M311" s="56"/>
      <c r="N311" s="56"/>
    </row>
    <row r="312" spans="2:16" x14ac:dyDescent="0.3">
      <c r="B312" s="40"/>
      <c r="C312" s="9"/>
      <c r="D312" s="83"/>
      <c r="E312" s="83"/>
      <c r="F312" s="83"/>
      <c r="G312" s="9"/>
      <c r="H312" s="56"/>
      <c r="I312" s="56"/>
      <c r="J312" s="56"/>
      <c r="K312" s="9"/>
      <c r="L312" s="56"/>
      <c r="M312" s="56"/>
      <c r="N312" s="56"/>
    </row>
    <row r="313" spans="2:16" x14ac:dyDescent="0.3">
      <c r="B313" s="40"/>
      <c r="C313" s="9"/>
      <c r="D313" s="83"/>
      <c r="E313" s="83"/>
      <c r="F313" s="83"/>
      <c r="G313" s="9"/>
      <c r="H313" s="56"/>
      <c r="I313" s="56"/>
      <c r="J313" s="56"/>
      <c r="K313" s="9"/>
      <c r="L313" s="56"/>
      <c r="M313" s="56"/>
      <c r="N313" s="56"/>
    </row>
    <row r="314" spans="2:16" x14ac:dyDescent="0.3">
      <c r="B314" s="40"/>
      <c r="C314" s="9"/>
      <c r="D314" s="83"/>
      <c r="E314" s="83"/>
      <c r="F314" s="83"/>
      <c r="G314" s="9"/>
      <c r="H314" s="56"/>
      <c r="I314" s="56"/>
      <c r="J314" s="56"/>
      <c r="K314" s="9"/>
      <c r="L314" s="56"/>
      <c r="M314" s="56"/>
      <c r="N314" s="56"/>
    </row>
    <row r="315" spans="2:16" x14ac:dyDescent="0.3">
      <c r="B315" s="40"/>
      <c r="C315" s="9"/>
      <c r="D315" s="83"/>
      <c r="E315" s="83"/>
      <c r="F315" s="83"/>
      <c r="G315" s="9"/>
      <c r="H315" s="56"/>
      <c r="I315" s="56"/>
      <c r="J315" s="56"/>
      <c r="K315" s="9"/>
      <c r="L315" s="56"/>
      <c r="M315" s="56"/>
      <c r="N315" s="56"/>
    </row>
    <row r="316" spans="2:16" x14ac:dyDescent="0.3">
      <c r="B316" s="40"/>
      <c r="C316" s="9"/>
      <c r="D316" s="83"/>
      <c r="E316" s="83"/>
      <c r="F316" s="83"/>
      <c r="G316" s="9"/>
      <c r="H316" s="56"/>
      <c r="I316" s="56"/>
      <c r="J316" s="56"/>
      <c r="K316" s="9"/>
      <c r="L316" s="56"/>
      <c r="M316" s="56"/>
      <c r="N316" s="56"/>
    </row>
    <row r="317" spans="2:16" x14ac:dyDescent="0.3">
      <c r="B317" s="40"/>
      <c r="C317" s="9"/>
      <c r="D317" s="83"/>
      <c r="E317" s="83"/>
      <c r="F317" s="83"/>
      <c r="G317" s="9"/>
      <c r="H317" s="56"/>
      <c r="I317" s="56"/>
      <c r="J317" s="56"/>
      <c r="K317" s="9"/>
      <c r="L317" s="56"/>
      <c r="M317" s="56"/>
      <c r="N317" s="56"/>
    </row>
    <row r="318" spans="2:16" x14ac:dyDescent="0.3">
      <c r="B318" s="40"/>
      <c r="C318" s="9"/>
      <c r="D318" s="83"/>
      <c r="E318" s="83"/>
      <c r="F318" s="83"/>
      <c r="G318" s="9"/>
      <c r="H318" s="56"/>
      <c r="I318" s="56"/>
      <c r="J318" s="56"/>
      <c r="K318" s="9"/>
      <c r="L318" s="56"/>
      <c r="M318" s="56"/>
      <c r="N318" s="56"/>
    </row>
    <row r="319" spans="2:16" x14ac:dyDescent="0.3">
      <c r="B319" s="40"/>
      <c r="C319" s="9"/>
      <c r="D319" s="83"/>
      <c r="E319" s="83"/>
      <c r="F319" s="83"/>
      <c r="G319" s="9"/>
      <c r="H319" s="56"/>
      <c r="I319" s="56"/>
      <c r="J319" s="56"/>
      <c r="K319" s="9"/>
      <c r="L319" s="56"/>
      <c r="M319" s="56"/>
      <c r="N319" s="56"/>
    </row>
    <row r="320" spans="2:16" x14ac:dyDescent="0.3">
      <c r="B320" s="40"/>
      <c r="C320" s="9"/>
      <c r="D320" s="83"/>
      <c r="E320" s="83"/>
      <c r="F320" s="83"/>
      <c r="G320" s="9"/>
      <c r="H320" s="56"/>
      <c r="I320" s="56"/>
      <c r="J320" s="56"/>
      <c r="K320" s="9"/>
      <c r="L320" s="56"/>
      <c r="M320" s="56"/>
      <c r="N320" s="56"/>
    </row>
    <row r="321" spans="2:14" x14ac:dyDescent="0.3">
      <c r="B321" s="40"/>
      <c r="C321" s="9"/>
      <c r="D321" s="83"/>
      <c r="E321" s="83"/>
      <c r="F321" s="83"/>
      <c r="G321" s="9"/>
      <c r="H321" s="56"/>
      <c r="I321" s="56"/>
      <c r="J321" s="56"/>
      <c r="K321" s="9"/>
      <c r="L321" s="56"/>
      <c r="M321" s="56"/>
      <c r="N321" s="56"/>
    </row>
    <row r="322" spans="2:14" x14ac:dyDescent="0.3">
      <c r="B322" s="40"/>
      <c r="C322" s="9"/>
      <c r="D322" s="83"/>
      <c r="E322" s="83"/>
      <c r="F322" s="83"/>
      <c r="G322" s="9"/>
      <c r="H322" s="56"/>
      <c r="I322" s="56"/>
      <c r="J322" s="56"/>
      <c r="K322" s="9"/>
      <c r="L322" s="56"/>
      <c r="M322" s="56"/>
      <c r="N322" s="56"/>
    </row>
    <row r="323" spans="2:14" x14ac:dyDescent="0.3">
      <c r="B323" s="40"/>
      <c r="C323" s="9"/>
      <c r="D323" s="83"/>
      <c r="E323" s="83"/>
      <c r="F323" s="83"/>
      <c r="G323" s="9"/>
      <c r="H323" s="56"/>
      <c r="I323" s="56"/>
      <c r="J323" s="56"/>
      <c r="K323" s="9"/>
      <c r="L323" s="56"/>
      <c r="M323" s="56"/>
      <c r="N323" s="56"/>
    </row>
    <row r="324" spans="2:14" x14ac:dyDescent="0.3">
      <c r="B324" s="40"/>
      <c r="C324" s="9"/>
      <c r="D324" s="83"/>
      <c r="E324" s="83"/>
      <c r="F324" s="83"/>
      <c r="G324" s="9"/>
      <c r="H324" s="56"/>
      <c r="I324" s="56"/>
      <c r="J324" s="56"/>
      <c r="K324" s="9"/>
      <c r="L324" s="56"/>
      <c r="M324" s="56"/>
      <c r="N324" s="56"/>
    </row>
    <row r="325" spans="2:14" x14ac:dyDescent="0.3">
      <c r="B325" s="40"/>
      <c r="C325" s="9"/>
      <c r="D325" s="83"/>
      <c r="E325" s="83"/>
      <c r="F325" s="83"/>
      <c r="G325" s="9"/>
      <c r="H325" s="56"/>
      <c r="I325" s="56"/>
      <c r="J325" s="56"/>
      <c r="K325" s="9"/>
      <c r="L325" s="56"/>
      <c r="M325" s="56"/>
      <c r="N325" s="56"/>
    </row>
    <row r="326" spans="2:14" x14ac:dyDescent="0.3">
      <c r="B326" s="40"/>
      <c r="C326" s="9"/>
      <c r="D326" s="83"/>
      <c r="E326" s="83"/>
      <c r="F326" s="83"/>
      <c r="G326" s="9"/>
      <c r="H326" s="56"/>
      <c r="I326" s="56"/>
      <c r="J326" s="56"/>
      <c r="K326" s="9"/>
      <c r="L326" s="56"/>
      <c r="M326" s="56"/>
      <c r="N326" s="56"/>
    </row>
    <row r="327" spans="2:14" x14ac:dyDescent="0.3">
      <c r="B327" s="40"/>
      <c r="C327" s="9"/>
      <c r="D327" s="83"/>
      <c r="E327" s="83"/>
      <c r="F327" s="83"/>
      <c r="G327" s="9"/>
      <c r="H327" s="56"/>
      <c r="I327" s="56"/>
      <c r="J327" s="56"/>
      <c r="K327" s="9"/>
      <c r="L327" s="56"/>
      <c r="M327" s="56"/>
      <c r="N327" s="56"/>
    </row>
    <row r="328" spans="2:14" x14ac:dyDescent="0.3">
      <c r="B328" s="40"/>
      <c r="C328" s="9"/>
      <c r="D328" s="83"/>
      <c r="E328" s="83"/>
      <c r="F328" s="83"/>
      <c r="G328" s="9"/>
      <c r="H328" s="56"/>
      <c r="I328" s="56"/>
      <c r="J328" s="56"/>
      <c r="K328" s="9"/>
      <c r="L328" s="56"/>
      <c r="M328" s="56"/>
      <c r="N328" s="56"/>
    </row>
    <row r="329" spans="2:14" x14ac:dyDescent="0.3">
      <c r="B329" s="40"/>
      <c r="C329" s="9"/>
      <c r="D329" s="83"/>
      <c r="E329" s="83"/>
      <c r="F329" s="83"/>
      <c r="G329" s="9"/>
      <c r="H329" s="56"/>
      <c r="I329" s="56"/>
      <c r="J329" s="56"/>
      <c r="K329" s="9"/>
      <c r="L329" s="56"/>
      <c r="M329" s="56"/>
      <c r="N329" s="56"/>
    </row>
    <row r="330" spans="2:14" x14ac:dyDescent="0.3">
      <c r="B330" s="40"/>
      <c r="C330" s="9"/>
      <c r="D330" s="83"/>
      <c r="E330" s="83"/>
      <c r="F330" s="83"/>
      <c r="G330" s="9"/>
      <c r="H330" s="56"/>
      <c r="I330" s="56"/>
      <c r="J330" s="56"/>
      <c r="K330" s="9"/>
      <c r="L330" s="56"/>
      <c r="M330" s="56"/>
      <c r="N330" s="56"/>
    </row>
    <row r="331" spans="2:14" x14ac:dyDescent="0.3">
      <c r="B331" s="40"/>
      <c r="C331" s="9"/>
      <c r="D331" s="83"/>
      <c r="E331" s="83"/>
      <c r="F331" s="83"/>
      <c r="G331" s="9"/>
      <c r="H331" s="56"/>
      <c r="I331" s="56"/>
      <c r="J331" s="56"/>
      <c r="K331" s="9"/>
      <c r="L331" s="56"/>
      <c r="M331" s="56"/>
      <c r="N331" s="56"/>
    </row>
    <row r="332" spans="2:14" x14ac:dyDescent="0.3">
      <c r="B332" s="40"/>
      <c r="C332" s="9"/>
      <c r="D332" s="83"/>
      <c r="E332" s="83"/>
      <c r="F332" s="83"/>
      <c r="G332" s="9"/>
      <c r="H332" s="56"/>
      <c r="I332" s="56"/>
      <c r="J332" s="56"/>
      <c r="K332" s="9"/>
      <c r="L332" s="56"/>
      <c r="M332" s="56"/>
      <c r="N332" s="56"/>
    </row>
    <row r="333" spans="2:14" x14ac:dyDescent="0.3">
      <c r="B333" s="40"/>
      <c r="C333" s="9"/>
      <c r="D333" s="83"/>
      <c r="E333" s="83"/>
      <c r="F333" s="83"/>
      <c r="G333" s="9"/>
      <c r="H333" s="56"/>
      <c r="I333" s="56"/>
      <c r="J333" s="56"/>
      <c r="K333" s="9"/>
      <c r="L333" s="56"/>
      <c r="M333" s="56"/>
      <c r="N333" s="56"/>
    </row>
    <row r="334" spans="2:14" x14ac:dyDescent="0.3">
      <c r="B334" s="40"/>
      <c r="C334" s="9"/>
      <c r="D334" s="83"/>
      <c r="E334" s="83"/>
      <c r="F334" s="83"/>
      <c r="G334" s="9"/>
      <c r="H334" s="56"/>
      <c r="I334" s="56"/>
      <c r="J334" s="56"/>
      <c r="K334" s="9"/>
      <c r="L334" s="56"/>
      <c r="M334" s="56"/>
      <c r="N334" s="56"/>
    </row>
    <row r="335" spans="2:14" x14ac:dyDescent="0.3">
      <c r="B335" s="40"/>
      <c r="C335" s="9"/>
      <c r="D335" s="83"/>
      <c r="E335" s="83"/>
      <c r="F335" s="83"/>
      <c r="G335" s="9"/>
      <c r="H335" s="56"/>
      <c r="I335" s="56"/>
      <c r="J335" s="56"/>
      <c r="K335" s="9"/>
      <c r="L335" s="56"/>
      <c r="M335" s="56"/>
      <c r="N335" s="56"/>
    </row>
    <row r="336" spans="2:14" x14ac:dyDescent="0.3">
      <c r="B336" s="40"/>
      <c r="C336" s="9"/>
      <c r="D336" s="83"/>
      <c r="E336" s="83"/>
      <c r="F336" s="83"/>
      <c r="G336" s="9"/>
      <c r="H336" s="56"/>
      <c r="I336" s="56"/>
      <c r="J336" s="56"/>
      <c r="K336" s="9"/>
      <c r="L336" s="56"/>
      <c r="M336" s="56"/>
      <c r="N336" s="56"/>
    </row>
  </sheetData>
  <mergeCells count="71">
    <mergeCell ref="F141:U141"/>
    <mergeCell ref="B143:C144"/>
    <mergeCell ref="D143:J143"/>
    <mergeCell ref="K143:P143"/>
    <mergeCell ref="B145:C145"/>
    <mergeCell ref="B301:B304"/>
    <mergeCell ref="E225:S225"/>
    <mergeCell ref="B227:C227"/>
    <mergeCell ref="B228:C228"/>
    <mergeCell ref="B229:B230"/>
    <mergeCell ref="B231:B236"/>
    <mergeCell ref="B237:B248"/>
    <mergeCell ref="B249:B252"/>
    <mergeCell ref="B253:B257"/>
    <mergeCell ref="B258:B259"/>
    <mergeCell ref="B260:B263"/>
    <mergeCell ref="B278:B289"/>
    <mergeCell ref="E266:S266"/>
    <mergeCell ref="B268:C268"/>
    <mergeCell ref="B269:C269"/>
    <mergeCell ref="B270:B271"/>
    <mergeCell ref="B170:B174"/>
    <mergeCell ref="B175:B176"/>
    <mergeCell ref="B290:B293"/>
    <mergeCell ref="B294:B298"/>
    <mergeCell ref="B299:B300"/>
    <mergeCell ref="B272:B277"/>
    <mergeCell ref="B177:B180"/>
    <mergeCell ref="B219:B222"/>
    <mergeCell ref="B188:B189"/>
    <mergeCell ref="B190:B195"/>
    <mergeCell ref="B196:B207"/>
    <mergeCell ref="B208:B211"/>
    <mergeCell ref="B212:B216"/>
    <mergeCell ref="B217:B218"/>
    <mergeCell ref="F183:U183"/>
    <mergeCell ref="B185:C186"/>
    <mergeCell ref="D185:J185"/>
    <mergeCell ref="K185:P185"/>
    <mergeCell ref="B187:C187"/>
    <mergeCell ref="B154:B165"/>
    <mergeCell ref="B166:B169"/>
    <mergeCell ref="B102:C102"/>
    <mergeCell ref="B103:C103"/>
    <mergeCell ref="B104:B105"/>
    <mergeCell ref="B128:B132"/>
    <mergeCell ref="B133:B134"/>
    <mergeCell ref="B106:B111"/>
    <mergeCell ref="B112:B123"/>
    <mergeCell ref="B124:B127"/>
    <mergeCell ref="B71:B82"/>
    <mergeCell ref="B83:B86"/>
    <mergeCell ref="B135:B138"/>
    <mergeCell ref="B146:B147"/>
    <mergeCell ref="B148:B153"/>
    <mergeCell ref="B92:B93"/>
    <mergeCell ref="B94:B97"/>
    <mergeCell ref="B87:B91"/>
    <mergeCell ref="B30:B41"/>
    <mergeCell ref="B20:C20"/>
    <mergeCell ref="B21:C21"/>
    <mergeCell ref="B22:B23"/>
    <mergeCell ref="B24:B29"/>
    <mergeCell ref="B62:C62"/>
    <mergeCell ref="B63:B64"/>
    <mergeCell ref="B65:B70"/>
    <mergeCell ref="B42:B45"/>
    <mergeCell ref="B46:B50"/>
    <mergeCell ref="B51:B52"/>
    <mergeCell ref="B53:B56"/>
    <mergeCell ref="B61:C61"/>
  </mergeCells>
  <phoneticPr fontId="2" type="noConversion"/>
  <pageMargins left="0.70866141732283472" right="0.70866141732283472" top="1.1417322834645669" bottom="0.39370078740157483" header="0.31496062992125984" footer="0.31496062992125984"/>
  <pageSetup paperSize="9" orientation="portrait" r:id="rId1"/>
  <headerFooter>
    <oddHeader>&amp;L&amp;P&amp;RKorea Fashion Index  2017상반기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2918-2B7F-4091-8DBC-9A82BB7011C3}">
  <sheetPr codeName="Sheet20"/>
  <dimension ref="B2:AY185"/>
  <sheetViews>
    <sheetView showGridLines="0" topLeftCell="A4" zoomScaleNormal="100" workbookViewId="0">
      <selection activeCell="B4" sqref="B4:N4"/>
    </sheetView>
  </sheetViews>
  <sheetFormatPr defaultColWidth="9" defaultRowHeight="16.5" x14ac:dyDescent="0.3"/>
  <cols>
    <col min="1" max="1" width="3.625" style="1" customWidth="1"/>
    <col min="2" max="2" width="14.375" style="1" customWidth="1"/>
    <col min="3" max="3" width="13.125" style="1" customWidth="1"/>
    <col min="4" max="16" width="12.25" style="1" customWidth="1"/>
    <col min="17" max="20" width="10.375" style="1" customWidth="1"/>
    <col min="21" max="16384" width="9" style="1"/>
  </cols>
  <sheetData>
    <row r="2" spans="2:6" ht="17.25" x14ac:dyDescent="0.3">
      <c r="B2" s="33" t="s">
        <v>102</v>
      </c>
    </row>
    <row r="4" spans="2:6" ht="14.25" customHeight="1" x14ac:dyDescent="0.3">
      <c r="B4" s="1" t="s">
        <v>524</v>
      </c>
    </row>
    <row r="5" spans="2:6" ht="7.5" customHeight="1" x14ac:dyDescent="0.3"/>
    <row r="6" spans="2:6" x14ac:dyDescent="0.3">
      <c r="B6" s="216"/>
      <c r="C6" s="217" t="s">
        <v>21</v>
      </c>
      <c r="D6" s="218" t="s">
        <v>133</v>
      </c>
      <c r="E6" s="219" t="s">
        <v>13</v>
      </c>
      <c r="F6" s="220" t="s">
        <v>20</v>
      </c>
    </row>
    <row r="7" spans="2:6" x14ac:dyDescent="0.3">
      <c r="B7" s="221"/>
      <c r="C7" s="222"/>
      <c r="D7" s="223" t="s">
        <v>134</v>
      </c>
      <c r="E7" s="224" t="s">
        <v>55</v>
      </c>
      <c r="F7" s="225" t="s">
        <v>525</v>
      </c>
    </row>
    <row r="8" spans="2:6" x14ac:dyDescent="0.3">
      <c r="B8" s="221"/>
      <c r="C8" s="215" t="s">
        <v>24</v>
      </c>
      <c r="D8" s="223" t="s">
        <v>25</v>
      </c>
      <c r="E8" s="224" t="s">
        <v>26</v>
      </c>
      <c r="F8" s="225" t="s">
        <v>517</v>
      </c>
    </row>
    <row r="9" spans="2:6" ht="24" customHeight="1" x14ac:dyDescent="0.3">
      <c r="B9" s="35" t="str">
        <f>RIGHT(B2,LEN(B2)-3)&amp;" 전체"</f>
        <v>유아동복 전체</v>
      </c>
      <c r="C9" s="36"/>
      <c r="D9" s="37"/>
      <c r="E9" s="37"/>
      <c r="F9" s="190">
        <f>SUM(F10:F27)</f>
        <v>18627.233393886458</v>
      </c>
    </row>
    <row r="10" spans="2:6" x14ac:dyDescent="0.3">
      <c r="B10" s="34" t="s">
        <v>79</v>
      </c>
      <c r="C10" s="117">
        <v>4.7660878906580599</v>
      </c>
      <c r="D10" s="101">
        <v>1.4270700260261289</v>
      </c>
      <c r="E10" s="97">
        <v>163659.93802968654</v>
      </c>
      <c r="F10" s="191">
        <v>1059.4145291150787</v>
      </c>
    </row>
    <row r="11" spans="2:6" x14ac:dyDescent="0.3">
      <c r="B11" s="34" t="s">
        <v>80</v>
      </c>
      <c r="C11" s="118">
        <v>15.590044337480855</v>
      </c>
      <c r="D11" s="102">
        <v>1.3678599629425576</v>
      </c>
      <c r="E11" s="98">
        <v>170092.01785935811</v>
      </c>
      <c r="F11" s="191">
        <v>3601.5776210895619</v>
      </c>
    </row>
    <row r="12" spans="2:6" x14ac:dyDescent="0.3">
      <c r="B12" s="34" t="s">
        <v>16</v>
      </c>
      <c r="C12" s="117">
        <v>6.9372546168748359</v>
      </c>
      <c r="D12" s="101">
        <v>1.4324929584579131</v>
      </c>
      <c r="E12" s="97">
        <v>93201.681183378736</v>
      </c>
      <c r="F12" s="191">
        <v>878.15843324492539</v>
      </c>
    </row>
    <row r="13" spans="2:6" x14ac:dyDescent="0.3">
      <c r="B13" s="34" t="s">
        <v>81</v>
      </c>
      <c r="C13" s="117">
        <v>2.8222651749291026</v>
      </c>
      <c r="D13" s="101">
        <v>1.4019847963454413</v>
      </c>
      <c r="E13" s="97">
        <v>128459.64165650426</v>
      </c>
      <c r="F13" s="191">
        <v>492.4090412251677</v>
      </c>
    </row>
    <row r="14" spans="2:6" x14ac:dyDescent="0.3">
      <c r="B14" s="10" t="s">
        <v>82</v>
      </c>
      <c r="C14" s="117">
        <v>9.3372179162966145</v>
      </c>
      <c r="D14" s="101">
        <v>1.7870831280494541</v>
      </c>
      <c r="E14" s="97">
        <v>109857.80406679543</v>
      </c>
      <c r="F14" s="191">
        <v>1393.1885735066676</v>
      </c>
    </row>
    <row r="15" spans="2:6" x14ac:dyDescent="0.3">
      <c r="B15" s="10" t="s">
        <v>294</v>
      </c>
      <c r="C15" s="117">
        <v>37.243453921759752</v>
      </c>
      <c r="D15" s="101">
        <v>1.9484991230523152</v>
      </c>
      <c r="E15" s="97">
        <v>63799.429251135989</v>
      </c>
      <c r="F15" s="191">
        <v>3227.2175247193081</v>
      </c>
    </row>
    <row r="16" spans="2:6" x14ac:dyDescent="0.3">
      <c r="B16" s="10" t="s">
        <v>33</v>
      </c>
      <c r="C16" s="117">
        <v>6.5690594633085828</v>
      </c>
      <c r="D16" s="101">
        <v>1.4442450995337544</v>
      </c>
      <c r="E16" s="97">
        <v>72522.446856984592</v>
      </c>
      <c r="F16" s="191">
        <v>647.04895037742972</v>
      </c>
    </row>
    <row r="17" spans="2:21" x14ac:dyDescent="0.3">
      <c r="B17" s="10" t="s">
        <v>34</v>
      </c>
      <c r="C17" s="117">
        <v>8.2107077932087655</v>
      </c>
      <c r="D17" s="101">
        <v>1.3528182611307411</v>
      </c>
      <c r="E17" s="97">
        <v>61816.416794884557</v>
      </c>
      <c r="F17" s="191">
        <v>689.3597452146596</v>
      </c>
    </row>
    <row r="18" spans="2:21" x14ac:dyDescent="0.3">
      <c r="B18" s="10" t="s">
        <v>15</v>
      </c>
      <c r="C18" s="117">
        <v>6.4164792240203186</v>
      </c>
      <c r="D18" s="101">
        <v>1.3895005130253268</v>
      </c>
      <c r="E18" s="97">
        <v>52590.937213254001</v>
      </c>
      <c r="F18" s="191">
        <v>458.32041048561337</v>
      </c>
    </row>
    <row r="19" spans="2:21" x14ac:dyDescent="0.3">
      <c r="B19" s="10" t="s">
        <v>14</v>
      </c>
      <c r="C19" s="117">
        <v>26.178043083283875</v>
      </c>
      <c r="D19" s="101">
        <v>1.8944408936465664</v>
      </c>
      <c r="E19" s="97">
        <v>57422.718858769411</v>
      </c>
      <c r="F19" s="191">
        <v>2041.6553226192889</v>
      </c>
    </row>
    <row r="20" spans="2:21" x14ac:dyDescent="0.3">
      <c r="B20" s="10" t="s">
        <v>17</v>
      </c>
      <c r="C20" s="117">
        <v>9.7590767981912823</v>
      </c>
      <c r="D20" s="101">
        <v>1.5588340176032918</v>
      </c>
      <c r="E20" s="97">
        <v>53443.730836662849</v>
      </c>
      <c r="F20" s="191">
        <v>708.38115497230785</v>
      </c>
    </row>
    <row r="21" spans="2:21" x14ac:dyDescent="0.3">
      <c r="B21" s="10" t="s">
        <v>65</v>
      </c>
      <c r="C21" s="117">
        <v>3.8633670820824624</v>
      </c>
      <c r="D21" s="101">
        <v>1.2820155358841341</v>
      </c>
      <c r="E21" s="97">
        <v>52240.137305052085</v>
      </c>
      <c r="F21" s="191">
        <v>274.11435545003974</v>
      </c>
    </row>
    <row r="22" spans="2:21" x14ac:dyDescent="0.3">
      <c r="B22" s="10" t="s">
        <v>19</v>
      </c>
      <c r="C22" s="117">
        <v>8.4378074504550344</v>
      </c>
      <c r="D22" s="101">
        <v>1.3533956686202104</v>
      </c>
      <c r="E22" s="97">
        <v>69292.521104916465</v>
      </c>
      <c r="F22" s="191">
        <v>794.10415583321083</v>
      </c>
    </row>
    <row r="23" spans="2:21" x14ac:dyDescent="0.3">
      <c r="B23" s="10" t="s">
        <v>66</v>
      </c>
      <c r="C23" s="117">
        <v>7.048983755142368</v>
      </c>
      <c r="D23" s="101">
        <v>1.5018196441220908</v>
      </c>
      <c r="E23" s="97">
        <v>76717.294919801614</v>
      </c>
      <c r="F23" s="191">
        <v>734.48221855782526</v>
      </c>
    </row>
    <row r="24" spans="2:21" x14ac:dyDescent="0.3">
      <c r="B24" s="10" t="s">
        <v>68</v>
      </c>
      <c r="C24" s="119">
        <v>0.79675043679877711</v>
      </c>
      <c r="D24" s="101">
        <v>1.359179879513142</v>
      </c>
      <c r="E24" s="97">
        <v>147131.40489556754</v>
      </c>
      <c r="F24" s="191">
        <v>159.21690870570478</v>
      </c>
    </row>
    <row r="25" spans="2:21" x14ac:dyDescent="0.3">
      <c r="B25" s="9" t="s">
        <v>67</v>
      </c>
      <c r="C25" s="120">
        <v>4.4149162913977404</v>
      </c>
      <c r="D25" s="103">
        <v>1.2089912312425652</v>
      </c>
      <c r="E25" s="99">
        <v>56597.39883091364</v>
      </c>
      <c r="F25" s="192">
        <v>339.3754641309942</v>
      </c>
    </row>
    <row r="26" spans="2:21" x14ac:dyDescent="0.3">
      <c r="B26" s="10" t="s">
        <v>273</v>
      </c>
      <c r="C26" s="118">
        <v>16.946436324631186</v>
      </c>
      <c r="D26" s="101">
        <v>3.0162441616533129</v>
      </c>
      <c r="E26" s="97">
        <v>45033.155569447066</v>
      </c>
      <c r="F26" s="191">
        <v>1036.5070479927535</v>
      </c>
    </row>
    <row r="27" spans="2:21" x14ac:dyDescent="0.3">
      <c r="B27" s="111" t="s">
        <v>12</v>
      </c>
      <c r="C27" s="121">
        <v>1.3921292118247865</v>
      </c>
      <c r="D27" s="104">
        <v>1.9282443453623241</v>
      </c>
      <c r="E27" s="100">
        <v>49028.405015382697</v>
      </c>
      <c r="F27" s="193">
        <v>92.70193664592226</v>
      </c>
    </row>
    <row r="28" spans="2:21" x14ac:dyDescent="0.3">
      <c r="B28" s="9"/>
      <c r="C28" s="9"/>
      <c r="D28" s="9"/>
      <c r="E28" s="9"/>
      <c r="F28" s="9"/>
      <c r="G28" s="9"/>
      <c r="H28" s="9"/>
    </row>
    <row r="29" spans="2:21" x14ac:dyDescent="0.3">
      <c r="B29" s="9"/>
      <c r="C29" s="9"/>
      <c r="D29" s="9"/>
      <c r="E29" s="9"/>
      <c r="F29" s="9"/>
      <c r="G29" s="9"/>
      <c r="H29" s="9"/>
    </row>
    <row r="30" spans="2:21" ht="18.75" customHeight="1" x14ac:dyDescent="0.3">
      <c r="B30" s="1" t="s">
        <v>132</v>
      </c>
    </row>
    <row r="31" spans="2:21" ht="13.5" customHeight="1" x14ac:dyDescent="0.3">
      <c r="N31" s="30"/>
      <c r="O31" s="30"/>
      <c r="Q31" s="30"/>
      <c r="R31" s="30"/>
      <c r="S31" s="30"/>
      <c r="T31" s="30"/>
      <c r="U31" s="30" t="s">
        <v>157</v>
      </c>
    </row>
    <row r="32" spans="2:21" ht="28.5" customHeight="1" x14ac:dyDescent="0.3">
      <c r="B32" s="305"/>
      <c r="C32" s="306"/>
      <c r="D32" s="226" t="s">
        <v>35</v>
      </c>
      <c r="E32" s="226" t="s">
        <v>36</v>
      </c>
      <c r="F32" s="226" t="s">
        <v>16</v>
      </c>
      <c r="G32" s="226" t="s">
        <v>81</v>
      </c>
      <c r="H32" s="226" t="s">
        <v>82</v>
      </c>
      <c r="I32" s="226" t="s">
        <v>238</v>
      </c>
      <c r="J32" s="226" t="s">
        <v>284</v>
      </c>
      <c r="K32" s="226" t="s">
        <v>285</v>
      </c>
      <c r="L32" s="226" t="s">
        <v>15</v>
      </c>
      <c r="M32" s="226" t="s">
        <v>288</v>
      </c>
      <c r="N32" s="227" t="s">
        <v>17</v>
      </c>
      <c r="O32" s="227" t="s">
        <v>65</v>
      </c>
      <c r="P32" s="227" t="s">
        <v>19</v>
      </c>
      <c r="Q32" s="227" t="s">
        <v>66</v>
      </c>
      <c r="R32" s="227" t="s">
        <v>68</v>
      </c>
      <c r="S32" s="227" t="s">
        <v>67</v>
      </c>
      <c r="T32" s="227" t="s">
        <v>108</v>
      </c>
      <c r="U32" s="227" t="s">
        <v>12</v>
      </c>
    </row>
    <row r="33" spans="2:21" x14ac:dyDescent="0.3">
      <c r="B33" s="292" t="s">
        <v>20</v>
      </c>
      <c r="C33" s="292"/>
      <c r="D33" s="86">
        <v>4.7660878906580599</v>
      </c>
      <c r="E33" s="86">
        <v>15.590044337480855</v>
      </c>
      <c r="F33" s="88">
        <v>6.9372546168748359</v>
      </c>
      <c r="G33" s="88">
        <v>2.8222651749291026</v>
      </c>
      <c r="H33" s="86">
        <v>9.3372179162966145</v>
      </c>
      <c r="I33" s="88">
        <v>37.243453921759752</v>
      </c>
      <c r="J33" s="86">
        <v>6.5690594633085828</v>
      </c>
      <c r="K33" s="86">
        <v>8.2107077932087655</v>
      </c>
      <c r="L33" s="86">
        <v>6.4164792240203186</v>
      </c>
      <c r="M33" s="88">
        <v>26.178043083283875</v>
      </c>
      <c r="N33" s="86">
        <v>9.7590767981912823</v>
      </c>
      <c r="O33" s="86">
        <v>3.8633670820824624</v>
      </c>
      <c r="P33" s="86">
        <v>8.4378074504550344</v>
      </c>
      <c r="Q33" s="86">
        <v>7.048983755142368</v>
      </c>
      <c r="R33" s="86">
        <v>0.79675043679877711</v>
      </c>
      <c r="S33" s="86">
        <v>4.4149162913977404</v>
      </c>
      <c r="T33" s="86">
        <v>16.946436324631186</v>
      </c>
      <c r="U33" s="86">
        <v>1.3921292118247865</v>
      </c>
    </row>
    <row r="34" spans="2:21" x14ac:dyDescent="0.3">
      <c r="B34" s="296" t="s">
        <v>5</v>
      </c>
      <c r="C34" s="13" t="s">
        <v>0</v>
      </c>
      <c r="D34" s="84">
        <v>4.0388640074078044</v>
      </c>
      <c r="E34" s="84">
        <v>16.29269862869679</v>
      </c>
      <c r="F34" s="89">
        <v>8.3157677436151349</v>
      </c>
      <c r="G34" s="89">
        <v>4.6530023631137993</v>
      </c>
      <c r="H34" s="84">
        <v>11.996089471368654</v>
      </c>
      <c r="I34" s="89">
        <v>29.668002725810506</v>
      </c>
      <c r="J34" s="84">
        <v>7.0454949383983019</v>
      </c>
      <c r="K34" s="84">
        <v>8.1124098098690798</v>
      </c>
      <c r="L34" s="84">
        <v>6.8012981654016258</v>
      </c>
      <c r="M34" s="89">
        <v>21.263762159856995</v>
      </c>
      <c r="N34" s="84">
        <v>7.254225235890063</v>
      </c>
      <c r="O34" s="84">
        <v>3.9485858901344124</v>
      </c>
      <c r="P34" s="84">
        <v>7.269067398494804</v>
      </c>
      <c r="Q34" s="84">
        <v>5.0976148649809403</v>
      </c>
      <c r="R34" s="84">
        <v>0.53812833708701091</v>
      </c>
      <c r="S34" s="84">
        <v>4.9754116834437578</v>
      </c>
      <c r="T34" s="84">
        <v>14.138221334771101</v>
      </c>
      <c r="U34" s="84">
        <v>1.2212705621371858</v>
      </c>
    </row>
    <row r="35" spans="2:21" x14ac:dyDescent="0.3">
      <c r="B35" s="295"/>
      <c r="C35" s="12" t="s">
        <v>1</v>
      </c>
      <c r="D35" s="90">
        <v>5.3701307464763541</v>
      </c>
      <c r="E35" s="90">
        <v>15.006409346256453</v>
      </c>
      <c r="F35" s="90">
        <v>5.7922413341185752</v>
      </c>
      <c r="G35" s="90">
        <v>1.3016279339445274</v>
      </c>
      <c r="H35" s="90">
        <v>7.1287200872629759</v>
      </c>
      <c r="I35" s="90">
        <v>43.535735129662065</v>
      </c>
      <c r="J35" s="90">
        <v>6.1733251487257732</v>
      </c>
      <c r="K35" s="90">
        <v>8.2923555442594363</v>
      </c>
      <c r="L35" s="90">
        <v>6.0968429501317436</v>
      </c>
      <c r="M35" s="90">
        <v>30.259917113620876</v>
      </c>
      <c r="N35" s="90">
        <v>11.839643355399133</v>
      </c>
      <c r="O35" s="90">
        <v>3.7925830864372143</v>
      </c>
      <c r="P35" s="90">
        <v>9.4085801312696802</v>
      </c>
      <c r="Q35" s="90">
        <v>8.6698194624350418</v>
      </c>
      <c r="R35" s="90">
        <v>1.0115657574802286</v>
      </c>
      <c r="S35" s="90">
        <v>3.949360573162449</v>
      </c>
      <c r="T35" s="90">
        <v>19.278981007632293</v>
      </c>
      <c r="U35" s="90">
        <v>1.5340469198039139</v>
      </c>
    </row>
    <row r="36" spans="2:21" x14ac:dyDescent="0.3">
      <c r="B36" s="296" t="s">
        <v>4</v>
      </c>
      <c r="C36" s="9" t="s">
        <v>175</v>
      </c>
      <c r="D36" s="86">
        <v>41.309006218279166</v>
      </c>
      <c r="E36" s="86">
        <v>0</v>
      </c>
      <c r="F36" s="88">
        <v>0</v>
      </c>
      <c r="G36" s="88">
        <v>41.309006218279166</v>
      </c>
      <c r="H36" s="86">
        <v>0</v>
      </c>
      <c r="I36" s="88">
        <v>59.12590104961626</v>
      </c>
      <c r="J36" s="86">
        <v>0</v>
      </c>
      <c r="K36" s="86">
        <v>0</v>
      </c>
      <c r="L36" s="86">
        <v>40.874098950383733</v>
      </c>
      <c r="M36" s="88">
        <v>0</v>
      </c>
      <c r="N36" s="86">
        <v>0</v>
      </c>
      <c r="O36" s="86">
        <v>0</v>
      </c>
      <c r="P36" s="86">
        <v>0</v>
      </c>
      <c r="Q36" s="86">
        <v>0</v>
      </c>
      <c r="R36" s="86">
        <v>0</v>
      </c>
      <c r="S36" s="86">
        <v>0</v>
      </c>
      <c r="T36" s="86">
        <v>0</v>
      </c>
      <c r="U36" s="86">
        <v>0</v>
      </c>
    </row>
    <row r="37" spans="2:21" x14ac:dyDescent="0.3">
      <c r="B37" s="292"/>
      <c r="C37" s="9" t="s">
        <v>176</v>
      </c>
      <c r="D37" s="86">
        <v>1.4584608486662012</v>
      </c>
      <c r="E37" s="86">
        <v>13.345036589845138</v>
      </c>
      <c r="F37" s="88">
        <v>9.1903434599765248</v>
      </c>
      <c r="G37" s="88">
        <v>11.351468767746402</v>
      </c>
      <c r="H37" s="86">
        <v>16.023777883022721</v>
      </c>
      <c r="I37" s="88">
        <v>30.308498239679555</v>
      </c>
      <c r="J37" s="86">
        <v>11.336978865606886</v>
      </c>
      <c r="K37" s="86">
        <v>14.692352948084331</v>
      </c>
      <c r="L37" s="86">
        <v>6.2088440480051101</v>
      </c>
      <c r="M37" s="88">
        <v>0</v>
      </c>
      <c r="N37" s="86">
        <v>7.8117155648021921</v>
      </c>
      <c r="O37" s="86">
        <v>2.4205297422542977</v>
      </c>
      <c r="P37" s="86">
        <v>15.978177198709668</v>
      </c>
      <c r="Q37" s="86">
        <v>3.9657252791596829</v>
      </c>
      <c r="R37" s="86">
        <v>0</v>
      </c>
      <c r="S37" s="86">
        <v>5.2069790017229689</v>
      </c>
      <c r="T37" s="86">
        <v>3.8055276945484837</v>
      </c>
      <c r="U37" s="86">
        <v>1.9029113717168977</v>
      </c>
    </row>
    <row r="38" spans="2:21" x14ac:dyDescent="0.3">
      <c r="B38" s="292"/>
      <c r="C38" s="9" t="s">
        <v>177</v>
      </c>
      <c r="D38" s="86">
        <v>5.0887562880031023</v>
      </c>
      <c r="E38" s="86">
        <v>15.405596495368737</v>
      </c>
      <c r="F38" s="88">
        <v>5.5912280969715873</v>
      </c>
      <c r="G38" s="88">
        <v>3.3900480814808183</v>
      </c>
      <c r="H38" s="86">
        <v>9.890902298995103</v>
      </c>
      <c r="I38" s="88">
        <v>32.121709543654745</v>
      </c>
      <c r="J38" s="86">
        <v>6.5034835616018514</v>
      </c>
      <c r="K38" s="86">
        <v>9.6796777546064714</v>
      </c>
      <c r="L38" s="86">
        <v>7.8765869779564612</v>
      </c>
      <c r="M38" s="88">
        <v>25.718801393212836</v>
      </c>
      <c r="N38" s="86">
        <v>9.7741682467135274</v>
      </c>
      <c r="O38" s="86">
        <v>3.3416202047021031</v>
      </c>
      <c r="P38" s="86">
        <v>9.122286789581322</v>
      </c>
      <c r="Q38" s="86">
        <v>5.7276701893809889</v>
      </c>
      <c r="R38" s="86">
        <v>1.3900015648223023</v>
      </c>
      <c r="S38" s="86">
        <v>5.3794705548079884</v>
      </c>
      <c r="T38" s="86">
        <v>20.398011450940775</v>
      </c>
      <c r="U38" s="86">
        <v>2.2312477031278615</v>
      </c>
    </row>
    <row r="39" spans="2:21" x14ac:dyDescent="0.3">
      <c r="B39" s="292"/>
      <c r="C39" s="9" t="s">
        <v>178</v>
      </c>
      <c r="D39" s="86">
        <v>4.2876094034743071</v>
      </c>
      <c r="E39" s="86">
        <v>15.357742138612718</v>
      </c>
      <c r="F39" s="88">
        <v>7.5352446013684418</v>
      </c>
      <c r="G39" s="88">
        <v>1.7569033431028793</v>
      </c>
      <c r="H39" s="86">
        <v>7.4055269114609512</v>
      </c>
      <c r="I39" s="88">
        <v>44.048173319786017</v>
      </c>
      <c r="J39" s="86">
        <v>5.5807359143421298</v>
      </c>
      <c r="K39" s="86">
        <v>7.1345650083822543</v>
      </c>
      <c r="L39" s="86">
        <v>4.8686135329936722</v>
      </c>
      <c r="M39" s="88">
        <v>31.535110801029425</v>
      </c>
      <c r="N39" s="86">
        <v>11.094702721997335</v>
      </c>
      <c r="O39" s="86">
        <v>4.876083961862431</v>
      </c>
      <c r="P39" s="86">
        <v>7.2770484210905986</v>
      </c>
      <c r="Q39" s="86">
        <v>8.7430439606436892</v>
      </c>
      <c r="R39" s="86">
        <v>0.55012540286469114</v>
      </c>
      <c r="S39" s="86">
        <v>4.3159531968179694</v>
      </c>
      <c r="T39" s="86">
        <v>13.457961770617596</v>
      </c>
      <c r="U39" s="86">
        <v>0.86190668548249039</v>
      </c>
    </row>
    <row r="40" spans="2:21" x14ac:dyDescent="0.3">
      <c r="B40" s="292"/>
      <c r="C40" s="9" t="s">
        <v>179</v>
      </c>
      <c r="D40" s="86">
        <v>2.5103291383724624</v>
      </c>
      <c r="E40" s="86">
        <v>18.156613695665254</v>
      </c>
      <c r="F40" s="88">
        <v>5.5875815720825868</v>
      </c>
      <c r="G40" s="88">
        <v>0.71922444540880059</v>
      </c>
      <c r="H40" s="86">
        <v>13.070027916660651</v>
      </c>
      <c r="I40" s="88">
        <v>32.402007907064167</v>
      </c>
      <c r="J40" s="86">
        <v>11.909225622612832</v>
      </c>
      <c r="K40" s="86">
        <v>4.277518748644642</v>
      </c>
      <c r="L40" s="86">
        <v>7.3983694365860595</v>
      </c>
      <c r="M40" s="88">
        <v>20.296996858886761</v>
      </c>
      <c r="N40" s="86">
        <v>10.00377435200684</v>
      </c>
      <c r="O40" s="86">
        <v>2.6360746065226466</v>
      </c>
      <c r="P40" s="86">
        <v>5.4642914477841176</v>
      </c>
      <c r="Q40" s="86">
        <v>6.5457224875843893</v>
      </c>
      <c r="R40" s="86">
        <v>0.84949933284944046</v>
      </c>
      <c r="S40" s="86">
        <v>2.9581296317649119</v>
      </c>
      <c r="T40" s="86">
        <v>23.308710062030418</v>
      </c>
      <c r="U40" s="86">
        <v>0</v>
      </c>
    </row>
    <row r="41" spans="2:21" x14ac:dyDescent="0.3">
      <c r="B41" s="298"/>
      <c r="C41" s="12" t="s">
        <v>180</v>
      </c>
      <c r="D41" s="90">
        <v>9.989857943900013</v>
      </c>
      <c r="E41" s="90">
        <v>16.384422404169651</v>
      </c>
      <c r="F41" s="91">
        <v>10.324202491254026</v>
      </c>
      <c r="G41" s="91">
        <v>3.8983243124230196</v>
      </c>
      <c r="H41" s="90">
        <v>11.232441758899839</v>
      </c>
      <c r="I41" s="91">
        <v>25.435364317659864</v>
      </c>
      <c r="J41" s="90">
        <v>3.7299714350366235</v>
      </c>
      <c r="K41" s="90">
        <v>10.633363323383479</v>
      </c>
      <c r="L41" s="90">
        <v>7.199463247878664</v>
      </c>
      <c r="M41" s="91">
        <v>15.851160444514065</v>
      </c>
      <c r="N41" s="90">
        <v>1.6967808905160116</v>
      </c>
      <c r="O41" s="90">
        <v>2.1730316692911003</v>
      </c>
      <c r="P41" s="90">
        <v>13.329571264468617</v>
      </c>
      <c r="Q41" s="90">
        <v>4.6316981774728232</v>
      </c>
      <c r="R41" s="90">
        <v>0</v>
      </c>
      <c r="S41" s="90">
        <v>2.1730316692911003</v>
      </c>
      <c r="T41" s="90">
        <v>23.166996144080841</v>
      </c>
      <c r="U41" s="90">
        <v>2.6581690786600687</v>
      </c>
    </row>
    <row r="42" spans="2:21" x14ac:dyDescent="0.3">
      <c r="B42" s="292" t="s">
        <v>223</v>
      </c>
      <c r="C42" s="9" t="s">
        <v>210</v>
      </c>
      <c r="D42" s="86">
        <v>0</v>
      </c>
      <c r="E42" s="86">
        <v>0</v>
      </c>
      <c r="F42" s="88">
        <v>0</v>
      </c>
      <c r="G42" s="88">
        <v>0</v>
      </c>
      <c r="H42" s="86">
        <v>0</v>
      </c>
      <c r="I42" s="88">
        <v>0</v>
      </c>
      <c r="J42" s="86">
        <v>0</v>
      </c>
      <c r="K42" s="86">
        <v>0</v>
      </c>
      <c r="L42" s="86">
        <v>0</v>
      </c>
      <c r="M42" s="88">
        <v>0</v>
      </c>
      <c r="N42" s="86">
        <v>0</v>
      </c>
      <c r="O42" s="86">
        <v>0</v>
      </c>
      <c r="P42" s="86">
        <v>0</v>
      </c>
      <c r="Q42" s="86">
        <v>0</v>
      </c>
      <c r="R42" s="86">
        <v>0</v>
      </c>
      <c r="S42" s="86">
        <v>0</v>
      </c>
      <c r="T42" s="86">
        <v>0</v>
      </c>
      <c r="U42" s="86">
        <v>0</v>
      </c>
    </row>
    <row r="43" spans="2:21" x14ac:dyDescent="0.3">
      <c r="B43" s="292"/>
      <c r="C43" s="9" t="s">
        <v>211</v>
      </c>
      <c r="D43" s="86">
        <v>3.0092535961527194</v>
      </c>
      <c r="E43" s="86">
        <v>20.161863086595602</v>
      </c>
      <c r="F43" s="88">
        <v>13.778090036093243</v>
      </c>
      <c r="G43" s="88">
        <v>18.398852472415509</v>
      </c>
      <c r="H43" s="86">
        <v>14.316718722661884</v>
      </c>
      <c r="I43" s="88">
        <v>31.201267985382803</v>
      </c>
      <c r="J43" s="86">
        <v>4.0917731885589586</v>
      </c>
      <c r="K43" s="86">
        <v>21.446063462774635</v>
      </c>
      <c r="L43" s="86">
        <v>12.810756145081136</v>
      </c>
      <c r="M43" s="88">
        <v>0</v>
      </c>
      <c r="N43" s="86">
        <v>0</v>
      </c>
      <c r="O43" s="86">
        <v>4.9942978161770668</v>
      </c>
      <c r="P43" s="86">
        <v>14.109767439714648</v>
      </c>
      <c r="Q43" s="86">
        <v>3.9941439408327164</v>
      </c>
      <c r="R43" s="86">
        <v>0</v>
      </c>
      <c r="S43" s="86">
        <v>5.5591832126781284</v>
      </c>
      <c r="T43" s="86">
        <v>0</v>
      </c>
      <c r="U43" s="86">
        <v>0</v>
      </c>
    </row>
    <row r="44" spans="2:21" x14ac:dyDescent="0.3">
      <c r="B44" s="292"/>
      <c r="C44" s="9" t="s">
        <v>212</v>
      </c>
      <c r="D44" s="86">
        <v>4.2769126783457923</v>
      </c>
      <c r="E44" s="86">
        <v>14.358703929070376</v>
      </c>
      <c r="F44" s="88">
        <v>7.2307690645687126</v>
      </c>
      <c r="G44" s="88">
        <v>6.5322561211424395</v>
      </c>
      <c r="H44" s="86">
        <v>13.822243461417932</v>
      </c>
      <c r="I44" s="88">
        <v>20.086898613865891</v>
      </c>
      <c r="J44" s="86">
        <v>6.2533141177392721</v>
      </c>
      <c r="K44" s="86">
        <v>9.8668621097786406</v>
      </c>
      <c r="L44" s="86">
        <v>6.3993625187303076</v>
      </c>
      <c r="M44" s="88">
        <v>16.526975101021886</v>
      </c>
      <c r="N44" s="86">
        <v>5.978137862404739</v>
      </c>
      <c r="O44" s="86">
        <v>4.0273400971876576</v>
      </c>
      <c r="P44" s="86">
        <v>9.6935171766065249</v>
      </c>
      <c r="Q44" s="86">
        <v>4.9157029759938045</v>
      </c>
      <c r="R44" s="86">
        <v>0.65611040761770978</v>
      </c>
      <c r="S44" s="86">
        <v>5.6238294328287486</v>
      </c>
      <c r="T44" s="86">
        <v>18.463904312134837</v>
      </c>
      <c r="U44" s="86">
        <v>2.3268119010613129</v>
      </c>
    </row>
    <row r="45" spans="2:21" x14ac:dyDescent="0.3">
      <c r="B45" s="292"/>
      <c r="C45" s="9" t="s">
        <v>213</v>
      </c>
      <c r="D45" s="86">
        <v>4.8925412983246614</v>
      </c>
      <c r="E45" s="86">
        <v>18.164813049018623</v>
      </c>
      <c r="F45" s="88">
        <v>8.8591274501073034</v>
      </c>
      <c r="G45" s="88">
        <v>2.2040536775405348</v>
      </c>
      <c r="H45" s="86">
        <v>8.8569029859539583</v>
      </c>
      <c r="I45" s="88">
        <v>35.163857307748643</v>
      </c>
      <c r="J45" s="86">
        <v>5.8137128316701352</v>
      </c>
      <c r="K45" s="86">
        <v>6.7041450408298218</v>
      </c>
      <c r="L45" s="86">
        <v>6.2724024129460751</v>
      </c>
      <c r="M45" s="88">
        <v>27.405744995131769</v>
      </c>
      <c r="N45" s="86">
        <v>8.3148082177948801</v>
      </c>
      <c r="O45" s="86">
        <v>3.9802811211450599</v>
      </c>
      <c r="P45" s="86">
        <v>4.934419970205485</v>
      </c>
      <c r="Q45" s="86">
        <v>5.9947477779119733</v>
      </c>
      <c r="R45" s="86">
        <v>0.30900300869127112</v>
      </c>
      <c r="S45" s="86">
        <v>4.8621350943076802</v>
      </c>
      <c r="T45" s="86">
        <v>11.795540626751828</v>
      </c>
      <c r="U45" s="86">
        <v>0.98254680791295368</v>
      </c>
    </row>
    <row r="46" spans="2:21" x14ac:dyDescent="0.3">
      <c r="B46" s="292"/>
      <c r="C46" s="9" t="s">
        <v>214</v>
      </c>
      <c r="D46" s="86">
        <v>1.572536789852107</v>
      </c>
      <c r="E46" s="86">
        <v>15.43633428566458</v>
      </c>
      <c r="F46" s="88">
        <v>7.8287331736520205</v>
      </c>
      <c r="G46" s="88">
        <v>1.1118872036939438</v>
      </c>
      <c r="H46" s="86">
        <v>17.943952722910439</v>
      </c>
      <c r="I46" s="88">
        <v>29.805668659898537</v>
      </c>
      <c r="J46" s="86">
        <v>12.328465211461527</v>
      </c>
      <c r="K46" s="86">
        <v>4.2792010509808538</v>
      </c>
      <c r="L46" s="86">
        <v>6.8391028897022723</v>
      </c>
      <c r="M46" s="88">
        <v>18.208524755149895</v>
      </c>
      <c r="N46" s="86">
        <v>9.1129401492053894</v>
      </c>
      <c r="O46" s="86">
        <v>4.0752474998386834</v>
      </c>
      <c r="P46" s="86">
        <v>5.804896827015642</v>
      </c>
      <c r="Q46" s="86">
        <v>2.6540881917967409</v>
      </c>
      <c r="R46" s="86">
        <v>1.3132860594094002</v>
      </c>
      <c r="S46" s="86">
        <v>4.573129438832944</v>
      </c>
      <c r="T46" s="86">
        <v>14.584153648662268</v>
      </c>
      <c r="U46" s="86">
        <v>0</v>
      </c>
    </row>
    <row r="47" spans="2:21" x14ac:dyDescent="0.3">
      <c r="B47" s="292"/>
      <c r="C47" s="12" t="s">
        <v>215</v>
      </c>
      <c r="D47" s="90">
        <v>0</v>
      </c>
      <c r="E47" s="90">
        <v>4.6760940380408904</v>
      </c>
      <c r="F47" s="91">
        <v>5.9477543399981583</v>
      </c>
      <c r="G47" s="91">
        <v>22.884415042718341</v>
      </c>
      <c r="H47" s="90">
        <v>11.346613422722562</v>
      </c>
      <c r="I47" s="91">
        <v>47.057602282272818</v>
      </c>
      <c r="J47" s="90">
        <v>16.52101344432171</v>
      </c>
      <c r="K47" s="90">
        <v>10.871461093903466</v>
      </c>
      <c r="L47" s="90">
        <v>11.896201991918854</v>
      </c>
      <c r="M47" s="91">
        <v>18.401668601389066</v>
      </c>
      <c r="N47" s="90">
        <v>5.6173235433315938</v>
      </c>
      <c r="O47" s="90">
        <v>0</v>
      </c>
      <c r="P47" s="90">
        <v>16.400199836795444</v>
      </c>
      <c r="Q47" s="90">
        <v>5.6173235433315938</v>
      </c>
      <c r="R47" s="90">
        <v>0</v>
      </c>
      <c r="S47" s="90">
        <v>0</v>
      </c>
      <c r="T47" s="90">
        <v>22.580651375043828</v>
      </c>
      <c r="U47" s="90">
        <v>0</v>
      </c>
    </row>
    <row r="48" spans="2:21" x14ac:dyDescent="0.3">
      <c r="B48" s="292"/>
      <c r="C48" s="9" t="s">
        <v>216</v>
      </c>
      <c r="D48" s="86">
        <v>41.309006218279166</v>
      </c>
      <c r="E48" s="86">
        <v>0</v>
      </c>
      <c r="F48" s="88">
        <v>0</v>
      </c>
      <c r="G48" s="88">
        <v>41.309006218279166</v>
      </c>
      <c r="H48" s="86">
        <v>0</v>
      </c>
      <c r="I48" s="88">
        <v>59.12590104961626</v>
      </c>
      <c r="J48" s="86">
        <v>0</v>
      </c>
      <c r="K48" s="86">
        <v>0</v>
      </c>
      <c r="L48" s="86">
        <v>40.874098950383733</v>
      </c>
      <c r="M48" s="88">
        <v>0</v>
      </c>
      <c r="N48" s="86">
        <v>0</v>
      </c>
      <c r="O48" s="86">
        <v>0</v>
      </c>
      <c r="P48" s="86">
        <v>0</v>
      </c>
      <c r="Q48" s="86">
        <v>0</v>
      </c>
      <c r="R48" s="86">
        <v>0</v>
      </c>
      <c r="S48" s="86">
        <v>0</v>
      </c>
      <c r="T48" s="86">
        <v>0</v>
      </c>
      <c r="U48" s="86">
        <v>0</v>
      </c>
    </row>
    <row r="49" spans="2:21" x14ac:dyDescent="0.3">
      <c r="B49" s="292"/>
      <c r="C49" s="9" t="s">
        <v>217</v>
      </c>
      <c r="D49" s="86">
        <v>0</v>
      </c>
      <c r="E49" s="86">
        <v>6.9340738265908159</v>
      </c>
      <c r="F49" s="88">
        <v>4.875744506819621</v>
      </c>
      <c r="G49" s="88">
        <v>4.7236758305877142</v>
      </c>
      <c r="H49" s="86">
        <v>17.629201274238916</v>
      </c>
      <c r="I49" s="88">
        <v>29.468882679771731</v>
      </c>
      <c r="J49" s="86">
        <v>18.150815748475306</v>
      </c>
      <c r="K49" s="86">
        <v>8.3407483349819636</v>
      </c>
      <c r="L49" s="86">
        <v>0</v>
      </c>
      <c r="M49" s="88">
        <v>0</v>
      </c>
      <c r="N49" s="86">
        <v>15.158333177404499</v>
      </c>
      <c r="O49" s="86">
        <v>0</v>
      </c>
      <c r="P49" s="86">
        <v>17.735344613360464</v>
      </c>
      <c r="Q49" s="86">
        <v>3.9389986224295752</v>
      </c>
      <c r="R49" s="86">
        <v>0</v>
      </c>
      <c r="S49" s="86">
        <v>4.875744506819621</v>
      </c>
      <c r="T49" s="86">
        <v>7.3844799175386573</v>
      </c>
      <c r="U49" s="86">
        <v>3.6925262242682502</v>
      </c>
    </row>
    <row r="50" spans="2:21" x14ac:dyDescent="0.3">
      <c r="B50" s="292"/>
      <c r="C50" s="9" t="s">
        <v>218</v>
      </c>
      <c r="D50" s="86">
        <v>5.7430220522743252</v>
      </c>
      <c r="E50" s="86">
        <v>16.249288503104324</v>
      </c>
      <c r="F50" s="88">
        <v>4.2699200131749198</v>
      </c>
      <c r="G50" s="88">
        <v>0.85773875476686334</v>
      </c>
      <c r="H50" s="86">
        <v>6.7226296173524753</v>
      </c>
      <c r="I50" s="88">
        <v>41.820578484880535</v>
      </c>
      <c r="J50" s="86">
        <v>6.7050954243289134</v>
      </c>
      <c r="K50" s="86">
        <v>9.5288256523795543</v>
      </c>
      <c r="L50" s="86">
        <v>9.0670839878716052</v>
      </c>
      <c r="M50" s="88">
        <v>33.126505515743418</v>
      </c>
      <c r="N50" s="86">
        <v>12.833393805728399</v>
      </c>
      <c r="O50" s="86">
        <v>2.7889976993375556</v>
      </c>
      <c r="P50" s="86">
        <v>8.661931517585387</v>
      </c>
      <c r="Q50" s="86">
        <v>6.3820355660502539</v>
      </c>
      <c r="R50" s="86">
        <v>1.9814453517149881</v>
      </c>
      <c r="S50" s="86">
        <v>5.182541434244758</v>
      </c>
      <c r="T50" s="86">
        <v>21.956710774678101</v>
      </c>
      <c r="U50" s="86">
        <v>2.1542323983892069</v>
      </c>
    </row>
    <row r="51" spans="2:21" x14ac:dyDescent="0.3">
      <c r="B51" s="292"/>
      <c r="C51" s="9" t="s">
        <v>219</v>
      </c>
      <c r="D51" s="86">
        <v>3.770264761688598</v>
      </c>
      <c r="E51" s="86">
        <v>12.957103146069185</v>
      </c>
      <c r="F51" s="88">
        <v>6.4030449207474263</v>
      </c>
      <c r="G51" s="88">
        <v>1.3744952876452876</v>
      </c>
      <c r="H51" s="86">
        <v>6.1642935730524062</v>
      </c>
      <c r="I51" s="88">
        <v>51.646141494194907</v>
      </c>
      <c r="J51" s="86">
        <v>5.3814914029095924</v>
      </c>
      <c r="K51" s="86">
        <v>7.5026650636551757</v>
      </c>
      <c r="L51" s="86">
        <v>3.6680773049917397</v>
      </c>
      <c r="M51" s="88">
        <v>35.066591438502506</v>
      </c>
      <c r="N51" s="86">
        <v>13.472100142634677</v>
      </c>
      <c r="O51" s="86">
        <v>5.6421847472345181</v>
      </c>
      <c r="P51" s="86">
        <v>9.2804909359869789</v>
      </c>
      <c r="Q51" s="86">
        <v>11.093418137108504</v>
      </c>
      <c r="R51" s="86">
        <v>0.75633601880684698</v>
      </c>
      <c r="S51" s="86">
        <v>3.8488522214651057</v>
      </c>
      <c r="T51" s="86">
        <v>14.879683254459708</v>
      </c>
      <c r="U51" s="86">
        <v>0.75873387965909844</v>
      </c>
    </row>
    <row r="52" spans="2:21" x14ac:dyDescent="0.3">
      <c r="B52" s="292"/>
      <c r="C52" s="9" t="s">
        <v>220</v>
      </c>
      <c r="D52" s="86">
        <v>4.2280453402317963</v>
      </c>
      <c r="E52" s="86">
        <v>23.139239138829719</v>
      </c>
      <c r="F52" s="88">
        <v>1.4825550990975873</v>
      </c>
      <c r="G52" s="88">
        <v>0</v>
      </c>
      <c r="H52" s="86">
        <v>4.1426575669784906</v>
      </c>
      <c r="I52" s="88">
        <v>37.157617181778548</v>
      </c>
      <c r="J52" s="86">
        <v>11.141321474788958</v>
      </c>
      <c r="K52" s="86">
        <v>4.2744373437004599</v>
      </c>
      <c r="L52" s="86">
        <v>8.4227552830433421</v>
      </c>
      <c r="M52" s="88">
        <v>24.122366489360083</v>
      </c>
      <c r="N52" s="86">
        <v>11.635479223279054</v>
      </c>
      <c r="O52" s="86">
        <v>0</v>
      </c>
      <c r="P52" s="86">
        <v>4.8404183918037003</v>
      </c>
      <c r="Q52" s="86">
        <v>13.673871157311773</v>
      </c>
      <c r="R52" s="86">
        <v>0</v>
      </c>
      <c r="S52" s="86">
        <v>0</v>
      </c>
      <c r="T52" s="86">
        <v>39.289126119938722</v>
      </c>
      <c r="U52" s="86">
        <v>0</v>
      </c>
    </row>
    <row r="53" spans="2:21" x14ac:dyDescent="0.3">
      <c r="B53" s="295"/>
      <c r="C53" s="9" t="s">
        <v>221</v>
      </c>
      <c r="D53" s="90">
        <v>12.041028279782628</v>
      </c>
      <c r="E53" s="90">
        <v>18.788438153166435</v>
      </c>
      <c r="F53" s="91">
        <v>11.22279791421154</v>
      </c>
      <c r="G53" s="91">
        <v>0</v>
      </c>
      <c r="H53" s="90">
        <v>11.208999430555769</v>
      </c>
      <c r="I53" s="91">
        <v>20.99577234773696</v>
      </c>
      <c r="J53" s="90">
        <v>1.1036472088253306</v>
      </c>
      <c r="K53" s="90">
        <v>10.584475833023459</v>
      </c>
      <c r="L53" s="90">
        <v>6.2351040706745104</v>
      </c>
      <c r="M53" s="91">
        <v>15.327476654195193</v>
      </c>
      <c r="N53" s="90">
        <v>0.89179438968911406</v>
      </c>
      <c r="O53" s="90">
        <v>2.6192099957511945</v>
      </c>
      <c r="P53" s="90">
        <v>12.699093606483874</v>
      </c>
      <c r="Q53" s="90">
        <v>4.4293243775553339</v>
      </c>
      <c r="R53" s="90">
        <v>0</v>
      </c>
      <c r="S53" s="90">
        <v>2.6192099957511945</v>
      </c>
      <c r="T53" s="90">
        <v>23.287387545400325</v>
      </c>
      <c r="U53" s="90">
        <v>3.2039583774195428</v>
      </c>
    </row>
    <row r="54" spans="2:21" ht="16.5" customHeight="1" x14ac:dyDescent="0.3">
      <c r="B54" s="291" t="s">
        <v>222</v>
      </c>
      <c r="C54" s="13" t="s">
        <v>226</v>
      </c>
      <c r="D54" s="84">
        <v>6.5322050967745442</v>
      </c>
      <c r="E54" s="84">
        <v>18.317732693881471</v>
      </c>
      <c r="F54" s="84">
        <v>10.479275080716738</v>
      </c>
      <c r="G54" s="84">
        <v>9.6034556604298853</v>
      </c>
      <c r="H54" s="84">
        <v>6.5744078802374322</v>
      </c>
      <c r="I54" s="84">
        <v>30.289282524427225</v>
      </c>
      <c r="J54" s="84">
        <v>5.666709282481281</v>
      </c>
      <c r="K54" s="84">
        <v>11.865746398820438</v>
      </c>
      <c r="L54" s="84">
        <v>5.7064995452211731</v>
      </c>
      <c r="M54" s="84">
        <v>17.912011003524796</v>
      </c>
      <c r="N54" s="84">
        <v>10.790709275601246</v>
      </c>
      <c r="O54" s="84">
        <v>4.4274253768754912</v>
      </c>
      <c r="P54" s="84">
        <v>7.5215395185872573</v>
      </c>
      <c r="Q54" s="84">
        <v>5.5005256319526801</v>
      </c>
      <c r="R54" s="84">
        <v>0.87585081610312387</v>
      </c>
      <c r="S54" s="84">
        <v>1.8717860845212437</v>
      </c>
      <c r="T54" s="84">
        <v>13.348403788762111</v>
      </c>
      <c r="U54" s="84">
        <v>1.8852344230906901</v>
      </c>
    </row>
    <row r="55" spans="2:21" x14ac:dyDescent="0.3">
      <c r="B55" s="294"/>
      <c r="C55" s="9" t="s">
        <v>227</v>
      </c>
      <c r="D55" s="86">
        <v>3.3920579361801901</v>
      </c>
      <c r="E55" s="86">
        <v>14.673931705169462</v>
      </c>
      <c r="F55" s="86">
        <v>7.3108073963327023</v>
      </c>
      <c r="G55" s="86">
        <v>3.1282967939051574</v>
      </c>
      <c r="H55" s="86">
        <v>10.551452995326388</v>
      </c>
      <c r="I55" s="86">
        <v>33.111763328395156</v>
      </c>
      <c r="J55" s="86">
        <v>5.9343474684003397</v>
      </c>
      <c r="K55" s="86">
        <v>6.1298017689163053</v>
      </c>
      <c r="L55" s="86">
        <v>8.8743855680937305</v>
      </c>
      <c r="M55" s="86">
        <v>24.21520659469066</v>
      </c>
      <c r="N55" s="86">
        <v>9.1419258796283067</v>
      </c>
      <c r="O55" s="86">
        <v>3.9344179375416717</v>
      </c>
      <c r="P55" s="86">
        <v>11.172059698857908</v>
      </c>
      <c r="Q55" s="86">
        <v>6.1950418302626922</v>
      </c>
      <c r="R55" s="86">
        <v>0.55420461391784381</v>
      </c>
      <c r="S55" s="86">
        <v>4.660262303595041</v>
      </c>
      <c r="T55" s="86">
        <v>16.877584285857861</v>
      </c>
      <c r="U55" s="86">
        <v>1.4692828130572233</v>
      </c>
    </row>
    <row r="56" spans="2:21" x14ac:dyDescent="0.3">
      <c r="B56" s="292"/>
      <c r="C56" s="9" t="s">
        <v>228</v>
      </c>
      <c r="D56" s="86">
        <v>4.5592652191793999</v>
      </c>
      <c r="E56" s="86">
        <v>14.30466069270477</v>
      </c>
      <c r="F56" s="86">
        <v>7.9433268435872586</v>
      </c>
      <c r="G56" s="86">
        <v>1.8645472183347234</v>
      </c>
      <c r="H56" s="86">
        <v>8.3532048478873993</v>
      </c>
      <c r="I56" s="86">
        <v>42.590615470200511</v>
      </c>
      <c r="J56" s="86">
        <v>6.410225297707858</v>
      </c>
      <c r="K56" s="86">
        <v>9.5440212945152556</v>
      </c>
      <c r="L56" s="86">
        <v>4.7415603668786375</v>
      </c>
      <c r="M56" s="86">
        <v>31.041433276054526</v>
      </c>
      <c r="N56" s="86">
        <v>9.5464417689973153</v>
      </c>
      <c r="O56" s="86">
        <v>3.4467723849864065</v>
      </c>
      <c r="P56" s="86">
        <v>6.1098368282984605</v>
      </c>
      <c r="Q56" s="86">
        <v>6.5838843206207072</v>
      </c>
      <c r="R56" s="86">
        <v>0.89481431397166522</v>
      </c>
      <c r="S56" s="86">
        <v>4.5410229641519244</v>
      </c>
      <c r="T56" s="86">
        <v>16.362120945164246</v>
      </c>
      <c r="U56" s="86">
        <v>1.5225371789226239</v>
      </c>
    </row>
    <row r="57" spans="2:21" x14ac:dyDescent="0.3">
      <c r="B57" s="295"/>
      <c r="C57" s="12" t="s">
        <v>229</v>
      </c>
      <c r="D57" s="90">
        <v>5.9045273038379991</v>
      </c>
      <c r="E57" s="90">
        <v>17.021570079495888</v>
      </c>
      <c r="F57" s="90">
        <v>4.2127577109718688</v>
      </c>
      <c r="G57" s="90">
        <v>1.1188802899563817</v>
      </c>
      <c r="H57" s="90">
        <v>9.9881503518197388</v>
      </c>
      <c r="I57" s="90">
        <v>38.640097436580596</v>
      </c>
      <c r="J57" s="90">
        <v>7.7638289940524494</v>
      </c>
      <c r="K57" s="90">
        <v>7.8473434705072256</v>
      </c>
      <c r="L57" s="90">
        <v>5.688114016208206</v>
      </c>
      <c r="M57" s="90">
        <v>26.118971069818091</v>
      </c>
      <c r="N57" s="90">
        <v>10.313748494282358</v>
      </c>
      <c r="O57" s="90">
        <v>4.0275380571108439</v>
      </c>
      <c r="P57" s="90">
        <v>8.1641215597775165</v>
      </c>
      <c r="Q57" s="90">
        <v>9.0398715019478377</v>
      </c>
      <c r="R57" s="90">
        <v>0.9366583141109891</v>
      </c>
      <c r="S57" s="90">
        <v>4.8975148961814385</v>
      </c>
      <c r="T57" s="90">
        <v>18.90274725350034</v>
      </c>
      <c r="U57" s="90">
        <v>0.99491110279355466</v>
      </c>
    </row>
    <row r="58" spans="2:21" x14ac:dyDescent="0.3">
      <c r="B58" s="296" t="s">
        <v>199</v>
      </c>
      <c r="C58" s="13" t="s">
        <v>192</v>
      </c>
      <c r="D58" s="84">
        <v>3.7506343224206025</v>
      </c>
      <c r="E58" s="84">
        <v>16.71948887272131</v>
      </c>
      <c r="F58" s="84">
        <v>7.331136776497857</v>
      </c>
      <c r="G58" s="84">
        <v>2.686252795759172</v>
      </c>
      <c r="H58" s="84">
        <v>9.4878820808162097</v>
      </c>
      <c r="I58" s="84">
        <v>39.632165204530828</v>
      </c>
      <c r="J58" s="84">
        <v>7.0187600050488461</v>
      </c>
      <c r="K58" s="84">
        <v>7.425342669862883</v>
      </c>
      <c r="L58" s="84">
        <v>6.5079776799347826</v>
      </c>
      <c r="M58" s="84">
        <v>25.864676975718197</v>
      </c>
      <c r="N58" s="84">
        <v>8.7785535464939901</v>
      </c>
      <c r="O58" s="84">
        <v>4.3857145361429124</v>
      </c>
      <c r="P58" s="84">
        <v>8.5186660271780728</v>
      </c>
      <c r="Q58" s="84">
        <v>6.4928905085000741</v>
      </c>
      <c r="R58" s="84">
        <v>0.7031220288835216</v>
      </c>
      <c r="S58" s="84">
        <v>5.1152334451492498</v>
      </c>
      <c r="T58" s="84">
        <v>15.63655695463777</v>
      </c>
      <c r="U58" s="84">
        <v>1.169507750467051</v>
      </c>
    </row>
    <row r="59" spans="2:21" ht="16.5" customHeight="1" x14ac:dyDescent="0.3">
      <c r="B59" s="292"/>
      <c r="C59" s="9" t="s">
        <v>200</v>
      </c>
      <c r="D59" s="86">
        <v>8.9761025189285686</v>
      </c>
      <c r="E59" s="86">
        <v>8.1828149049456389</v>
      </c>
      <c r="F59" s="86">
        <v>5.7980192476248318</v>
      </c>
      <c r="G59" s="86">
        <v>1.373844774748167</v>
      </c>
      <c r="H59" s="86">
        <v>5.4953790989926681</v>
      </c>
      <c r="I59" s="86">
        <v>23.075175251300571</v>
      </c>
      <c r="J59" s="86">
        <v>6.5241815909893708</v>
      </c>
      <c r="K59" s="86">
        <v>12.079975934677996</v>
      </c>
      <c r="L59" s="86">
        <v>9.6961752579628424</v>
      </c>
      <c r="M59" s="86">
        <v>26.885642889185053</v>
      </c>
      <c r="N59" s="86">
        <v>8.9968111930757839</v>
      </c>
      <c r="O59" s="86">
        <v>1.373844774748167</v>
      </c>
      <c r="P59" s="86">
        <v>18.223113384299992</v>
      </c>
      <c r="Q59" s="86">
        <v>4.979928390395842</v>
      </c>
      <c r="R59" s="86">
        <v>0</v>
      </c>
      <c r="S59" s="86">
        <v>2.289561753660875</v>
      </c>
      <c r="T59" s="86">
        <v>17.596314154312434</v>
      </c>
      <c r="U59" s="86">
        <v>2.7501683264911079</v>
      </c>
    </row>
    <row r="60" spans="2:21" x14ac:dyDescent="0.3">
      <c r="B60" s="292"/>
      <c r="C60" s="9" t="s">
        <v>201</v>
      </c>
      <c r="D60" s="86">
        <v>4.0410199058551743</v>
      </c>
      <c r="E60" s="86">
        <v>13.266946465652079</v>
      </c>
      <c r="F60" s="86">
        <v>7.5999980770433933</v>
      </c>
      <c r="G60" s="86">
        <v>1.8581114943318136</v>
      </c>
      <c r="H60" s="86">
        <v>9.0492395802898713</v>
      </c>
      <c r="I60" s="86">
        <v>31.377386697431003</v>
      </c>
      <c r="J60" s="86">
        <v>2.482785775227792</v>
      </c>
      <c r="K60" s="86">
        <v>4.1256814800414272</v>
      </c>
      <c r="L60" s="86">
        <v>5.190834318067842</v>
      </c>
      <c r="M60" s="86">
        <v>23.897352960777678</v>
      </c>
      <c r="N60" s="86">
        <v>9.152741867793468</v>
      </c>
      <c r="O60" s="86">
        <v>4.3570937264579825</v>
      </c>
      <c r="P60" s="86">
        <v>7.1596938525404372</v>
      </c>
      <c r="Q60" s="86">
        <v>9.6066755371891741</v>
      </c>
      <c r="R60" s="86">
        <v>0.58922942551872548</v>
      </c>
      <c r="S60" s="86">
        <v>3.257227283673835</v>
      </c>
      <c r="T60" s="86">
        <v>16.442339983599393</v>
      </c>
      <c r="U60" s="86">
        <v>2.4872851925541442</v>
      </c>
    </row>
    <row r="61" spans="2:21" x14ac:dyDescent="0.3">
      <c r="B61" s="292"/>
      <c r="C61" s="9" t="s">
        <v>202</v>
      </c>
      <c r="D61" s="86">
        <v>9.0569894102874819</v>
      </c>
      <c r="E61" s="86">
        <v>17.84895504135671</v>
      </c>
      <c r="F61" s="86">
        <v>7.4440972448913136</v>
      </c>
      <c r="G61" s="86">
        <v>6.6565237058635747</v>
      </c>
      <c r="H61" s="86">
        <v>10.260925077287096</v>
      </c>
      <c r="I61" s="86">
        <v>39.927479316255102</v>
      </c>
      <c r="J61" s="86">
        <v>6.3947774214730542</v>
      </c>
      <c r="K61" s="86">
        <v>13.789918881450202</v>
      </c>
      <c r="L61" s="86">
        <v>6.671252205416681</v>
      </c>
      <c r="M61" s="86">
        <v>26.195285749447507</v>
      </c>
      <c r="N61" s="86">
        <v>13.247919895337654</v>
      </c>
      <c r="O61" s="86">
        <v>2.8064541121982134</v>
      </c>
      <c r="P61" s="86">
        <v>10.099584892748819</v>
      </c>
      <c r="Q61" s="86">
        <v>7.6091557376939729</v>
      </c>
      <c r="R61" s="86">
        <v>0</v>
      </c>
      <c r="S61" s="86">
        <v>5.4148777600595697</v>
      </c>
      <c r="T61" s="86">
        <v>20.834057234003591</v>
      </c>
      <c r="U61" s="86">
        <v>0</v>
      </c>
    </row>
    <row r="62" spans="2:21" x14ac:dyDescent="0.3">
      <c r="B62" s="295"/>
      <c r="C62" s="12" t="s">
        <v>203</v>
      </c>
      <c r="D62" s="90">
        <v>5.0515662608104961</v>
      </c>
      <c r="E62" s="90">
        <v>14.398440193969609</v>
      </c>
      <c r="F62" s="90">
        <v>5.4822763390475666</v>
      </c>
      <c r="G62" s="90">
        <v>2.2954583762408602</v>
      </c>
      <c r="H62" s="90">
        <v>9.5317989329100161</v>
      </c>
      <c r="I62" s="90">
        <v>35.898284743918467</v>
      </c>
      <c r="J62" s="90">
        <v>7.726992003476675</v>
      </c>
      <c r="K62" s="90">
        <v>9.2411866157281164</v>
      </c>
      <c r="L62" s="90">
        <v>5.9843684466596843</v>
      </c>
      <c r="M62" s="90">
        <v>28.183078737416238</v>
      </c>
      <c r="N62" s="90">
        <v>11.397441949201349</v>
      </c>
      <c r="O62" s="90">
        <v>3.1853483397746754</v>
      </c>
      <c r="P62" s="90">
        <v>5.9119190603585858</v>
      </c>
      <c r="Q62" s="90">
        <v>7.3653062980388473</v>
      </c>
      <c r="R62" s="90">
        <v>1.7323323870442231</v>
      </c>
      <c r="S62" s="90">
        <v>3.1344718666591795</v>
      </c>
      <c r="T62" s="90">
        <v>18.93810831617656</v>
      </c>
      <c r="U62" s="90">
        <v>1.7297366987968503</v>
      </c>
    </row>
    <row r="63" spans="2:21" x14ac:dyDescent="0.3">
      <c r="B63" s="291" t="s">
        <v>204</v>
      </c>
      <c r="C63" s="13" t="s">
        <v>192</v>
      </c>
      <c r="D63" s="84">
        <v>3.7506343224206025</v>
      </c>
      <c r="E63" s="84">
        <v>16.71948887272131</v>
      </c>
      <c r="F63" s="84">
        <v>7.331136776497857</v>
      </c>
      <c r="G63" s="84">
        <v>2.686252795759172</v>
      </c>
      <c r="H63" s="84">
        <v>9.4878820808162097</v>
      </c>
      <c r="I63" s="84">
        <v>39.632165204530828</v>
      </c>
      <c r="J63" s="84">
        <v>7.0187600050488461</v>
      </c>
      <c r="K63" s="84">
        <v>7.425342669862883</v>
      </c>
      <c r="L63" s="84">
        <v>6.5079776799347826</v>
      </c>
      <c r="M63" s="84">
        <v>25.864676975718197</v>
      </c>
      <c r="N63" s="84">
        <v>8.7785535464939901</v>
      </c>
      <c r="O63" s="84">
        <v>4.3857145361429124</v>
      </c>
      <c r="P63" s="84">
        <v>8.5186660271780728</v>
      </c>
      <c r="Q63" s="84">
        <v>6.4928905085000741</v>
      </c>
      <c r="R63" s="84">
        <v>0.7031220288835216</v>
      </c>
      <c r="S63" s="84">
        <v>5.1152334451492498</v>
      </c>
      <c r="T63" s="84">
        <v>15.63655695463777</v>
      </c>
      <c r="U63" s="84">
        <v>1.169507750467051</v>
      </c>
    </row>
    <row r="64" spans="2:21" x14ac:dyDescent="0.3">
      <c r="B64" s="295"/>
      <c r="C64" s="12" t="s">
        <v>193</v>
      </c>
      <c r="D64" s="90">
        <v>6.0212615789883861</v>
      </c>
      <c r="E64" s="90">
        <v>14.193969610477128</v>
      </c>
      <c r="F64" s="90">
        <v>6.450387921512708</v>
      </c>
      <c r="G64" s="90">
        <v>2.9903862638309322</v>
      </c>
      <c r="H64" s="90">
        <v>9.1509861662743948</v>
      </c>
      <c r="I64" s="90">
        <v>34.290834870594708</v>
      </c>
      <c r="J64" s="90">
        <v>6.0131972306316932</v>
      </c>
      <c r="K64" s="90">
        <v>9.1814756051404416</v>
      </c>
      <c r="L64" s="90">
        <v>6.3033805477450811</v>
      </c>
      <c r="M64" s="90">
        <v>26.565386143896468</v>
      </c>
      <c r="N64" s="90">
        <v>10.971074101487762</v>
      </c>
      <c r="O64" s="90">
        <v>3.2177080376803162</v>
      </c>
      <c r="P64" s="90">
        <v>8.3378604305684796</v>
      </c>
      <c r="Q64" s="90">
        <v>7.7363550277207409</v>
      </c>
      <c r="R64" s="90">
        <v>0.91248188703088617</v>
      </c>
      <c r="S64" s="90">
        <v>3.54927389043505</v>
      </c>
      <c r="T64" s="90">
        <v>18.565541492537857</v>
      </c>
      <c r="U64" s="90">
        <v>1.6673053592077614</v>
      </c>
    </row>
    <row r="65" spans="2:51" x14ac:dyDescent="0.3">
      <c r="B65" s="291" t="s">
        <v>209</v>
      </c>
      <c r="C65" s="13" t="s">
        <v>205</v>
      </c>
      <c r="D65" s="84">
        <v>4.3843597965417782</v>
      </c>
      <c r="E65" s="84">
        <v>13.617669993819559</v>
      </c>
      <c r="F65" s="84">
        <v>15.603535140856467</v>
      </c>
      <c r="G65" s="84">
        <v>4.2940607063398151</v>
      </c>
      <c r="H65" s="84">
        <v>4.2211136208522477</v>
      </c>
      <c r="I65" s="84">
        <v>22.815194676868185</v>
      </c>
      <c r="J65" s="84">
        <v>7.8668620812428873</v>
      </c>
      <c r="K65" s="84">
        <v>7.2024105119783117</v>
      </c>
      <c r="L65" s="84">
        <v>4.0008560291481521</v>
      </c>
      <c r="M65" s="84">
        <v>7.2024105119783117</v>
      </c>
      <c r="N65" s="84">
        <v>8.0017120582963042</v>
      </c>
      <c r="O65" s="84">
        <v>0</v>
      </c>
      <c r="P65" s="84">
        <v>5.3998729265452177</v>
      </c>
      <c r="Q65" s="84">
        <v>15.718237067500024</v>
      </c>
      <c r="R65" s="84">
        <v>0</v>
      </c>
      <c r="S65" s="84">
        <v>0</v>
      </c>
      <c r="T65" s="84">
        <v>16.530346016394883</v>
      </c>
      <c r="U65" s="84">
        <v>5.3392798976968772</v>
      </c>
    </row>
    <row r="66" spans="2:51" x14ac:dyDescent="0.3">
      <c r="B66" s="292"/>
      <c r="C66" s="9" t="s">
        <v>206</v>
      </c>
      <c r="D66" s="86">
        <v>6.5283196567232569</v>
      </c>
      <c r="E66" s="86">
        <v>7.3020336498067477</v>
      </c>
      <c r="F66" s="86">
        <v>3.5004430654664622</v>
      </c>
      <c r="G66" s="86">
        <v>6.9198320246033447</v>
      </c>
      <c r="H66" s="86">
        <v>7.6708324466564948</v>
      </c>
      <c r="I66" s="86">
        <v>16.771378163710697</v>
      </c>
      <c r="J66" s="86">
        <v>3.4847579623754674</v>
      </c>
      <c r="K66" s="86">
        <v>6.3943159079922918</v>
      </c>
      <c r="L66" s="86">
        <v>5.4259452115783136</v>
      </c>
      <c r="M66" s="86">
        <v>9.4785913375610438</v>
      </c>
      <c r="N66" s="86">
        <v>1.1568229992973091</v>
      </c>
      <c r="O66" s="86">
        <v>1.5200889225883907</v>
      </c>
      <c r="P66" s="86">
        <v>29.343161010770775</v>
      </c>
      <c r="Q66" s="86">
        <v>6.9840624776083562</v>
      </c>
      <c r="R66" s="86">
        <v>1.6878796058871808</v>
      </c>
      <c r="S66" s="86">
        <v>1.5200889225883907</v>
      </c>
      <c r="T66" s="86">
        <v>29.186523699970639</v>
      </c>
      <c r="U66" s="86">
        <v>3.3511767794032017</v>
      </c>
    </row>
    <row r="67" spans="2:51" x14ac:dyDescent="0.3">
      <c r="B67" s="292"/>
      <c r="C67" s="9" t="s">
        <v>207</v>
      </c>
      <c r="D67" s="86">
        <v>4.1898907023806009</v>
      </c>
      <c r="E67" s="86">
        <v>17.585132961014661</v>
      </c>
      <c r="F67" s="86">
        <v>7.667297866391487</v>
      </c>
      <c r="G67" s="86">
        <v>2.8469576152597145</v>
      </c>
      <c r="H67" s="86">
        <v>9.8200175339488567</v>
      </c>
      <c r="I67" s="86">
        <v>36.328577102187474</v>
      </c>
      <c r="J67" s="86">
        <v>6.3661533661686693</v>
      </c>
      <c r="K67" s="86">
        <v>8.3470401837363948</v>
      </c>
      <c r="L67" s="86">
        <v>8.0752368436377981</v>
      </c>
      <c r="M67" s="86">
        <v>25.343260737030608</v>
      </c>
      <c r="N67" s="86">
        <v>9.2946858420695744</v>
      </c>
      <c r="O67" s="86">
        <v>3.5791008521909888</v>
      </c>
      <c r="P67" s="86">
        <v>6.1353865891980668</v>
      </c>
      <c r="Q67" s="86">
        <v>6.2203710084576693</v>
      </c>
      <c r="R67" s="86">
        <v>0.69367182900377589</v>
      </c>
      <c r="S67" s="86">
        <v>4.7858666302258239</v>
      </c>
      <c r="T67" s="86">
        <v>18.908623298776721</v>
      </c>
      <c r="U67" s="86">
        <v>1.312667719953309</v>
      </c>
    </row>
    <row r="68" spans="2:51" x14ac:dyDescent="0.3">
      <c r="B68" s="293"/>
      <c r="C68" s="25" t="s">
        <v>208</v>
      </c>
      <c r="D68" s="87">
        <v>5.1599959520770833</v>
      </c>
      <c r="E68" s="87">
        <v>14.620461374068084</v>
      </c>
      <c r="F68" s="87">
        <v>6.276545317934012</v>
      </c>
      <c r="G68" s="87">
        <v>2.2358061243537639</v>
      </c>
      <c r="H68" s="87">
        <v>9.2365352275977468</v>
      </c>
      <c r="I68" s="87">
        <v>41.261222034380523</v>
      </c>
      <c r="J68" s="87">
        <v>7.1102136262734206</v>
      </c>
      <c r="K68" s="87">
        <v>8.3316476723355013</v>
      </c>
      <c r="L68" s="87">
        <v>4.9123958188764822</v>
      </c>
      <c r="M68" s="87">
        <v>29.820114871883046</v>
      </c>
      <c r="N68" s="87">
        <v>11.366991988506632</v>
      </c>
      <c r="O68" s="87">
        <v>4.5929915288210497</v>
      </c>
      <c r="P68" s="87">
        <v>8.3601182823835067</v>
      </c>
      <c r="Q68" s="87">
        <v>7.5865604876117931</v>
      </c>
      <c r="R68" s="87">
        <v>0.82383129955644829</v>
      </c>
      <c r="S68" s="87">
        <v>4.5549233677853387</v>
      </c>
      <c r="T68" s="87">
        <v>13.421391626616225</v>
      </c>
      <c r="U68" s="87">
        <v>1.0833526242798182</v>
      </c>
    </row>
    <row r="71" spans="2:51" ht="18.75" customHeight="1" x14ac:dyDescent="0.3">
      <c r="B71" s="1" t="s">
        <v>136</v>
      </c>
      <c r="F71" s="304"/>
      <c r="G71" s="304"/>
      <c r="H71" s="304"/>
      <c r="I71" s="304"/>
      <c r="J71" s="304"/>
      <c r="K71" s="304"/>
      <c r="L71" s="304"/>
      <c r="M71" s="304"/>
      <c r="N71" s="304"/>
      <c r="O71" s="304"/>
      <c r="P71" s="304"/>
      <c r="Q71" s="304"/>
      <c r="R71" s="304"/>
      <c r="S71" s="304"/>
      <c r="T71" s="304"/>
      <c r="U71" s="304"/>
      <c r="V71" s="304"/>
      <c r="W71" s="304"/>
      <c r="X71" s="304"/>
      <c r="Y71" s="304"/>
      <c r="Z71" s="304"/>
      <c r="AA71" s="304"/>
      <c r="AB71" s="304"/>
      <c r="AC71" s="304"/>
      <c r="AD71" s="304"/>
      <c r="AE71" s="304"/>
      <c r="AF71" s="304"/>
      <c r="AG71" s="304"/>
      <c r="AH71" s="304"/>
      <c r="AI71" s="304"/>
      <c r="AJ71" s="304"/>
      <c r="AK71" s="304"/>
      <c r="AL71" s="304"/>
      <c r="AM71" s="304"/>
      <c r="AN71" s="304"/>
      <c r="AO71" s="304"/>
      <c r="AP71" s="304"/>
      <c r="AQ71" s="304"/>
      <c r="AR71" s="304"/>
      <c r="AS71" s="304"/>
      <c r="AT71" s="304"/>
      <c r="AU71" s="304"/>
      <c r="AV71" s="304"/>
      <c r="AW71" s="304"/>
      <c r="AX71" s="304"/>
      <c r="AY71" s="304"/>
    </row>
    <row r="72" spans="2:51" ht="13.5" customHeight="1" x14ac:dyDescent="0.3">
      <c r="M72" s="30"/>
      <c r="N72" s="30"/>
      <c r="P72" s="30"/>
      <c r="Q72" s="30"/>
      <c r="R72" s="30"/>
      <c r="S72" s="30"/>
      <c r="T72" s="30"/>
      <c r="U72" s="30" t="s">
        <v>53</v>
      </c>
    </row>
    <row r="73" spans="2:51" ht="28.5" customHeight="1" x14ac:dyDescent="0.3">
      <c r="B73" s="305"/>
      <c r="C73" s="306"/>
      <c r="D73" s="226" t="s">
        <v>35</v>
      </c>
      <c r="E73" s="226" t="s">
        <v>36</v>
      </c>
      <c r="F73" s="226" t="s">
        <v>16</v>
      </c>
      <c r="G73" s="226" t="s">
        <v>81</v>
      </c>
      <c r="H73" s="226" t="s">
        <v>82</v>
      </c>
      <c r="I73" s="226" t="s">
        <v>238</v>
      </c>
      <c r="J73" s="226" t="s">
        <v>284</v>
      </c>
      <c r="K73" s="226" t="s">
        <v>285</v>
      </c>
      <c r="L73" s="226" t="s">
        <v>15</v>
      </c>
      <c r="M73" s="226" t="s">
        <v>288</v>
      </c>
      <c r="N73" s="227" t="s">
        <v>17</v>
      </c>
      <c r="O73" s="227" t="s">
        <v>65</v>
      </c>
      <c r="P73" s="227" t="s">
        <v>19</v>
      </c>
      <c r="Q73" s="227" t="s">
        <v>66</v>
      </c>
      <c r="R73" s="227" t="s">
        <v>68</v>
      </c>
      <c r="S73" s="227" t="s">
        <v>67</v>
      </c>
      <c r="T73" s="227" t="s">
        <v>108</v>
      </c>
      <c r="U73" s="227" t="s">
        <v>12</v>
      </c>
    </row>
    <row r="74" spans="2:51" x14ac:dyDescent="0.3">
      <c r="B74" s="292" t="s">
        <v>20</v>
      </c>
      <c r="C74" s="292"/>
      <c r="D74" s="72">
        <v>1.4270700260261289</v>
      </c>
      <c r="E74" s="72">
        <v>1.3678599629425576</v>
      </c>
      <c r="F74" s="73">
        <v>1.4324929584579131</v>
      </c>
      <c r="G74" s="72">
        <v>1.4019847963454413</v>
      </c>
      <c r="H74" s="73">
        <v>1.7870831280494541</v>
      </c>
      <c r="I74" s="72">
        <v>1.9484991230523152</v>
      </c>
      <c r="J74" s="72">
        <v>1.4442450995337544</v>
      </c>
      <c r="K74" s="72">
        <v>1.3528182611307411</v>
      </c>
      <c r="L74" s="73">
        <v>1.3895005130253268</v>
      </c>
      <c r="M74" s="72">
        <v>1.8944408936465664</v>
      </c>
      <c r="N74" s="72">
        <v>1.5588340176032918</v>
      </c>
      <c r="O74" s="72">
        <v>1.2820155358841341</v>
      </c>
      <c r="P74" s="72">
        <v>1.3533956686202104</v>
      </c>
      <c r="Q74" s="72">
        <v>1.5018196441220908</v>
      </c>
      <c r="R74" s="72">
        <v>1.359179879513142</v>
      </c>
      <c r="S74" s="72">
        <v>1.2089912312425652</v>
      </c>
      <c r="T74" s="72">
        <v>3.0162441616533129</v>
      </c>
      <c r="U74" s="72">
        <v>1.9282443453623241</v>
      </c>
    </row>
    <row r="75" spans="2:51" x14ac:dyDescent="0.3">
      <c r="B75" s="296" t="s">
        <v>5</v>
      </c>
      <c r="C75" s="13" t="s">
        <v>0</v>
      </c>
      <c r="D75" s="74">
        <v>1.1542672319665452</v>
      </c>
      <c r="E75" s="74">
        <v>1.326622167252516</v>
      </c>
      <c r="F75" s="75">
        <v>1.3708164905963041</v>
      </c>
      <c r="G75" s="74">
        <v>1.3719350952833242</v>
      </c>
      <c r="H75" s="75">
        <v>1.7665582486285933</v>
      </c>
      <c r="I75" s="74">
        <v>1.7611865961664677</v>
      </c>
      <c r="J75" s="74">
        <v>1.4467326684458834</v>
      </c>
      <c r="K75" s="74">
        <v>1.4049237644868098</v>
      </c>
      <c r="L75" s="75">
        <v>1.3093237678790153</v>
      </c>
      <c r="M75" s="74">
        <v>1.7561657247425317</v>
      </c>
      <c r="N75" s="74">
        <v>1.6281527426331608</v>
      </c>
      <c r="O75" s="74">
        <v>1.3472093806217886</v>
      </c>
      <c r="P75" s="74">
        <v>1.428342190416606</v>
      </c>
      <c r="Q75" s="74">
        <v>1.4266094961314271</v>
      </c>
      <c r="R75" s="74">
        <v>1.3968879367038609</v>
      </c>
      <c r="S75" s="74">
        <v>1.245162310737115</v>
      </c>
      <c r="T75" s="74">
        <v>3.2838619876103956</v>
      </c>
      <c r="U75" s="74">
        <v>1.3179245152631336</v>
      </c>
    </row>
    <row r="76" spans="2:51" x14ac:dyDescent="0.3">
      <c r="B76" s="295"/>
      <c r="C76" s="12" t="s">
        <v>1</v>
      </c>
      <c r="D76" s="76">
        <v>1.5974909060263782</v>
      </c>
      <c r="E76" s="76">
        <v>1.405048688599543</v>
      </c>
      <c r="F76" s="76">
        <v>1.5060416271003427</v>
      </c>
      <c r="G76" s="76">
        <v>1.4912097205063966</v>
      </c>
      <c r="H76" s="76">
        <v>1.8157716627780587</v>
      </c>
      <c r="I76" s="76">
        <v>2.0545242666738921</v>
      </c>
      <c r="J76" s="76">
        <v>1.441886973055283</v>
      </c>
      <c r="K76" s="76">
        <v>1.3104778392236096</v>
      </c>
      <c r="L76" s="76">
        <v>1.4637912808288811</v>
      </c>
      <c r="M76" s="76">
        <v>1.9751488198553857</v>
      </c>
      <c r="N76" s="76">
        <v>1.5235561277086995</v>
      </c>
      <c r="O76" s="76">
        <v>1.2256371421932504</v>
      </c>
      <c r="P76" s="76">
        <v>1.3053000285580938</v>
      </c>
      <c r="Q76" s="76">
        <v>1.5385506675025629</v>
      </c>
      <c r="R76" s="76">
        <v>1.3425179413547121</v>
      </c>
      <c r="S76" s="76">
        <v>1.1711414543156944</v>
      </c>
      <c r="T76" s="76">
        <v>2.8532299913574919</v>
      </c>
      <c r="U76" s="76">
        <v>2.3318250048078388</v>
      </c>
    </row>
    <row r="77" spans="2:51" x14ac:dyDescent="0.3">
      <c r="B77" s="296" t="s">
        <v>4</v>
      </c>
      <c r="C77" s="9" t="s">
        <v>175</v>
      </c>
      <c r="D77" s="72">
        <v>4</v>
      </c>
      <c r="E77" s="72">
        <v>0</v>
      </c>
      <c r="F77" s="73">
        <v>0</v>
      </c>
      <c r="G77" s="72">
        <v>4</v>
      </c>
      <c r="H77" s="73">
        <v>0</v>
      </c>
      <c r="I77" s="72">
        <v>1</v>
      </c>
      <c r="J77" s="72">
        <v>0</v>
      </c>
      <c r="K77" s="72">
        <v>0</v>
      </c>
      <c r="L77" s="73">
        <v>4.2340485366773404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</v>
      </c>
      <c r="U77" s="72">
        <v>0</v>
      </c>
    </row>
    <row r="78" spans="2:51" x14ac:dyDescent="0.3">
      <c r="B78" s="292"/>
      <c r="C78" s="9" t="s">
        <v>176</v>
      </c>
      <c r="D78" s="72">
        <v>1</v>
      </c>
      <c r="E78" s="72">
        <v>1.2279146759396369</v>
      </c>
      <c r="F78" s="73">
        <v>1</v>
      </c>
      <c r="G78" s="72">
        <v>1.2263983454224192</v>
      </c>
      <c r="H78" s="73">
        <v>1.2190717116432679</v>
      </c>
      <c r="I78" s="72">
        <v>1.3406968281327256</v>
      </c>
      <c r="J78" s="72">
        <v>1.8865404738632654</v>
      </c>
      <c r="K78" s="72">
        <v>1.2998132621326135</v>
      </c>
      <c r="L78" s="73">
        <v>1.2449352622050791</v>
      </c>
      <c r="M78" s="72">
        <v>0</v>
      </c>
      <c r="N78" s="72">
        <v>1.9163169749871203</v>
      </c>
      <c r="O78" s="72">
        <v>1</v>
      </c>
      <c r="P78" s="72">
        <v>1.4219441538710642</v>
      </c>
      <c r="Q78" s="72">
        <v>1.5118682314204515</v>
      </c>
      <c r="R78" s="72">
        <v>0</v>
      </c>
      <c r="S78" s="72">
        <v>1</v>
      </c>
      <c r="T78" s="72">
        <v>3.9998449366768574</v>
      </c>
      <c r="U78" s="72">
        <v>2</v>
      </c>
    </row>
    <row r="79" spans="2:51" x14ac:dyDescent="0.3">
      <c r="B79" s="292"/>
      <c r="C79" s="9" t="s">
        <v>177</v>
      </c>
      <c r="D79" s="72">
        <v>1.5095111116477065</v>
      </c>
      <c r="E79" s="72">
        <v>1.3419896884738056</v>
      </c>
      <c r="F79" s="73">
        <v>1.351518777520504</v>
      </c>
      <c r="G79" s="72">
        <v>1.4181217729539339</v>
      </c>
      <c r="H79" s="73">
        <v>1.9541566280464662</v>
      </c>
      <c r="I79" s="72">
        <v>2.044213616205881</v>
      </c>
      <c r="J79" s="72">
        <v>1.3282212176681238</v>
      </c>
      <c r="K79" s="72">
        <v>1.3281796866239499</v>
      </c>
      <c r="L79" s="73">
        <v>1.3725761401919352</v>
      </c>
      <c r="M79" s="72">
        <v>1.7654920590195924</v>
      </c>
      <c r="N79" s="72">
        <v>1.8918826461661531</v>
      </c>
      <c r="O79" s="72">
        <v>1.1442097860391816</v>
      </c>
      <c r="P79" s="72">
        <v>1.3368485068054328</v>
      </c>
      <c r="Q79" s="72">
        <v>1.7088370009256895</v>
      </c>
      <c r="R79" s="72">
        <v>1.6220529327268978</v>
      </c>
      <c r="S79" s="72">
        <v>1.126188728092216</v>
      </c>
      <c r="T79" s="72">
        <v>3.0596556668182466</v>
      </c>
      <c r="U79" s="72">
        <v>2.6512601253701762</v>
      </c>
    </row>
    <row r="80" spans="2:51" x14ac:dyDescent="0.3">
      <c r="B80" s="292"/>
      <c r="C80" s="9" t="s">
        <v>178</v>
      </c>
      <c r="D80" s="72">
        <v>1.3081468982050546</v>
      </c>
      <c r="E80" s="72">
        <v>1.3312180179418827</v>
      </c>
      <c r="F80" s="73">
        <v>1.4316162734834934</v>
      </c>
      <c r="G80" s="72">
        <v>1.206319369588631</v>
      </c>
      <c r="H80" s="73">
        <v>1.7881264292654782</v>
      </c>
      <c r="I80" s="72">
        <v>1.9836715902405662</v>
      </c>
      <c r="J80" s="72">
        <v>1.3464709053408759</v>
      </c>
      <c r="K80" s="72">
        <v>1.3057794661184625</v>
      </c>
      <c r="L80" s="73">
        <v>1.3025787206099151</v>
      </c>
      <c r="M80" s="72">
        <v>1.9660990636760476</v>
      </c>
      <c r="N80" s="72">
        <v>1.4024365119720632</v>
      </c>
      <c r="O80" s="72">
        <v>1.2563373923902175</v>
      </c>
      <c r="P80" s="72">
        <v>1.37931409971362</v>
      </c>
      <c r="Q80" s="72">
        <v>1.4747459015625297</v>
      </c>
      <c r="R80" s="72">
        <v>1</v>
      </c>
      <c r="S80" s="72">
        <v>1.3170720080778733</v>
      </c>
      <c r="T80" s="72">
        <v>3.2547403500837078</v>
      </c>
      <c r="U80" s="72">
        <v>1</v>
      </c>
    </row>
    <row r="81" spans="2:21" x14ac:dyDescent="0.3">
      <c r="B81" s="292"/>
      <c r="C81" s="9" t="s">
        <v>179</v>
      </c>
      <c r="D81" s="72">
        <v>1.2085639083351474</v>
      </c>
      <c r="E81" s="72">
        <v>1.5140128618712283</v>
      </c>
      <c r="F81" s="73">
        <v>1.7045943638826502</v>
      </c>
      <c r="G81" s="72">
        <v>1</v>
      </c>
      <c r="H81" s="73">
        <v>1.8340085604756777</v>
      </c>
      <c r="I81" s="72">
        <v>1.7781390152213461</v>
      </c>
      <c r="J81" s="72">
        <v>1.707851993888589</v>
      </c>
      <c r="K81" s="72">
        <v>1.4422376154521834</v>
      </c>
      <c r="L81" s="73">
        <v>1.2741950078591124</v>
      </c>
      <c r="M81" s="72">
        <v>1.8473919178056617</v>
      </c>
      <c r="N81" s="72">
        <v>1.2303126249358016</v>
      </c>
      <c r="O81" s="72">
        <v>1.6474426821364054</v>
      </c>
      <c r="P81" s="72">
        <v>1.3123382473039205</v>
      </c>
      <c r="Q81" s="72">
        <v>1</v>
      </c>
      <c r="R81" s="72">
        <v>1</v>
      </c>
      <c r="S81" s="72">
        <v>1</v>
      </c>
      <c r="T81" s="72">
        <v>2.7018290269411072</v>
      </c>
      <c r="U81" s="72">
        <v>0</v>
      </c>
    </row>
    <row r="82" spans="2:21" x14ac:dyDescent="0.3">
      <c r="B82" s="298"/>
      <c r="C82" s="12" t="s">
        <v>180</v>
      </c>
      <c r="D82" s="76">
        <v>1.2422132075723484</v>
      </c>
      <c r="E82" s="76">
        <v>1.5582324914666887</v>
      </c>
      <c r="F82" s="77">
        <v>1.6607965516260323</v>
      </c>
      <c r="G82" s="76">
        <v>1.1865394811543142</v>
      </c>
      <c r="H82" s="77">
        <v>1.4448416697328075</v>
      </c>
      <c r="I82" s="76">
        <v>1.7469624971057491</v>
      </c>
      <c r="J82" s="76">
        <v>1.4909649571314283</v>
      </c>
      <c r="K82" s="76">
        <v>1.6691197004045413</v>
      </c>
      <c r="L82" s="77">
        <v>1.4485456215335244</v>
      </c>
      <c r="M82" s="76">
        <v>2.0234540711599598</v>
      </c>
      <c r="N82" s="76">
        <v>1</v>
      </c>
      <c r="O82" s="76">
        <v>2.26409933981884</v>
      </c>
      <c r="P82" s="76">
        <v>1.2890582781591149</v>
      </c>
      <c r="Q82" s="76">
        <v>1.5957109376540777</v>
      </c>
      <c r="R82" s="76">
        <v>0</v>
      </c>
      <c r="S82" s="76">
        <v>1.4213664466062801</v>
      </c>
      <c r="T82" s="76">
        <v>2.2346964054317402</v>
      </c>
      <c r="U82" s="76">
        <v>1</v>
      </c>
    </row>
    <row r="83" spans="2:21" x14ac:dyDescent="0.3">
      <c r="B83" s="292" t="s">
        <v>223</v>
      </c>
      <c r="C83" s="9" t="s">
        <v>210</v>
      </c>
      <c r="D83" s="72">
        <v>0</v>
      </c>
      <c r="E83" s="72">
        <v>0</v>
      </c>
      <c r="F83" s="73">
        <v>0</v>
      </c>
      <c r="G83" s="72">
        <v>0</v>
      </c>
      <c r="H83" s="73">
        <v>0</v>
      </c>
      <c r="I83" s="72">
        <v>0</v>
      </c>
      <c r="J83" s="72">
        <v>0</v>
      </c>
      <c r="K83" s="72">
        <v>0</v>
      </c>
      <c r="L83" s="73">
        <v>0</v>
      </c>
      <c r="M83" s="72">
        <v>0</v>
      </c>
      <c r="N83" s="72">
        <v>0</v>
      </c>
      <c r="O83" s="72">
        <v>0</v>
      </c>
      <c r="P83" s="72">
        <v>0</v>
      </c>
      <c r="Q83" s="72">
        <v>0</v>
      </c>
      <c r="R83" s="72">
        <v>0</v>
      </c>
      <c r="S83" s="72">
        <v>0</v>
      </c>
      <c r="T83" s="72">
        <v>0</v>
      </c>
      <c r="U83" s="72">
        <v>0</v>
      </c>
    </row>
    <row r="84" spans="2:21" x14ac:dyDescent="0.3">
      <c r="B84" s="292"/>
      <c r="C84" s="9" t="s">
        <v>211</v>
      </c>
      <c r="D84" s="72">
        <v>1</v>
      </c>
      <c r="E84" s="72">
        <v>1.3112615041540399</v>
      </c>
      <c r="F84" s="73">
        <v>1</v>
      </c>
      <c r="G84" s="72">
        <v>1.2882030568965686</v>
      </c>
      <c r="H84" s="73">
        <v>1.5059082225614189</v>
      </c>
      <c r="I84" s="72">
        <v>1.3314117850983045</v>
      </c>
      <c r="J84" s="72">
        <v>1</v>
      </c>
      <c r="K84" s="72">
        <v>1.182055595392516</v>
      </c>
      <c r="L84" s="73">
        <v>1.2449352622050791</v>
      </c>
      <c r="M84" s="72">
        <v>0</v>
      </c>
      <c r="N84" s="72">
        <v>0</v>
      </c>
      <c r="O84" s="72">
        <v>1</v>
      </c>
      <c r="P84" s="72">
        <v>1.355096555523811</v>
      </c>
      <c r="Q84" s="72">
        <v>1</v>
      </c>
      <c r="R84" s="72">
        <v>0</v>
      </c>
      <c r="S84" s="72">
        <v>1</v>
      </c>
      <c r="T84" s="72">
        <v>0</v>
      </c>
      <c r="U84" s="72">
        <v>0</v>
      </c>
    </row>
    <row r="85" spans="2:21" x14ac:dyDescent="0.3">
      <c r="B85" s="292"/>
      <c r="C85" s="9" t="s">
        <v>212</v>
      </c>
      <c r="D85" s="72">
        <v>1.1577051199384991</v>
      </c>
      <c r="E85" s="72">
        <v>1.4043148460340937</v>
      </c>
      <c r="F85" s="73">
        <v>1.169531860903261</v>
      </c>
      <c r="G85" s="72">
        <v>1.4862477576602859</v>
      </c>
      <c r="H85" s="73">
        <v>1.640760323957305</v>
      </c>
      <c r="I85" s="72">
        <v>1.8222537534513468</v>
      </c>
      <c r="J85" s="72">
        <v>1.2855057829526664</v>
      </c>
      <c r="K85" s="72">
        <v>1.3169604936557837</v>
      </c>
      <c r="L85" s="73">
        <v>1.8388553832279149</v>
      </c>
      <c r="M85" s="72">
        <v>1.7896133894435371</v>
      </c>
      <c r="N85" s="72">
        <v>2.5759624201323876</v>
      </c>
      <c r="O85" s="72">
        <v>1.1585060023812919</v>
      </c>
      <c r="P85" s="72">
        <v>1.4145454432004221</v>
      </c>
      <c r="Q85" s="72">
        <v>1.4331953027348041</v>
      </c>
      <c r="R85" s="72">
        <v>2</v>
      </c>
      <c r="S85" s="72">
        <v>1.0885419072503086</v>
      </c>
      <c r="T85" s="72">
        <v>2.7851337640773823</v>
      </c>
      <c r="U85" s="72">
        <v>1.5126226557294795</v>
      </c>
    </row>
    <row r="86" spans="2:21" x14ac:dyDescent="0.3">
      <c r="B86" s="292"/>
      <c r="C86" s="9" t="s">
        <v>213</v>
      </c>
      <c r="D86" s="72">
        <v>1.1746993185849564</v>
      </c>
      <c r="E86" s="72">
        <v>1.2709625136728073</v>
      </c>
      <c r="F86" s="73">
        <v>1.3977884451956204</v>
      </c>
      <c r="G86" s="72">
        <v>1.3567677850333495</v>
      </c>
      <c r="H86" s="73">
        <v>2.0629863942236581</v>
      </c>
      <c r="I86" s="72">
        <v>1.8994237765294546</v>
      </c>
      <c r="J86" s="72">
        <v>1.4298009501475537</v>
      </c>
      <c r="K86" s="72">
        <v>1.4350460282003474</v>
      </c>
      <c r="L86" s="73">
        <v>1.0770399122979122</v>
      </c>
      <c r="M86" s="72">
        <v>1.8072651189558593</v>
      </c>
      <c r="N86" s="72">
        <v>1.2861747036522182</v>
      </c>
      <c r="O86" s="72">
        <v>1.427992972066769</v>
      </c>
      <c r="P86" s="72">
        <v>1.4188092286615135</v>
      </c>
      <c r="Q86" s="72">
        <v>1.5234933941038658</v>
      </c>
      <c r="R86" s="72">
        <v>1</v>
      </c>
      <c r="S86" s="72">
        <v>1.460797258860097</v>
      </c>
      <c r="T86" s="72">
        <v>4.0508708484186444</v>
      </c>
      <c r="U86" s="72">
        <v>1</v>
      </c>
    </row>
    <row r="87" spans="2:21" x14ac:dyDescent="0.3">
      <c r="B87" s="292"/>
      <c r="C87" s="9" t="s">
        <v>214</v>
      </c>
      <c r="D87" s="72">
        <v>1</v>
      </c>
      <c r="E87" s="72">
        <v>1.4055324919705041</v>
      </c>
      <c r="F87" s="73">
        <v>1.6740526501899951</v>
      </c>
      <c r="G87" s="72">
        <v>1</v>
      </c>
      <c r="H87" s="73">
        <v>1.5853267380000866</v>
      </c>
      <c r="I87" s="72">
        <v>1.3204487644662048</v>
      </c>
      <c r="J87" s="72">
        <v>1.8267157004330177</v>
      </c>
      <c r="K87" s="72">
        <v>1.398476340378441</v>
      </c>
      <c r="L87" s="73">
        <v>1</v>
      </c>
      <c r="M87" s="72">
        <v>1.4894312832832968</v>
      </c>
      <c r="N87" s="72">
        <v>1.2956947699348962</v>
      </c>
      <c r="O87" s="72">
        <v>1.6474426821364054</v>
      </c>
      <c r="P87" s="72">
        <v>1.45452817686369</v>
      </c>
      <c r="Q87" s="72">
        <v>1</v>
      </c>
      <c r="R87" s="72">
        <v>1</v>
      </c>
      <c r="S87" s="72">
        <v>1</v>
      </c>
      <c r="T87" s="72">
        <v>3.1057619495181656</v>
      </c>
      <c r="U87" s="72">
        <v>0</v>
      </c>
    </row>
    <row r="88" spans="2:21" x14ac:dyDescent="0.3">
      <c r="B88" s="292"/>
      <c r="C88" s="12" t="s">
        <v>215</v>
      </c>
      <c r="D88" s="76">
        <v>0</v>
      </c>
      <c r="E88" s="76">
        <v>1</v>
      </c>
      <c r="F88" s="77">
        <v>3</v>
      </c>
      <c r="G88" s="76">
        <v>1.1865394811543142</v>
      </c>
      <c r="H88" s="77">
        <v>1.4950660901236332</v>
      </c>
      <c r="I88" s="76">
        <v>1.4618361212378148</v>
      </c>
      <c r="J88" s="76">
        <v>1</v>
      </c>
      <c r="K88" s="76">
        <v>2.8</v>
      </c>
      <c r="L88" s="77">
        <v>1</v>
      </c>
      <c r="M88" s="76">
        <v>1.3715201521205118</v>
      </c>
      <c r="N88" s="76">
        <v>1</v>
      </c>
      <c r="O88" s="76">
        <v>0</v>
      </c>
      <c r="P88" s="76">
        <v>1.6373364715560483</v>
      </c>
      <c r="Q88" s="76">
        <v>1</v>
      </c>
      <c r="R88" s="76">
        <v>0</v>
      </c>
      <c r="S88" s="76">
        <v>0</v>
      </c>
      <c r="T88" s="76">
        <v>1.6838963031001353</v>
      </c>
      <c r="U88" s="76">
        <v>0</v>
      </c>
    </row>
    <row r="89" spans="2:21" x14ac:dyDescent="0.3">
      <c r="B89" s="292"/>
      <c r="C89" s="9" t="s">
        <v>216</v>
      </c>
      <c r="D89" s="72">
        <v>4</v>
      </c>
      <c r="E89" s="72">
        <v>0</v>
      </c>
      <c r="F89" s="73">
        <v>0</v>
      </c>
      <c r="G89" s="72">
        <v>4</v>
      </c>
      <c r="H89" s="73">
        <v>0</v>
      </c>
      <c r="I89" s="72">
        <v>1</v>
      </c>
      <c r="J89" s="72">
        <v>0</v>
      </c>
      <c r="K89" s="72">
        <v>0</v>
      </c>
      <c r="L89" s="73">
        <v>4.2340485366773404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</row>
    <row r="90" spans="2:21" x14ac:dyDescent="0.3">
      <c r="B90" s="292"/>
      <c r="C90" s="9" t="s">
        <v>217</v>
      </c>
      <c r="D90" s="72">
        <v>0</v>
      </c>
      <c r="E90" s="72">
        <v>1</v>
      </c>
      <c r="F90" s="73">
        <v>1</v>
      </c>
      <c r="G90" s="72">
        <v>1</v>
      </c>
      <c r="H90" s="73">
        <v>1</v>
      </c>
      <c r="I90" s="72">
        <v>1.3499423942523767</v>
      </c>
      <c r="J90" s="72">
        <v>2.0744959509005407</v>
      </c>
      <c r="K90" s="72">
        <v>1.5845691910365216</v>
      </c>
      <c r="L90" s="73">
        <v>0</v>
      </c>
      <c r="M90" s="72">
        <v>0</v>
      </c>
      <c r="N90" s="72">
        <v>1.9163169749871203</v>
      </c>
      <c r="O90" s="72">
        <v>0</v>
      </c>
      <c r="P90" s="72">
        <v>1.4719599339703411</v>
      </c>
      <c r="Q90" s="72">
        <v>2</v>
      </c>
      <c r="R90" s="72">
        <v>0</v>
      </c>
      <c r="S90" s="72">
        <v>1</v>
      </c>
      <c r="T90" s="72">
        <v>3.9998449366768574</v>
      </c>
      <c r="U90" s="72">
        <v>2</v>
      </c>
    </row>
    <row r="91" spans="2:21" x14ac:dyDescent="0.3">
      <c r="B91" s="292"/>
      <c r="C91" s="9" t="s">
        <v>218</v>
      </c>
      <c r="D91" s="72">
        <v>1.7206532668806296</v>
      </c>
      <c r="E91" s="72">
        <v>1.2976057236495799</v>
      </c>
      <c r="F91" s="73">
        <v>1.5998816863161991</v>
      </c>
      <c r="G91" s="72">
        <v>1</v>
      </c>
      <c r="H91" s="73">
        <v>2.4734527069046974</v>
      </c>
      <c r="I91" s="72">
        <v>2.1301306189944378</v>
      </c>
      <c r="J91" s="72">
        <v>1.3603261627574619</v>
      </c>
      <c r="K91" s="72">
        <v>1.3375419987349155</v>
      </c>
      <c r="L91" s="73">
        <v>1.1073618160171381</v>
      </c>
      <c r="M91" s="72">
        <v>1.7557936426598726</v>
      </c>
      <c r="N91" s="72">
        <v>1.6350720293938426</v>
      </c>
      <c r="O91" s="72">
        <v>1.1275728601977202</v>
      </c>
      <c r="P91" s="72">
        <v>1.2667752420076408</v>
      </c>
      <c r="Q91" s="72">
        <v>1.8799382378837546</v>
      </c>
      <c r="R91" s="72">
        <v>1.5211955656220433</v>
      </c>
      <c r="S91" s="72">
        <v>1.1591117342860608</v>
      </c>
      <c r="T91" s="72">
        <v>3.2456994143544819</v>
      </c>
      <c r="U91" s="72">
        <v>3.6424024304567699</v>
      </c>
    </row>
    <row r="92" spans="2:21" x14ac:dyDescent="0.3">
      <c r="B92" s="292"/>
      <c r="C92" s="9" t="s">
        <v>219</v>
      </c>
      <c r="D92" s="72">
        <v>1.4562440904089984</v>
      </c>
      <c r="E92" s="72">
        <v>1.4034605923719927</v>
      </c>
      <c r="F92" s="73">
        <v>1.4716431766572746</v>
      </c>
      <c r="G92" s="72">
        <v>1</v>
      </c>
      <c r="H92" s="73">
        <v>1.4503856251988603</v>
      </c>
      <c r="I92" s="72">
        <v>2.0327274328742271</v>
      </c>
      <c r="J92" s="72">
        <v>1.2694823779353377</v>
      </c>
      <c r="K92" s="72">
        <v>1.2069952601350946</v>
      </c>
      <c r="L92" s="73">
        <v>1.6324087450698006</v>
      </c>
      <c r="M92" s="72">
        <v>2.0722600275937699</v>
      </c>
      <c r="N92" s="72">
        <v>1.4638024645405385</v>
      </c>
      <c r="O92" s="72">
        <v>1.152776009482305</v>
      </c>
      <c r="P92" s="72">
        <v>1.3613550990249843</v>
      </c>
      <c r="Q92" s="72">
        <v>1.452217452923132</v>
      </c>
      <c r="R92" s="72">
        <v>1</v>
      </c>
      <c r="S92" s="72">
        <v>1.161796724018169</v>
      </c>
      <c r="T92" s="72">
        <v>2.7150037141580983</v>
      </c>
      <c r="U92" s="72">
        <v>1</v>
      </c>
    </row>
    <row r="93" spans="2:21" x14ac:dyDescent="0.3">
      <c r="B93" s="292"/>
      <c r="C93" s="9" t="s">
        <v>220</v>
      </c>
      <c r="D93" s="72">
        <v>1.3506478714857653</v>
      </c>
      <c r="E93" s="72">
        <v>1.6465662963888532</v>
      </c>
      <c r="F93" s="73">
        <v>2</v>
      </c>
      <c r="G93" s="72">
        <v>0</v>
      </c>
      <c r="H93" s="73">
        <v>3.8070120298436314</v>
      </c>
      <c r="I93" s="72">
        <v>2.450600479322901</v>
      </c>
      <c r="J93" s="72">
        <v>1.4669356275758145</v>
      </c>
      <c r="K93" s="72">
        <v>1.522482698478526</v>
      </c>
      <c r="L93" s="73">
        <v>1.681996889422728</v>
      </c>
      <c r="M93" s="72">
        <v>2.3423117372459221</v>
      </c>
      <c r="N93" s="72">
        <v>1.1365179604044382</v>
      </c>
      <c r="O93" s="72">
        <v>0</v>
      </c>
      <c r="P93" s="72">
        <v>1</v>
      </c>
      <c r="Q93" s="72">
        <v>1</v>
      </c>
      <c r="R93" s="72">
        <v>0</v>
      </c>
      <c r="S93" s="72">
        <v>0</v>
      </c>
      <c r="T93" s="72">
        <v>2.4271896275062383</v>
      </c>
      <c r="U93" s="72">
        <v>0</v>
      </c>
    </row>
    <row r="94" spans="2:21" x14ac:dyDescent="0.3">
      <c r="B94" s="295"/>
      <c r="C94" s="9" t="s">
        <v>221</v>
      </c>
      <c r="D94" s="76">
        <v>1.2422132075723484</v>
      </c>
      <c r="E94" s="76">
        <v>1.586759096034603</v>
      </c>
      <c r="F94" s="77">
        <v>1.5150692735159874</v>
      </c>
      <c r="G94" s="76">
        <v>0</v>
      </c>
      <c r="H94" s="77">
        <v>1.4344027211202732</v>
      </c>
      <c r="I94" s="76">
        <v>1.8781757638990075</v>
      </c>
      <c r="J94" s="76">
        <v>3</v>
      </c>
      <c r="K94" s="76">
        <v>1.4306256148565406</v>
      </c>
      <c r="L94" s="77">
        <v>1.6242625726453779</v>
      </c>
      <c r="M94" s="76">
        <v>2.1841602347329401</v>
      </c>
      <c r="N94" s="76">
        <v>1</v>
      </c>
      <c r="O94" s="76">
        <v>2.26409933981884</v>
      </c>
      <c r="P94" s="76">
        <v>1.1967065316435428</v>
      </c>
      <c r="Q94" s="76">
        <v>1.750831703720362</v>
      </c>
      <c r="R94" s="76">
        <v>0</v>
      </c>
      <c r="S94" s="76">
        <v>1.4213664466062801</v>
      </c>
      <c r="T94" s="76">
        <v>2.3443573851968105</v>
      </c>
      <c r="U94" s="76">
        <v>1</v>
      </c>
    </row>
    <row r="95" spans="2:21" ht="16.5" customHeight="1" x14ac:dyDescent="0.3">
      <c r="B95" s="291" t="s">
        <v>222</v>
      </c>
      <c r="C95" s="13" t="s">
        <v>226</v>
      </c>
      <c r="D95" s="74">
        <v>2.3173638300881407</v>
      </c>
      <c r="E95" s="74">
        <v>1.4303535623568964</v>
      </c>
      <c r="F95" s="74">
        <v>1.9788272675374274</v>
      </c>
      <c r="G95" s="74">
        <v>1.469554227724718</v>
      </c>
      <c r="H95" s="74">
        <v>2.0044393141039603</v>
      </c>
      <c r="I95" s="74">
        <v>2.0383188042873068</v>
      </c>
      <c r="J95" s="74">
        <v>1</v>
      </c>
      <c r="K95" s="74">
        <v>1.6883571941887996</v>
      </c>
      <c r="L95" s="74">
        <v>1.3934485710591835</v>
      </c>
      <c r="M95" s="74">
        <v>2.0358246420072605</v>
      </c>
      <c r="N95" s="74">
        <v>1.6506847153253288</v>
      </c>
      <c r="O95" s="74">
        <v>1.3706242473244872</v>
      </c>
      <c r="P95" s="74">
        <v>1.5839663537229418</v>
      </c>
      <c r="Q95" s="74">
        <v>1.3704421765553747</v>
      </c>
      <c r="R95" s="74">
        <v>1</v>
      </c>
      <c r="S95" s="74">
        <v>1</v>
      </c>
      <c r="T95" s="74">
        <v>1.8249717004479835</v>
      </c>
      <c r="U95" s="74">
        <v>1</v>
      </c>
    </row>
    <row r="96" spans="2:21" x14ac:dyDescent="0.3">
      <c r="B96" s="294"/>
      <c r="C96" s="9" t="s">
        <v>227</v>
      </c>
      <c r="D96" s="72">
        <v>1.4347705077917605</v>
      </c>
      <c r="E96" s="72">
        <v>1.3142996669637412</v>
      </c>
      <c r="F96" s="72">
        <v>1.1126569003192672</v>
      </c>
      <c r="G96" s="72">
        <v>1.4888745963028507</v>
      </c>
      <c r="H96" s="72">
        <v>1.9242561189065168</v>
      </c>
      <c r="I96" s="72">
        <v>1.9776003651163017</v>
      </c>
      <c r="J96" s="72">
        <v>1.2274398185732451</v>
      </c>
      <c r="K96" s="72">
        <v>1.3054681782055324</v>
      </c>
      <c r="L96" s="72">
        <v>1.3524748280351873</v>
      </c>
      <c r="M96" s="72">
        <v>1.9074946141748588</v>
      </c>
      <c r="N96" s="72">
        <v>1.4314530954986158</v>
      </c>
      <c r="O96" s="72">
        <v>1.2382771269088719</v>
      </c>
      <c r="P96" s="72">
        <v>1.3054099098508807</v>
      </c>
      <c r="Q96" s="72">
        <v>1.4406719284805172</v>
      </c>
      <c r="R96" s="72">
        <v>1</v>
      </c>
      <c r="S96" s="72">
        <v>1.2287059135802687</v>
      </c>
      <c r="T96" s="72">
        <v>2.9206741289542149</v>
      </c>
      <c r="U96" s="72">
        <v>1.156231950354609</v>
      </c>
    </row>
    <row r="97" spans="2:51" x14ac:dyDescent="0.3">
      <c r="B97" s="292"/>
      <c r="C97" s="9" t="s">
        <v>228</v>
      </c>
      <c r="D97" s="72">
        <v>1.2762744449095342</v>
      </c>
      <c r="E97" s="72">
        <v>1.4089935491950007</v>
      </c>
      <c r="F97" s="72">
        <v>1.4225307527134627</v>
      </c>
      <c r="G97" s="72">
        <v>1.360580121128999</v>
      </c>
      <c r="H97" s="72">
        <v>1.371324111399981</v>
      </c>
      <c r="I97" s="72">
        <v>2.0219560728426353</v>
      </c>
      <c r="J97" s="72">
        <v>1.3815971422473656</v>
      </c>
      <c r="K97" s="72">
        <v>1.3977654057441584</v>
      </c>
      <c r="L97" s="72">
        <v>1.1542121680448427</v>
      </c>
      <c r="M97" s="72">
        <v>1.9208167320991212</v>
      </c>
      <c r="N97" s="72">
        <v>1.4264621663079056</v>
      </c>
      <c r="O97" s="72">
        <v>1.1529427477619916</v>
      </c>
      <c r="P97" s="72">
        <v>1.4042873340486142</v>
      </c>
      <c r="Q97" s="72">
        <v>1.5465448532411818</v>
      </c>
      <c r="R97" s="72">
        <v>1.3236765903969412</v>
      </c>
      <c r="S97" s="72">
        <v>1.1324841226494999</v>
      </c>
      <c r="T97" s="72">
        <v>3.1764910787601739</v>
      </c>
      <c r="U97" s="72">
        <v>3.450246604750467</v>
      </c>
    </row>
    <row r="98" spans="2:51" x14ac:dyDescent="0.3">
      <c r="B98" s="295"/>
      <c r="C98" s="12" t="s">
        <v>229</v>
      </c>
      <c r="D98" s="76">
        <v>1.200455600548302</v>
      </c>
      <c r="E98" s="76">
        <v>1.3593699453790911</v>
      </c>
      <c r="F98" s="76">
        <v>1.5976353341095895</v>
      </c>
      <c r="G98" s="76">
        <v>1</v>
      </c>
      <c r="H98" s="76">
        <v>1.9430731064903595</v>
      </c>
      <c r="I98" s="76">
        <v>1.8101591156684063</v>
      </c>
      <c r="J98" s="76">
        <v>1.7981038137398941</v>
      </c>
      <c r="K98" s="76">
        <v>1.1585983463879457</v>
      </c>
      <c r="L98" s="76">
        <v>1.6605272193513381</v>
      </c>
      <c r="M98" s="76">
        <v>1.8137280588244462</v>
      </c>
      <c r="N98" s="76">
        <v>1.7813376613775542</v>
      </c>
      <c r="O98" s="76">
        <v>1.4127272561140238</v>
      </c>
      <c r="P98" s="76">
        <v>1.3121473528572896</v>
      </c>
      <c r="Q98" s="76">
        <v>1.5422218093056448</v>
      </c>
      <c r="R98" s="76">
        <v>1.7506320498550914</v>
      </c>
      <c r="S98" s="76">
        <v>1.2911122795261731</v>
      </c>
      <c r="T98" s="76">
        <v>3.2594947168642237</v>
      </c>
      <c r="U98" s="76">
        <v>1.3533500892862742</v>
      </c>
    </row>
    <row r="99" spans="2:51" x14ac:dyDescent="0.3">
      <c r="B99" s="296" t="s">
        <v>199</v>
      </c>
      <c r="C99" s="13" t="s">
        <v>192</v>
      </c>
      <c r="D99" s="74">
        <v>1.3163196076158865</v>
      </c>
      <c r="E99" s="74">
        <v>1.3586147770758836</v>
      </c>
      <c r="F99" s="74">
        <v>1.3453838285503801</v>
      </c>
      <c r="G99" s="74">
        <v>1.4373344059190771</v>
      </c>
      <c r="H99" s="74">
        <v>1.6576688560180362</v>
      </c>
      <c r="I99" s="74">
        <v>1.8168968124408502</v>
      </c>
      <c r="J99" s="74">
        <v>1.4499438107103013</v>
      </c>
      <c r="K99" s="74">
        <v>1.216051026107553</v>
      </c>
      <c r="L99" s="74">
        <v>1.3216805499088999</v>
      </c>
      <c r="M99" s="74">
        <v>1.8040118027618823</v>
      </c>
      <c r="N99" s="74">
        <v>1.2910866192579824</v>
      </c>
      <c r="O99" s="74">
        <v>1.1954724537554935</v>
      </c>
      <c r="P99" s="74">
        <v>1.3112915514453949</v>
      </c>
      <c r="Q99" s="74">
        <v>1.5317595113197635</v>
      </c>
      <c r="R99" s="74">
        <v>1.5126085074911086</v>
      </c>
      <c r="S99" s="74">
        <v>1.1798907363826296</v>
      </c>
      <c r="T99" s="74">
        <v>2.8338078951209793</v>
      </c>
      <c r="U99" s="74">
        <v>1.2725068935942128</v>
      </c>
    </row>
    <row r="100" spans="2:51" ht="16.5" customHeight="1" x14ac:dyDescent="0.3">
      <c r="B100" s="292"/>
      <c r="C100" s="9" t="s">
        <v>200</v>
      </c>
      <c r="D100" s="72">
        <v>1.3288423702434049</v>
      </c>
      <c r="E100" s="72">
        <v>1.2747708251101282</v>
      </c>
      <c r="F100" s="72">
        <v>1.2279760517175178</v>
      </c>
      <c r="G100" s="72">
        <v>2</v>
      </c>
      <c r="H100" s="72">
        <v>1.5</v>
      </c>
      <c r="I100" s="72">
        <v>2.180943149975469</v>
      </c>
      <c r="J100" s="72">
        <v>1</v>
      </c>
      <c r="K100" s="72">
        <v>1.3374046139225644</v>
      </c>
      <c r="L100" s="72">
        <v>1.3565364932638346</v>
      </c>
      <c r="M100" s="72">
        <v>2.1252492297771193</v>
      </c>
      <c r="N100" s="72">
        <v>1.3914464757605585</v>
      </c>
      <c r="O100" s="72">
        <v>1</v>
      </c>
      <c r="P100" s="72">
        <v>1.3178212407769583</v>
      </c>
      <c r="Q100" s="72">
        <v>1.7932050525741812</v>
      </c>
      <c r="R100" s="72">
        <v>0</v>
      </c>
      <c r="S100" s="72">
        <v>1.38736343653008</v>
      </c>
      <c r="T100" s="72">
        <v>2.2723956338561697</v>
      </c>
      <c r="U100" s="72">
        <v>1</v>
      </c>
    </row>
    <row r="101" spans="2:51" ht="16.5" customHeight="1" x14ac:dyDescent="0.3">
      <c r="B101" s="292"/>
      <c r="C101" s="9" t="s">
        <v>201</v>
      </c>
      <c r="D101" s="72">
        <v>1.7453012591747918</v>
      </c>
      <c r="E101" s="72">
        <v>1.2138717134689394</v>
      </c>
      <c r="F101" s="72">
        <v>1.0985299196526954</v>
      </c>
      <c r="G101" s="72">
        <v>1.3171119856457352</v>
      </c>
      <c r="H101" s="72">
        <v>1.4437047186376775</v>
      </c>
      <c r="I101" s="72">
        <v>2.3368170367786552</v>
      </c>
      <c r="J101" s="72">
        <v>1.722099133922808</v>
      </c>
      <c r="K101" s="72">
        <v>1.4708510610485412</v>
      </c>
      <c r="L101" s="72">
        <v>2.1649840453318574</v>
      </c>
      <c r="M101" s="72">
        <v>1.6929161676038791</v>
      </c>
      <c r="N101" s="72">
        <v>2.8874315266370103</v>
      </c>
      <c r="O101" s="72">
        <v>1</v>
      </c>
      <c r="P101" s="72">
        <v>1.3806473838283932</v>
      </c>
      <c r="Q101" s="72">
        <v>1.5661614326688185</v>
      </c>
      <c r="R101" s="72">
        <v>1</v>
      </c>
      <c r="S101" s="72">
        <v>1.0695532922230082</v>
      </c>
      <c r="T101" s="72">
        <v>3.0965876908132093</v>
      </c>
      <c r="U101" s="72">
        <v>1.2605976417780322</v>
      </c>
    </row>
    <row r="102" spans="2:51" ht="16.5" customHeight="1" x14ac:dyDescent="0.3">
      <c r="B102" s="292"/>
      <c r="C102" s="9" t="s">
        <v>202</v>
      </c>
      <c r="D102" s="72">
        <v>1.7464797261381142</v>
      </c>
      <c r="E102" s="72">
        <v>1.4917732034609286</v>
      </c>
      <c r="F102" s="72">
        <v>1.9755953246079807</v>
      </c>
      <c r="G102" s="72">
        <v>1.1199351709485541</v>
      </c>
      <c r="H102" s="72">
        <v>2.0189402379652823</v>
      </c>
      <c r="I102" s="72">
        <v>2.174349592496017</v>
      </c>
      <c r="J102" s="72">
        <v>1.3267847534912127</v>
      </c>
      <c r="K102" s="72">
        <v>1.798276226171331</v>
      </c>
      <c r="L102" s="72">
        <v>1.4166542639782049</v>
      </c>
      <c r="M102" s="72">
        <v>2.2410571925364584</v>
      </c>
      <c r="N102" s="72">
        <v>1.539876938386316</v>
      </c>
      <c r="O102" s="72">
        <v>2.1960664046982017</v>
      </c>
      <c r="P102" s="72">
        <v>1.3075234474276558</v>
      </c>
      <c r="Q102" s="72">
        <v>1.4688302769476411</v>
      </c>
      <c r="R102" s="72">
        <v>0</v>
      </c>
      <c r="S102" s="72">
        <v>1.698222994167141</v>
      </c>
      <c r="T102" s="72">
        <v>3.9620645887438335</v>
      </c>
      <c r="U102" s="72">
        <v>0</v>
      </c>
    </row>
    <row r="103" spans="2:51" x14ac:dyDescent="0.3">
      <c r="B103" s="295"/>
      <c r="C103" s="12" t="s">
        <v>203</v>
      </c>
      <c r="D103" s="76">
        <v>1.2853317828276762</v>
      </c>
      <c r="E103" s="76">
        <v>1.4191590005951615</v>
      </c>
      <c r="F103" s="76">
        <v>1.7278126808881928</v>
      </c>
      <c r="G103" s="76">
        <v>1.6246652941734352</v>
      </c>
      <c r="H103" s="76">
        <v>2.255022957993122</v>
      </c>
      <c r="I103" s="76">
        <v>2.0106340527783213</v>
      </c>
      <c r="J103" s="76">
        <v>1.5105992300567372</v>
      </c>
      <c r="K103" s="76">
        <v>1.3249849506088363</v>
      </c>
      <c r="L103" s="76">
        <v>1.2113751712693057</v>
      </c>
      <c r="M103" s="76">
        <v>2.0231180936616675</v>
      </c>
      <c r="N103" s="76">
        <v>1.5698635045478733</v>
      </c>
      <c r="O103" s="76">
        <v>1.4874045468076558</v>
      </c>
      <c r="P103" s="76">
        <v>1.5663507973106641</v>
      </c>
      <c r="Q103" s="76">
        <v>1.3507082854651806</v>
      </c>
      <c r="R103" s="76">
        <v>1.2542897586428907</v>
      </c>
      <c r="S103" s="76">
        <v>1</v>
      </c>
      <c r="T103" s="76">
        <v>3.0717641976006207</v>
      </c>
      <c r="U103" s="76">
        <v>4.0560562302723584</v>
      </c>
    </row>
    <row r="104" spans="2:51" x14ac:dyDescent="0.3">
      <c r="B104" s="291" t="s">
        <v>204</v>
      </c>
      <c r="C104" s="13" t="s">
        <v>192</v>
      </c>
      <c r="D104" s="74">
        <v>1.3163196076158865</v>
      </c>
      <c r="E104" s="74">
        <v>1.3586147770758836</v>
      </c>
      <c r="F104" s="74">
        <v>1.3453838285503801</v>
      </c>
      <c r="G104" s="74">
        <v>1.4373344059190771</v>
      </c>
      <c r="H104" s="74">
        <v>1.6576688560180362</v>
      </c>
      <c r="I104" s="74">
        <v>1.8168968124408502</v>
      </c>
      <c r="J104" s="74">
        <v>1.4499438107103013</v>
      </c>
      <c r="K104" s="74">
        <v>1.216051026107553</v>
      </c>
      <c r="L104" s="74">
        <v>1.3216805499088999</v>
      </c>
      <c r="M104" s="74">
        <v>1.8040118027618823</v>
      </c>
      <c r="N104" s="74">
        <v>1.2910866192579824</v>
      </c>
      <c r="O104" s="74">
        <v>1.1954724537554935</v>
      </c>
      <c r="P104" s="74">
        <v>1.3112915514453949</v>
      </c>
      <c r="Q104" s="74">
        <v>1.5317595113197635</v>
      </c>
      <c r="R104" s="74">
        <v>1.5126085074911086</v>
      </c>
      <c r="S104" s="74">
        <v>1.1798907363826296</v>
      </c>
      <c r="T104" s="74">
        <v>2.8338078951209793</v>
      </c>
      <c r="U104" s="74">
        <v>1.2725068935942128</v>
      </c>
    </row>
    <row r="105" spans="2:51" x14ac:dyDescent="0.3">
      <c r="B105" s="295"/>
      <c r="C105" s="12" t="s">
        <v>193</v>
      </c>
      <c r="D105" s="76">
        <v>1.5123420088003094</v>
      </c>
      <c r="E105" s="76">
        <v>1.3813210002830187</v>
      </c>
      <c r="F105" s="76">
        <v>1.5548680194150473</v>
      </c>
      <c r="G105" s="76">
        <v>1.3627340454441546</v>
      </c>
      <c r="H105" s="76">
        <v>1.9529376474177915</v>
      </c>
      <c r="I105" s="76">
        <v>2.1365074184655386</v>
      </c>
      <c r="J105" s="76">
        <v>1.4360231397694829</v>
      </c>
      <c r="K105" s="76">
        <v>1.4895375653927341</v>
      </c>
      <c r="L105" s="76">
        <v>1.4760518605093682</v>
      </c>
      <c r="M105" s="76">
        <v>2.0032694447806874</v>
      </c>
      <c r="N105" s="76">
        <v>1.823649169483581</v>
      </c>
      <c r="O105" s="76">
        <v>1.4278196705208865</v>
      </c>
      <c r="P105" s="76">
        <v>1.4065679498910397</v>
      </c>
      <c r="Q105" s="76">
        <v>1.470760083054574</v>
      </c>
      <c r="R105" s="76">
        <v>1.2130440832087677</v>
      </c>
      <c r="S105" s="76">
        <v>1.2608318379118708</v>
      </c>
      <c r="T105" s="76">
        <v>3.2061719203400112</v>
      </c>
      <c r="U105" s="76">
        <v>2.4967852334237626</v>
      </c>
    </row>
    <row r="106" spans="2:51" x14ac:dyDescent="0.3">
      <c r="B106" s="291" t="s">
        <v>209</v>
      </c>
      <c r="C106" s="13" t="s">
        <v>205</v>
      </c>
      <c r="D106" s="74">
        <v>1</v>
      </c>
      <c r="E106" s="74">
        <v>1.420219026756246</v>
      </c>
      <c r="F106" s="74">
        <v>1.7550481322649101</v>
      </c>
      <c r="G106" s="74">
        <v>1</v>
      </c>
      <c r="H106" s="74">
        <v>1</v>
      </c>
      <c r="I106" s="74">
        <v>3.1106724220835544</v>
      </c>
      <c r="J106" s="74">
        <v>1.9155379155751517</v>
      </c>
      <c r="K106" s="74">
        <v>1</v>
      </c>
      <c r="L106" s="74">
        <v>10</v>
      </c>
      <c r="M106" s="74">
        <v>2</v>
      </c>
      <c r="N106" s="74">
        <v>10</v>
      </c>
      <c r="O106" s="74">
        <v>0</v>
      </c>
      <c r="P106" s="74">
        <v>1</v>
      </c>
      <c r="Q106" s="74">
        <v>1.5090718522652347</v>
      </c>
      <c r="R106" s="74">
        <v>0</v>
      </c>
      <c r="S106" s="74">
        <v>0</v>
      </c>
      <c r="T106" s="74">
        <v>1.7018473748508152</v>
      </c>
      <c r="U106" s="74">
        <v>1</v>
      </c>
    </row>
    <row r="107" spans="2:51" x14ac:dyDescent="0.3">
      <c r="B107" s="292"/>
      <c r="C107" s="9" t="s">
        <v>206</v>
      </c>
      <c r="D107" s="72">
        <v>1.274023861017366</v>
      </c>
      <c r="E107" s="72">
        <v>1.4318383444980971</v>
      </c>
      <c r="F107" s="72">
        <v>1.6998379280066687</v>
      </c>
      <c r="G107" s="72">
        <v>1</v>
      </c>
      <c r="H107" s="72">
        <v>2.0889603175233638</v>
      </c>
      <c r="I107" s="72">
        <v>1.3231249720808724</v>
      </c>
      <c r="J107" s="72">
        <v>1</v>
      </c>
      <c r="K107" s="72">
        <v>1</v>
      </c>
      <c r="L107" s="72">
        <v>1.2040092814464378</v>
      </c>
      <c r="M107" s="72">
        <v>1.4812123418468079</v>
      </c>
      <c r="N107" s="72">
        <v>1</v>
      </c>
      <c r="O107" s="72">
        <v>1</v>
      </c>
      <c r="P107" s="72">
        <v>1.1308802486122946</v>
      </c>
      <c r="Q107" s="72">
        <v>1.6336907971570167</v>
      </c>
      <c r="R107" s="72">
        <v>1</v>
      </c>
      <c r="S107" s="72">
        <v>1</v>
      </c>
      <c r="T107" s="72">
        <v>1.9569815374098039</v>
      </c>
      <c r="U107" s="72">
        <v>1</v>
      </c>
    </row>
    <row r="108" spans="2:51" x14ac:dyDescent="0.3">
      <c r="B108" s="292"/>
      <c r="C108" s="9" t="s">
        <v>207</v>
      </c>
      <c r="D108" s="72">
        <v>1.4501958081403952</v>
      </c>
      <c r="E108" s="72">
        <v>1.219391567956265</v>
      </c>
      <c r="F108" s="72">
        <v>1.3464984866177254</v>
      </c>
      <c r="G108" s="72">
        <v>1.3799233199447161</v>
      </c>
      <c r="H108" s="72">
        <v>1.5069026768391311</v>
      </c>
      <c r="I108" s="72">
        <v>1.7854865117749834</v>
      </c>
      <c r="J108" s="72">
        <v>1.2625660475729552</v>
      </c>
      <c r="K108" s="72">
        <v>1.3461181040453254</v>
      </c>
      <c r="L108" s="72">
        <v>1.1821062017501061</v>
      </c>
      <c r="M108" s="72">
        <v>1.7898570639328759</v>
      </c>
      <c r="N108" s="72">
        <v>1.3793585014057874</v>
      </c>
      <c r="O108" s="72">
        <v>1.255837563593067</v>
      </c>
      <c r="P108" s="72">
        <v>1.4744395877066032</v>
      </c>
      <c r="Q108" s="72">
        <v>1.4562471278273221</v>
      </c>
      <c r="R108" s="72">
        <v>1.2658625212483745</v>
      </c>
      <c r="S108" s="72">
        <v>1</v>
      </c>
      <c r="T108" s="72">
        <v>2.9172659312426275</v>
      </c>
      <c r="U108" s="72">
        <v>1.2413729759567638</v>
      </c>
    </row>
    <row r="109" spans="2:51" x14ac:dyDescent="0.3">
      <c r="B109" s="293"/>
      <c r="C109" s="25" t="s">
        <v>208</v>
      </c>
      <c r="D109" s="78">
        <v>1.4452439420953103</v>
      </c>
      <c r="E109" s="78">
        <v>1.5469950602812359</v>
      </c>
      <c r="F109" s="78">
        <v>1.4925118548135579</v>
      </c>
      <c r="G109" s="78">
        <v>1.6136992302181783</v>
      </c>
      <c r="H109" s="78">
        <v>2.0782761308107616</v>
      </c>
      <c r="I109" s="78">
        <v>2.1041114263252902</v>
      </c>
      <c r="J109" s="78">
        <v>1.6197757533095773</v>
      </c>
      <c r="K109" s="78">
        <v>1.4047060882127735</v>
      </c>
      <c r="L109" s="78">
        <v>1.5020751523074731</v>
      </c>
      <c r="M109" s="78">
        <v>2.0017088926269366</v>
      </c>
      <c r="N109" s="78">
        <v>1.4926600798489398</v>
      </c>
      <c r="O109" s="78">
        <v>1.3146456742908854</v>
      </c>
      <c r="P109" s="78">
        <v>1.3663316114504633</v>
      </c>
      <c r="Q109" s="78">
        <v>1.5249792032105942</v>
      </c>
      <c r="R109" s="78">
        <v>1.5312627769699807</v>
      </c>
      <c r="S109" s="78">
        <v>1.4449822064350721</v>
      </c>
      <c r="T109" s="78">
        <v>3.5059473581143088</v>
      </c>
      <c r="U109" s="78">
        <v>3.3174037590909848</v>
      </c>
    </row>
    <row r="110" spans="2:51" x14ac:dyDescent="0.3">
      <c r="B110" s="60"/>
      <c r="C110" s="9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</row>
    <row r="111" spans="2:51" x14ac:dyDescent="0.3">
      <c r="B111" s="60"/>
      <c r="C111" s="9"/>
      <c r="D111" s="58"/>
      <c r="E111" s="58"/>
      <c r="F111" s="65"/>
      <c r="G111" s="58"/>
      <c r="H111" s="65"/>
      <c r="I111" s="58"/>
      <c r="J111" s="58"/>
      <c r="K111" s="58"/>
      <c r="L111" s="65"/>
      <c r="M111" s="58"/>
      <c r="N111" s="58"/>
    </row>
    <row r="112" spans="2:51" ht="18.75" customHeight="1" x14ac:dyDescent="0.3">
      <c r="B112" s="1" t="s">
        <v>135</v>
      </c>
      <c r="F112" s="304"/>
      <c r="G112" s="304"/>
      <c r="H112" s="304"/>
      <c r="I112" s="304"/>
      <c r="J112" s="304"/>
      <c r="K112" s="304"/>
      <c r="L112" s="304"/>
      <c r="M112" s="304"/>
      <c r="N112" s="304"/>
      <c r="O112" s="304"/>
      <c r="P112" s="304"/>
      <c r="Q112" s="304"/>
      <c r="R112" s="304"/>
      <c r="S112" s="304"/>
      <c r="T112" s="304"/>
      <c r="U112" s="304"/>
      <c r="V112" s="304"/>
      <c r="W112" s="304"/>
      <c r="X112" s="304"/>
      <c r="Y112" s="304"/>
      <c r="Z112" s="304"/>
      <c r="AA112" s="304"/>
      <c r="AB112" s="304"/>
      <c r="AC112" s="304"/>
      <c r="AD112" s="304"/>
      <c r="AE112" s="304"/>
      <c r="AF112" s="304"/>
      <c r="AG112" s="304"/>
      <c r="AH112" s="304"/>
      <c r="AI112" s="304"/>
      <c r="AJ112" s="304"/>
      <c r="AK112" s="304"/>
      <c r="AL112" s="304"/>
      <c r="AM112" s="304"/>
      <c r="AN112" s="304"/>
      <c r="AO112" s="304"/>
      <c r="AP112" s="304"/>
      <c r="AQ112" s="304"/>
      <c r="AR112" s="304"/>
      <c r="AS112" s="304"/>
      <c r="AT112" s="304"/>
      <c r="AU112" s="304"/>
      <c r="AV112" s="304"/>
      <c r="AW112" s="304"/>
      <c r="AX112" s="304"/>
      <c r="AY112" s="304"/>
    </row>
    <row r="113" spans="2:21" ht="13.5" customHeight="1" x14ac:dyDescent="0.3">
      <c r="M113" s="30"/>
      <c r="N113" s="30"/>
      <c r="O113" s="30"/>
      <c r="P113" s="30"/>
      <c r="Q113" s="30"/>
      <c r="R113" s="30"/>
      <c r="S113" s="30"/>
      <c r="T113" s="30"/>
      <c r="U113" s="30" t="s">
        <v>225</v>
      </c>
    </row>
    <row r="114" spans="2:21" ht="28.5" customHeight="1" x14ac:dyDescent="0.3">
      <c r="B114" s="305"/>
      <c r="C114" s="306"/>
      <c r="D114" s="226" t="s">
        <v>35</v>
      </c>
      <c r="E114" s="226" t="s">
        <v>36</v>
      </c>
      <c r="F114" s="226" t="s">
        <v>16</v>
      </c>
      <c r="G114" s="226" t="s">
        <v>81</v>
      </c>
      <c r="H114" s="226" t="s">
        <v>82</v>
      </c>
      <c r="I114" s="226" t="s">
        <v>238</v>
      </c>
      <c r="J114" s="226" t="s">
        <v>284</v>
      </c>
      <c r="K114" s="226" t="s">
        <v>285</v>
      </c>
      <c r="L114" s="226" t="s">
        <v>15</v>
      </c>
      <c r="M114" s="226" t="s">
        <v>288</v>
      </c>
      <c r="N114" s="227" t="s">
        <v>17</v>
      </c>
      <c r="O114" s="227" t="s">
        <v>65</v>
      </c>
      <c r="P114" s="227" t="s">
        <v>19</v>
      </c>
      <c r="Q114" s="227" t="s">
        <v>66</v>
      </c>
      <c r="R114" s="227" t="s">
        <v>68</v>
      </c>
      <c r="S114" s="227" t="s">
        <v>67</v>
      </c>
      <c r="T114" s="227" t="s">
        <v>108</v>
      </c>
      <c r="U114" s="227" t="s">
        <v>12</v>
      </c>
    </row>
    <row r="115" spans="2:21" x14ac:dyDescent="0.3">
      <c r="B115" s="292" t="s">
        <v>20</v>
      </c>
      <c r="C115" s="292"/>
      <c r="D115" s="86">
        <v>16.365993802968653</v>
      </c>
      <c r="E115" s="86">
        <v>17.009201785935812</v>
      </c>
      <c r="F115" s="88">
        <v>9.3201681183378735</v>
      </c>
      <c r="G115" s="86">
        <v>12.845964165650425</v>
      </c>
      <c r="H115" s="88">
        <v>10.985780406679543</v>
      </c>
      <c r="I115" s="86">
        <v>6.3799429251135988</v>
      </c>
      <c r="J115" s="86">
        <v>7.2522446856984599</v>
      </c>
      <c r="K115" s="86">
        <v>6.1816416794884557</v>
      </c>
      <c r="L115" s="88">
        <v>5.2590937213254003</v>
      </c>
      <c r="M115" s="86">
        <v>5.7422718858769413</v>
      </c>
      <c r="N115" s="86">
        <v>5.3443730836662846</v>
      </c>
      <c r="O115" s="86">
        <v>5.2240137305052086</v>
      </c>
      <c r="P115" s="86">
        <v>6.929252110491646</v>
      </c>
      <c r="Q115" s="86">
        <v>7.6717294919801615</v>
      </c>
      <c r="R115" s="86">
        <v>14.713140489556753</v>
      </c>
      <c r="S115" s="86">
        <v>5.6597398830913637</v>
      </c>
      <c r="T115" s="86">
        <v>4.503315556944707</v>
      </c>
      <c r="U115" s="86">
        <v>4.9028405015382699</v>
      </c>
    </row>
    <row r="116" spans="2:21" x14ac:dyDescent="0.3">
      <c r="B116" s="296" t="s">
        <v>5</v>
      </c>
      <c r="C116" s="13" t="s">
        <v>0</v>
      </c>
      <c r="D116" s="84">
        <v>15.32076563775574</v>
      </c>
      <c r="E116" s="84">
        <v>20.146635010391471</v>
      </c>
      <c r="F116" s="89">
        <v>8.0172090865632484</v>
      </c>
      <c r="G116" s="84">
        <v>11.89063865936164</v>
      </c>
      <c r="H116" s="89">
        <v>7.4331553926167766</v>
      </c>
      <c r="I116" s="84">
        <v>7.2522549692054641</v>
      </c>
      <c r="J116" s="84">
        <v>8.1022615238308422</v>
      </c>
      <c r="K116" s="84">
        <v>6.7888701316673723</v>
      </c>
      <c r="L116" s="89">
        <v>4.5188345574907158</v>
      </c>
      <c r="M116" s="84">
        <v>6.0320627190399021</v>
      </c>
      <c r="N116" s="84">
        <v>5.7241730563802324</v>
      </c>
      <c r="O116" s="84">
        <v>6.3185733896765832</v>
      </c>
      <c r="P116" s="84">
        <v>8.3857360136011696</v>
      </c>
      <c r="Q116" s="84">
        <v>7.0037365671646379</v>
      </c>
      <c r="R116" s="84">
        <v>22.900685806466729</v>
      </c>
      <c r="S116" s="84">
        <v>5.901052049699369</v>
      </c>
      <c r="T116" s="84">
        <v>5.1440080624035156</v>
      </c>
      <c r="U116" s="84">
        <v>3.4312270844161827</v>
      </c>
    </row>
    <row r="117" spans="2:21" x14ac:dyDescent="0.3">
      <c r="B117" s="295"/>
      <c r="C117" s="12" t="s">
        <v>1</v>
      </c>
      <c r="D117" s="90">
        <v>17.018951571713952</v>
      </c>
      <c r="E117" s="90">
        <v>14.179827870598887</v>
      </c>
      <c r="F117" s="90">
        <v>10.873935793517981</v>
      </c>
      <c r="G117" s="90">
        <v>15.682559633653353</v>
      </c>
      <c r="H117" s="90">
        <v>15.951442031471741</v>
      </c>
      <c r="I117" s="90">
        <v>5.8861851861341723</v>
      </c>
      <c r="J117" s="90">
        <v>6.4464590837910549</v>
      </c>
      <c r="K117" s="90">
        <v>5.6882137840975222</v>
      </c>
      <c r="L117" s="90">
        <v>5.9450085904627992</v>
      </c>
      <c r="M117" s="90">
        <v>5.573127871342149</v>
      </c>
      <c r="N117" s="90">
        <v>5.151084161898055</v>
      </c>
      <c r="O117" s="90">
        <v>4.2774594103658208</v>
      </c>
      <c r="P117" s="90">
        <v>5.9945786409139146</v>
      </c>
      <c r="Q117" s="90">
        <v>7.9979629112048505</v>
      </c>
      <c r="R117" s="90">
        <v>11.09533612881461</v>
      </c>
      <c r="S117" s="90">
        <v>5.4072284346224544</v>
      </c>
      <c r="T117" s="90">
        <v>4.1130502343018556</v>
      </c>
      <c r="U117" s="90">
        <v>5.8759609607481158</v>
      </c>
    </row>
    <row r="118" spans="2:21" x14ac:dyDescent="0.3">
      <c r="B118" s="296" t="s">
        <v>4</v>
      </c>
      <c r="C118" s="9" t="s">
        <v>175</v>
      </c>
      <c r="D118" s="86">
        <v>50</v>
      </c>
      <c r="E118" s="86">
        <v>0</v>
      </c>
      <c r="F118" s="88">
        <v>0</v>
      </c>
      <c r="G118" s="86">
        <v>20</v>
      </c>
      <c r="H118" s="88">
        <v>0</v>
      </c>
      <c r="I118" s="86">
        <v>4.4107059024958719</v>
      </c>
      <c r="J118" s="86">
        <v>0</v>
      </c>
      <c r="K118" s="86">
        <v>0</v>
      </c>
      <c r="L118" s="88">
        <v>21.553218415048033</v>
      </c>
      <c r="M118" s="86">
        <v>0</v>
      </c>
      <c r="N118" s="86">
        <v>0</v>
      </c>
      <c r="O118" s="86">
        <v>0</v>
      </c>
      <c r="P118" s="86">
        <v>0</v>
      </c>
      <c r="Q118" s="86">
        <v>0</v>
      </c>
      <c r="R118" s="86">
        <v>0</v>
      </c>
      <c r="S118" s="86">
        <v>0</v>
      </c>
      <c r="T118" s="86">
        <v>0</v>
      </c>
      <c r="U118" s="86">
        <v>0</v>
      </c>
    </row>
    <row r="119" spans="2:21" x14ac:dyDescent="0.3">
      <c r="B119" s="292"/>
      <c r="C119" s="9" t="s">
        <v>176</v>
      </c>
      <c r="D119" s="86">
        <v>5</v>
      </c>
      <c r="E119" s="86">
        <v>11.746040230356641</v>
      </c>
      <c r="F119" s="88">
        <v>16.480902916068938</v>
      </c>
      <c r="G119" s="86">
        <v>8.1862517144428697</v>
      </c>
      <c r="H119" s="88">
        <v>70.180643353460866</v>
      </c>
      <c r="I119" s="86">
        <v>4.5284247945434073</v>
      </c>
      <c r="J119" s="86">
        <v>6.0386641781795953</v>
      </c>
      <c r="K119" s="86">
        <v>6.2689548643679212</v>
      </c>
      <c r="L119" s="88">
        <v>3.2212347920310291</v>
      </c>
      <c r="M119" s="86">
        <v>0</v>
      </c>
      <c r="N119" s="86">
        <v>4.7794505149825071</v>
      </c>
      <c r="O119" s="86">
        <v>5.5</v>
      </c>
      <c r="P119" s="86">
        <v>6.6697892804407806</v>
      </c>
      <c r="Q119" s="86">
        <v>7.0223962116647556</v>
      </c>
      <c r="R119" s="86">
        <v>0</v>
      </c>
      <c r="S119" s="86">
        <v>3.4476758902379698</v>
      </c>
      <c r="T119" s="86">
        <v>3.5001938291539272</v>
      </c>
      <c r="U119" s="86">
        <v>4</v>
      </c>
    </row>
    <row r="120" spans="2:21" x14ac:dyDescent="0.3">
      <c r="B120" s="292"/>
      <c r="C120" s="9" t="s">
        <v>177</v>
      </c>
      <c r="D120" s="86">
        <v>15.516582650379409</v>
      </c>
      <c r="E120" s="86">
        <v>15.727035907250146</v>
      </c>
      <c r="F120" s="88">
        <v>9.6427427878609109</v>
      </c>
      <c r="G120" s="86">
        <v>9.4674119936821395</v>
      </c>
      <c r="H120" s="88">
        <v>6.2361902603032844</v>
      </c>
      <c r="I120" s="86">
        <v>5.9026951797010101</v>
      </c>
      <c r="J120" s="86">
        <v>7.0247531268232555</v>
      </c>
      <c r="K120" s="86">
        <v>6.3120323481624476</v>
      </c>
      <c r="L120" s="88">
        <v>3.5186818042525703</v>
      </c>
      <c r="M120" s="86">
        <v>4.7561371515169411</v>
      </c>
      <c r="N120" s="86">
        <v>5.7680002514787754</v>
      </c>
      <c r="O120" s="86">
        <v>5.1773669649248912</v>
      </c>
      <c r="P120" s="86">
        <v>8.0387242395593859</v>
      </c>
      <c r="Q120" s="86">
        <v>6.4303250569341062</v>
      </c>
      <c r="R120" s="86">
        <v>15.181309043337041</v>
      </c>
      <c r="S120" s="86">
        <v>6.2548447382773169</v>
      </c>
      <c r="T120" s="86">
        <v>5.3464855583637743</v>
      </c>
      <c r="U120" s="86">
        <v>7.1357392949728329</v>
      </c>
    </row>
    <row r="121" spans="2:21" x14ac:dyDescent="0.3">
      <c r="B121" s="292"/>
      <c r="C121" s="9" t="s">
        <v>178</v>
      </c>
      <c r="D121" s="86">
        <v>17.577017422360846</v>
      </c>
      <c r="E121" s="86">
        <v>17.88242237112005</v>
      </c>
      <c r="F121" s="88">
        <v>7.392073548688832</v>
      </c>
      <c r="G121" s="86">
        <v>12.60719335514171</v>
      </c>
      <c r="H121" s="88">
        <v>6.4293052726925897</v>
      </c>
      <c r="I121" s="86">
        <v>6.3880125127514242</v>
      </c>
      <c r="J121" s="86">
        <v>5.3092900281789976</v>
      </c>
      <c r="K121" s="86">
        <v>5.2719803639528315</v>
      </c>
      <c r="L121" s="88">
        <v>4.6502038036088091</v>
      </c>
      <c r="M121" s="86">
        <v>5.8041040877484873</v>
      </c>
      <c r="N121" s="86">
        <v>4.9294249733106028</v>
      </c>
      <c r="O121" s="86">
        <v>5.2196701164528108</v>
      </c>
      <c r="P121" s="86">
        <v>5.5289868326140725</v>
      </c>
      <c r="Q121" s="86">
        <v>8.1362623256363698</v>
      </c>
      <c r="R121" s="86">
        <v>16.63392000398661</v>
      </c>
      <c r="S121" s="86">
        <v>5.499497551127063</v>
      </c>
      <c r="T121" s="86">
        <v>4.0874102026654322</v>
      </c>
      <c r="U121" s="86">
        <v>1.6300001797042141</v>
      </c>
    </row>
    <row r="122" spans="2:21" x14ac:dyDescent="0.3">
      <c r="B122" s="292"/>
      <c r="C122" s="9" t="s">
        <v>179</v>
      </c>
      <c r="D122" s="86">
        <v>9.575823723491224</v>
      </c>
      <c r="E122" s="86">
        <v>17.700250103912715</v>
      </c>
      <c r="F122" s="88">
        <v>8.8370875249120822</v>
      </c>
      <c r="G122" s="86">
        <v>89</v>
      </c>
      <c r="H122" s="88">
        <v>9.0438620606582809</v>
      </c>
      <c r="I122" s="86">
        <v>7.9292463041750727</v>
      </c>
      <c r="J122" s="86">
        <v>11.834604768604608</v>
      </c>
      <c r="K122" s="86">
        <v>12.206069395072374</v>
      </c>
      <c r="L122" s="88">
        <v>10.81910374462508</v>
      </c>
      <c r="M122" s="86">
        <v>6.0631987059466148</v>
      </c>
      <c r="N122" s="86">
        <v>6.4206075963728795</v>
      </c>
      <c r="O122" s="86">
        <v>5.4500479884836448</v>
      </c>
      <c r="P122" s="86">
        <v>9.4435420508805805</v>
      </c>
      <c r="Q122" s="86">
        <v>6.9376471378628555</v>
      </c>
      <c r="R122" s="86">
        <v>6</v>
      </c>
      <c r="S122" s="86">
        <v>4.74367342810827</v>
      </c>
      <c r="T122" s="86">
        <v>3.6308755341547729</v>
      </c>
      <c r="U122" s="86">
        <v>0</v>
      </c>
    </row>
    <row r="123" spans="2:21" x14ac:dyDescent="0.3">
      <c r="B123" s="298"/>
      <c r="C123" s="12" t="s">
        <v>180</v>
      </c>
      <c r="D123" s="90">
        <v>12.475222088639564</v>
      </c>
      <c r="E123" s="90">
        <v>18.625026826375809</v>
      </c>
      <c r="F123" s="91">
        <v>14.879245702412678</v>
      </c>
      <c r="G123" s="90">
        <v>12.655491561870061</v>
      </c>
      <c r="H123" s="91">
        <v>7.5165531689442027</v>
      </c>
      <c r="I123" s="90">
        <v>7.8827202513903156</v>
      </c>
      <c r="J123" s="90">
        <v>10.597552986465121</v>
      </c>
      <c r="K123" s="90">
        <v>6.3058629718449373</v>
      </c>
      <c r="L123" s="91">
        <v>6.4794602509394412</v>
      </c>
      <c r="M123" s="90">
        <v>12.127540555125199</v>
      </c>
      <c r="N123" s="90">
        <v>4.563951589587206</v>
      </c>
      <c r="O123" s="90">
        <v>5.0816147961533806</v>
      </c>
      <c r="P123" s="90">
        <v>7.1865041533099019</v>
      </c>
      <c r="Q123" s="90">
        <v>10.928053456543944</v>
      </c>
      <c r="R123" s="90">
        <v>0</v>
      </c>
      <c r="S123" s="90">
        <v>5.3961490097282603</v>
      </c>
      <c r="T123" s="90">
        <v>3.8640285801357543</v>
      </c>
      <c r="U123" s="90">
        <v>3.3921129532856078</v>
      </c>
    </row>
    <row r="124" spans="2:21" x14ac:dyDescent="0.3">
      <c r="B124" s="292" t="s">
        <v>223</v>
      </c>
      <c r="C124" s="9" t="s">
        <v>210</v>
      </c>
      <c r="D124" s="86">
        <v>0</v>
      </c>
      <c r="E124" s="86">
        <v>0</v>
      </c>
      <c r="F124" s="88">
        <v>0</v>
      </c>
      <c r="G124" s="86">
        <v>0</v>
      </c>
      <c r="H124" s="88">
        <v>0</v>
      </c>
      <c r="I124" s="86">
        <v>0</v>
      </c>
      <c r="J124" s="86">
        <v>0</v>
      </c>
      <c r="K124" s="86">
        <v>0</v>
      </c>
      <c r="L124" s="88">
        <v>0</v>
      </c>
      <c r="M124" s="86">
        <v>0</v>
      </c>
      <c r="N124" s="86">
        <v>0</v>
      </c>
      <c r="O124" s="86">
        <v>0</v>
      </c>
      <c r="P124" s="86">
        <v>0</v>
      </c>
      <c r="Q124" s="86">
        <v>0</v>
      </c>
      <c r="R124" s="86">
        <v>0</v>
      </c>
      <c r="S124" s="86">
        <v>0</v>
      </c>
      <c r="T124" s="86">
        <v>0</v>
      </c>
      <c r="U124" s="86">
        <v>0</v>
      </c>
    </row>
    <row r="125" spans="2:21" x14ac:dyDescent="0.3">
      <c r="B125" s="292"/>
      <c r="C125" s="9" t="s">
        <v>211</v>
      </c>
      <c r="D125" s="86">
        <v>5</v>
      </c>
      <c r="E125" s="86">
        <v>12.58285804850834</v>
      </c>
      <c r="F125" s="88">
        <v>7.631141703792772</v>
      </c>
      <c r="G125" s="86">
        <v>4.961204716618016</v>
      </c>
      <c r="H125" s="88">
        <v>11.500935272434981</v>
      </c>
      <c r="I125" s="86">
        <v>5.0637824467076307</v>
      </c>
      <c r="J125" s="86">
        <v>3</v>
      </c>
      <c r="K125" s="86">
        <v>5.8856509187938979</v>
      </c>
      <c r="L125" s="88">
        <v>3.2212347920310291</v>
      </c>
      <c r="M125" s="86">
        <v>0</v>
      </c>
      <c r="N125" s="86">
        <v>0</v>
      </c>
      <c r="O125" s="86">
        <v>5.5</v>
      </c>
      <c r="P125" s="86">
        <v>5.4587409091412171</v>
      </c>
      <c r="Q125" s="86">
        <v>3.9</v>
      </c>
      <c r="R125" s="86">
        <v>0</v>
      </c>
      <c r="S125" s="86">
        <v>2</v>
      </c>
      <c r="T125" s="86">
        <v>0</v>
      </c>
      <c r="U125" s="86">
        <v>0</v>
      </c>
    </row>
    <row r="126" spans="2:21" x14ac:dyDescent="0.3">
      <c r="B126" s="292"/>
      <c r="C126" s="9" t="s">
        <v>212</v>
      </c>
      <c r="D126" s="86">
        <v>14.276740413558143</v>
      </c>
      <c r="E126" s="86">
        <v>18.500559966304184</v>
      </c>
      <c r="F126" s="88">
        <v>8.9427153604726968</v>
      </c>
      <c r="G126" s="86">
        <v>10.499270336067431</v>
      </c>
      <c r="H126" s="88">
        <v>5.8083099030198602</v>
      </c>
      <c r="I126" s="86">
        <v>7.3186077852973499</v>
      </c>
      <c r="J126" s="86">
        <v>6.8769084546500707</v>
      </c>
      <c r="K126" s="86">
        <v>7.4800698090905691</v>
      </c>
      <c r="L126" s="88">
        <v>4.0963164784401034</v>
      </c>
      <c r="M126" s="86">
        <v>5.2714577829474472</v>
      </c>
      <c r="N126" s="86">
        <v>8.2676393812357585</v>
      </c>
      <c r="O126" s="86">
        <v>6.7770535095035322</v>
      </c>
      <c r="P126" s="86">
        <v>9.3615163068243081</v>
      </c>
      <c r="Q126" s="86">
        <v>7.8952405061408388</v>
      </c>
      <c r="R126" s="86">
        <v>47.9</v>
      </c>
      <c r="S126" s="86">
        <v>7.7846856474936503</v>
      </c>
      <c r="T126" s="86">
        <v>6.0182186314386179</v>
      </c>
      <c r="U126" s="86">
        <v>4.5494211109709983</v>
      </c>
    </row>
    <row r="127" spans="2:21" x14ac:dyDescent="0.3">
      <c r="B127" s="292"/>
      <c r="C127" s="9" t="s">
        <v>213</v>
      </c>
      <c r="D127" s="86">
        <v>17.177764432731792</v>
      </c>
      <c r="E127" s="86">
        <v>21.87029576507727</v>
      </c>
      <c r="F127" s="88">
        <v>6.9361052508318641</v>
      </c>
      <c r="G127" s="86">
        <v>8.1029341010475022</v>
      </c>
      <c r="H127" s="88">
        <v>7.6901642537726014</v>
      </c>
      <c r="I127" s="86">
        <v>7.1753502268921796</v>
      </c>
      <c r="J127" s="86">
        <v>5.7003001558476152</v>
      </c>
      <c r="K127" s="86">
        <v>4.6345062656305727</v>
      </c>
      <c r="L127" s="88">
        <v>4.7057818505264235</v>
      </c>
      <c r="M127" s="86">
        <v>6.2821894272722121</v>
      </c>
      <c r="N127" s="86">
        <v>4.5391914675052139</v>
      </c>
      <c r="O127" s="86">
        <v>6.3438956173769032</v>
      </c>
      <c r="P127" s="86">
        <v>6.7783267686653508</v>
      </c>
      <c r="Q127" s="86">
        <v>6.8020792334904137</v>
      </c>
      <c r="R127" s="86">
        <v>7</v>
      </c>
      <c r="S127" s="86">
        <v>5.0986279933553913</v>
      </c>
      <c r="T127" s="86">
        <v>5.3073096667647244</v>
      </c>
      <c r="U127" s="86">
        <v>1.6053170217362485</v>
      </c>
    </row>
    <row r="128" spans="2:21" x14ac:dyDescent="0.3">
      <c r="B128" s="292"/>
      <c r="C128" s="9" t="s">
        <v>214</v>
      </c>
      <c r="D128" s="86">
        <v>8</v>
      </c>
      <c r="E128" s="86">
        <v>20.201791969663297</v>
      </c>
      <c r="F128" s="88">
        <v>8.7168550867955581</v>
      </c>
      <c r="G128" s="86">
        <v>89</v>
      </c>
      <c r="H128" s="88">
        <v>8.8319706012427037</v>
      </c>
      <c r="I128" s="86">
        <v>8.5338159596495196</v>
      </c>
      <c r="J128" s="86">
        <v>14.414685970845424</v>
      </c>
      <c r="K128" s="86">
        <v>16.422318102422526</v>
      </c>
      <c r="L128" s="88">
        <v>6.2664530969015519</v>
      </c>
      <c r="M128" s="86">
        <v>6.6950899817210923</v>
      </c>
      <c r="N128" s="86">
        <v>5.5672611912982859</v>
      </c>
      <c r="O128" s="86">
        <v>5.4500479884836448</v>
      </c>
      <c r="P128" s="86">
        <v>9.5470136616653249</v>
      </c>
      <c r="Q128" s="86">
        <v>6.8306595823447891</v>
      </c>
      <c r="R128" s="86">
        <v>6</v>
      </c>
      <c r="S128" s="86">
        <v>4.74367342810827</v>
      </c>
      <c r="T128" s="86">
        <v>2.3894390661818172</v>
      </c>
      <c r="U128" s="86">
        <v>0</v>
      </c>
    </row>
    <row r="129" spans="2:21" x14ac:dyDescent="0.3">
      <c r="B129" s="292"/>
      <c r="C129" s="12" t="s">
        <v>215</v>
      </c>
      <c r="D129" s="90">
        <v>0</v>
      </c>
      <c r="E129" s="90">
        <v>12</v>
      </c>
      <c r="F129" s="91">
        <v>20</v>
      </c>
      <c r="G129" s="90">
        <v>12.655491561870061</v>
      </c>
      <c r="H129" s="91">
        <v>8.9593744287650967</v>
      </c>
      <c r="I129" s="90">
        <v>5.9479408303515893</v>
      </c>
      <c r="J129" s="90">
        <v>6.5624135143227962</v>
      </c>
      <c r="K129" s="90">
        <v>6</v>
      </c>
      <c r="L129" s="91">
        <v>2.4721947010606802</v>
      </c>
      <c r="M129" s="90">
        <v>4.3535635850382404</v>
      </c>
      <c r="N129" s="90">
        <v>5</v>
      </c>
      <c r="O129" s="90">
        <v>0</v>
      </c>
      <c r="P129" s="90">
        <v>11.824018829336287</v>
      </c>
      <c r="Q129" s="90">
        <v>5</v>
      </c>
      <c r="R129" s="90">
        <v>0</v>
      </c>
      <c r="S129" s="90">
        <v>0</v>
      </c>
      <c r="T129" s="90">
        <v>3.930293829671375</v>
      </c>
      <c r="U129" s="90">
        <v>0</v>
      </c>
    </row>
    <row r="130" spans="2:21" x14ac:dyDescent="0.3">
      <c r="B130" s="292"/>
      <c r="C130" s="9" t="s">
        <v>216</v>
      </c>
      <c r="D130" s="86">
        <v>50</v>
      </c>
      <c r="E130" s="86">
        <v>0</v>
      </c>
      <c r="F130" s="88">
        <v>0</v>
      </c>
      <c r="G130" s="86">
        <v>20</v>
      </c>
      <c r="H130" s="88">
        <v>0</v>
      </c>
      <c r="I130" s="86">
        <v>4.4107059024958719</v>
      </c>
      <c r="J130" s="86">
        <v>0</v>
      </c>
      <c r="K130" s="86">
        <v>0</v>
      </c>
      <c r="L130" s="88">
        <v>21.553218415048033</v>
      </c>
      <c r="M130" s="86">
        <v>0</v>
      </c>
      <c r="N130" s="86">
        <v>0</v>
      </c>
      <c r="O130" s="86">
        <v>0</v>
      </c>
      <c r="P130" s="86">
        <v>0</v>
      </c>
      <c r="Q130" s="86">
        <v>0</v>
      </c>
      <c r="R130" s="86">
        <v>0</v>
      </c>
      <c r="S130" s="86">
        <v>0</v>
      </c>
      <c r="T130" s="86">
        <v>0</v>
      </c>
      <c r="U130" s="86">
        <v>0</v>
      </c>
    </row>
    <row r="131" spans="2:21" x14ac:dyDescent="0.3">
      <c r="B131" s="292"/>
      <c r="C131" s="9" t="s">
        <v>217</v>
      </c>
      <c r="D131" s="86">
        <v>0</v>
      </c>
      <c r="E131" s="86">
        <v>9.457734053258454</v>
      </c>
      <c r="F131" s="88">
        <v>40</v>
      </c>
      <c r="G131" s="86">
        <v>20</v>
      </c>
      <c r="H131" s="88">
        <v>114.99733717981221</v>
      </c>
      <c r="I131" s="86">
        <v>3.9953433050559135</v>
      </c>
      <c r="J131" s="86">
        <v>6.6828914774443495</v>
      </c>
      <c r="K131" s="86">
        <v>7.1958420394965206</v>
      </c>
      <c r="L131" s="88">
        <v>0</v>
      </c>
      <c r="M131" s="86">
        <v>0</v>
      </c>
      <c r="N131" s="86">
        <v>4.7794505149825071</v>
      </c>
      <c r="O131" s="86">
        <v>0</v>
      </c>
      <c r="P131" s="86">
        <v>7.5759030455734528</v>
      </c>
      <c r="Q131" s="86">
        <v>10</v>
      </c>
      <c r="R131" s="86">
        <v>0</v>
      </c>
      <c r="S131" s="86">
        <v>5</v>
      </c>
      <c r="T131" s="86">
        <v>3.5001938291539272</v>
      </c>
      <c r="U131" s="86">
        <v>4</v>
      </c>
    </row>
    <row r="132" spans="2:21" x14ac:dyDescent="0.3">
      <c r="B132" s="292"/>
      <c r="C132" s="9" t="s">
        <v>218</v>
      </c>
      <c r="D132" s="86">
        <v>16.260694371613628</v>
      </c>
      <c r="E132" s="86">
        <v>13.751910627267973</v>
      </c>
      <c r="F132" s="88">
        <v>10.598090849878853</v>
      </c>
      <c r="G132" s="86">
        <v>3.1344035033811095</v>
      </c>
      <c r="H132" s="88">
        <v>6.9451858319119575</v>
      </c>
      <c r="I132" s="86">
        <v>5.3546187582539622</v>
      </c>
      <c r="J132" s="86">
        <v>7.1358732667326255</v>
      </c>
      <c r="K132" s="86">
        <v>5.3373159583527112</v>
      </c>
      <c r="L132" s="88">
        <v>3.1901297787815261</v>
      </c>
      <c r="M132" s="86">
        <v>4.5489431885585088</v>
      </c>
      <c r="N132" s="86">
        <v>4.829609889636596</v>
      </c>
      <c r="O132" s="86">
        <v>3.3157648616225233</v>
      </c>
      <c r="P132" s="86">
        <v>6.845725350508582</v>
      </c>
      <c r="Q132" s="86">
        <v>5.52099658071542</v>
      </c>
      <c r="R132" s="86">
        <v>6.4501365836181428</v>
      </c>
      <c r="S132" s="86">
        <v>4.9169638600689067</v>
      </c>
      <c r="T132" s="86">
        <v>4.8912514331040375</v>
      </c>
      <c r="U132" s="86">
        <v>9.3870347554918432</v>
      </c>
    </row>
    <row r="133" spans="2:21" x14ac:dyDescent="0.3">
      <c r="B133" s="292"/>
      <c r="C133" s="9" t="s">
        <v>219</v>
      </c>
      <c r="D133" s="86">
        <v>18.020099619216143</v>
      </c>
      <c r="E133" s="86">
        <v>13.101212024023864</v>
      </c>
      <c r="F133" s="88">
        <v>7.9315997267609317</v>
      </c>
      <c r="G133" s="86">
        <v>18.78416721705619</v>
      </c>
      <c r="H133" s="88">
        <v>4.879994422167786</v>
      </c>
      <c r="I133" s="86">
        <v>5.9295612687004917</v>
      </c>
      <c r="J133" s="86">
        <v>4.9480362451083568</v>
      </c>
      <c r="K133" s="86">
        <v>5.7591316552344605</v>
      </c>
      <c r="L133" s="88">
        <v>4.5689259574081191</v>
      </c>
      <c r="M133" s="86">
        <v>5.4845628173469869</v>
      </c>
      <c r="N133" s="86">
        <v>5.1354001869594654</v>
      </c>
      <c r="O133" s="86">
        <v>4.5414145782674522</v>
      </c>
      <c r="P133" s="86">
        <v>4.9608940735934448</v>
      </c>
      <c r="Q133" s="86">
        <v>8.7528494299161661</v>
      </c>
      <c r="R133" s="86">
        <v>20</v>
      </c>
      <c r="S133" s="86">
        <v>5.9325817455543923</v>
      </c>
      <c r="T133" s="86">
        <v>3.2603794152537429</v>
      </c>
      <c r="U133" s="86">
        <v>1.657336368607043</v>
      </c>
    </row>
    <row r="134" spans="2:21" x14ac:dyDescent="0.3">
      <c r="B134" s="292"/>
      <c r="C134" s="9" t="s">
        <v>220</v>
      </c>
      <c r="D134" s="86">
        <v>10.649352128514236</v>
      </c>
      <c r="E134" s="86">
        <v>14.643586799774651</v>
      </c>
      <c r="F134" s="88">
        <v>10</v>
      </c>
      <c r="G134" s="86">
        <v>0</v>
      </c>
      <c r="H134" s="88">
        <v>10.724976427581524</v>
      </c>
      <c r="I134" s="86">
        <v>7.0409822544144554</v>
      </c>
      <c r="J134" s="86">
        <v>6.6052222589533836</v>
      </c>
      <c r="K134" s="86">
        <v>4.4747309683263783</v>
      </c>
      <c r="L134" s="88">
        <v>17.590122351927441</v>
      </c>
      <c r="M134" s="86">
        <v>5.1895397447329925</v>
      </c>
      <c r="N134" s="86">
        <v>7.6447849278771445</v>
      </c>
      <c r="O134" s="86">
        <v>0</v>
      </c>
      <c r="P134" s="86">
        <v>9.2162535104172818</v>
      </c>
      <c r="Q134" s="86">
        <v>6.9756837526371296</v>
      </c>
      <c r="R134" s="86">
        <v>0</v>
      </c>
      <c r="S134" s="86">
        <v>0</v>
      </c>
      <c r="T134" s="86">
        <v>4.4749448014613824</v>
      </c>
      <c r="U134" s="86">
        <v>0</v>
      </c>
    </row>
    <row r="135" spans="2:21" x14ac:dyDescent="0.3">
      <c r="B135" s="295"/>
      <c r="C135" s="9" t="s">
        <v>221</v>
      </c>
      <c r="D135" s="90">
        <v>12.475222088639564</v>
      </c>
      <c r="E135" s="90">
        <v>18.963576666123224</v>
      </c>
      <c r="F135" s="91">
        <v>14.322023730976021</v>
      </c>
      <c r="G135" s="90">
        <v>0</v>
      </c>
      <c r="H135" s="91">
        <v>7.2166684341649967</v>
      </c>
      <c r="I135" s="90">
        <v>8.7730929066245995</v>
      </c>
      <c r="J135" s="90">
        <v>23</v>
      </c>
      <c r="K135" s="90">
        <v>6.3703671548245566</v>
      </c>
      <c r="L135" s="91">
        <v>8.0492994176063135</v>
      </c>
      <c r="M135" s="90">
        <v>14.043878972380924</v>
      </c>
      <c r="N135" s="90">
        <v>4</v>
      </c>
      <c r="O135" s="90">
        <v>5.0816147961533806</v>
      </c>
      <c r="P135" s="90">
        <v>5.9567901260107003</v>
      </c>
      <c r="Q135" s="90">
        <v>12.471695070851451</v>
      </c>
      <c r="R135" s="90">
        <v>0</v>
      </c>
      <c r="S135" s="90">
        <v>5.3961490097282603</v>
      </c>
      <c r="T135" s="90">
        <v>3.8508355684465916</v>
      </c>
      <c r="U135" s="90">
        <v>3.3921129532856078</v>
      </c>
    </row>
    <row r="136" spans="2:21" ht="16.5" customHeight="1" x14ac:dyDescent="0.3">
      <c r="B136" s="291" t="s">
        <v>222</v>
      </c>
      <c r="C136" s="13" t="s">
        <v>226</v>
      </c>
      <c r="D136" s="80">
        <v>20.674829846931694</v>
      </c>
      <c r="E136" s="80">
        <v>10.129176697043432</v>
      </c>
      <c r="F136" s="80">
        <v>10.567557571302808</v>
      </c>
      <c r="G136" s="80">
        <v>8.669513178355448</v>
      </c>
      <c r="H136" s="80">
        <v>8.1471366384681261</v>
      </c>
      <c r="I136" s="80">
        <v>4.9947675223735288</v>
      </c>
      <c r="J136" s="80">
        <v>4.2682176470358142</v>
      </c>
      <c r="K136" s="80">
        <v>4.8457969485280241</v>
      </c>
      <c r="L136" s="80">
        <v>5.5218649830525504</v>
      </c>
      <c r="M136" s="80">
        <v>5.4589488977828609</v>
      </c>
      <c r="N136" s="80">
        <v>3.8981433744431482</v>
      </c>
      <c r="O136" s="80">
        <v>3.259666909744936</v>
      </c>
      <c r="P136" s="80">
        <v>4.5927571893220955</v>
      </c>
      <c r="Q136" s="80">
        <v>3.5809692842839538</v>
      </c>
      <c r="R136" s="80">
        <v>5</v>
      </c>
      <c r="S136" s="80">
        <v>2.7518902185307175</v>
      </c>
      <c r="T136" s="80">
        <v>3.284551873072644</v>
      </c>
      <c r="U136" s="80">
        <v>1.9921665976905631</v>
      </c>
    </row>
    <row r="137" spans="2:21" ht="16.5" customHeight="1" x14ac:dyDescent="0.3">
      <c r="B137" s="294"/>
      <c r="C137" s="9" t="s">
        <v>227</v>
      </c>
      <c r="D137" s="79">
        <v>15.861448328887523</v>
      </c>
      <c r="E137" s="79">
        <v>15.164413208570071</v>
      </c>
      <c r="F137" s="79">
        <v>6.6172227132839474</v>
      </c>
      <c r="G137" s="79">
        <v>12.796272248689338</v>
      </c>
      <c r="H137" s="79">
        <v>7.3579578221799942</v>
      </c>
      <c r="I137" s="79">
        <v>5.9103744218456242</v>
      </c>
      <c r="J137" s="79">
        <v>6.1509309775738652</v>
      </c>
      <c r="K137" s="79">
        <v>6.1844407872035401</v>
      </c>
      <c r="L137" s="79">
        <v>4.6013722795495502</v>
      </c>
      <c r="M137" s="79">
        <v>6.3635891254579739</v>
      </c>
      <c r="N137" s="79">
        <v>4.7895875434683877</v>
      </c>
      <c r="O137" s="79">
        <v>6.0239143914437481</v>
      </c>
      <c r="P137" s="79">
        <v>5.9750669946906338</v>
      </c>
      <c r="Q137" s="79">
        <v>6.3315322610195626</v>
      </c>
      <c r="R137" s="79">
        <v>13.543451802880949</v>
      </c>
      <c r="S137" s="79">
        <v>5.1966732617837978</v>
      </c>
      <c r="T137" s="79">
        <v>4.5503725569310216</v>
      </c>
      <c r="U137" s="79">
        <v>2.8076789650277383</v>
      </c>
    </row>
    <row r="138" spans="2:21" ht="16.5" customHeight="1" x14ac:dyDescent="0.3">
      <c r="B138" s="292"/>
      <c r="C138" s="9" t="s">
        <v>228</v>
      </c>
      <c r="D138" s="79">
        <v>12.384693162121765</v>
      </c>
      <c r="E138" s="79">
        <v>15.518680986225675</v>
      </c>
      <c r="F138" s="79">
        <v>8.2289524634938953</v>
      </c>
      <c r="G138" s="79">
        <v>16.022188612003255</v>
      </c>
      <c r="H138" s="79">
        <v>20.497306880096289</v>
      </c>
      <c r="I138" s="79">
        <v>6.219078518361278</v>
      </c>
      <c r="J138" s="79">
        <v>4.7099967220691301</v>
      </c>
      <c r="K138" s="79">
        <v>4.7058953015474803</v>
      </c>
      <c r="L138" s="79">
        <v>4.0963209181308935</v>
      </c>
      <c r="M138" s="79">
        <v>5.0464792772806826</v>
      </c>
      <c r="N138" s="79">
        <v>4.8008523371620511</v>
      </c>
      <c r="O138" s="79">
        <v>4.8860776883629136</v>
      </c>
      <c r="P138" s="79">
        <v>7.4863782142797914</v>
      </c>
      <c r="Q138" s="79">
        <v>8.0767361076695909</v>
      </c>
      <c r="R138" s="79">
        <v>13.202791601664238</v>
      </c>
      <c r="S138" s="79">
        <v>4.7341192895825985</v>
      </c>
      <c r="T138" s="79">
        <v>4.5738203670143172</v>
      </c>
      <c r="U138" s="79">
        <v>8.7147541576933207</v>
      </c>
    </row>
    <row r="139" spans="2:21" ht="16.5" customHeight="1" x14ac:dyDescent="0.3">
      <c r="B139" s="295"/>
      <c r="C139" s="12" t="s">
        <v>229</v>
      </c>
      <c r="D139" s="81">
        <v>18.277064136593133</v>
      </c>
      <c r="E139" s="81">
        <v>22.709581568281692</v>
      </c>
      <c r="F139" s="81">
        <v>15.663155465326977</v>
      </c>
      <c r="G139" s="81">
        <v>19.951227398322217</v>
      </c>
      <c r="H139" s="81">
        <v>7.5041109599290063</v>
      </c>
      <c r="I139" s="81">
        <v>7.3984979459096181</v>
      </c>
      <c r="J139" s="81">
        <v>11.180773313182359</v>
      </c>
      <c r="K139" s="81">
        <v>8.7878734763518551</v>
      </c>
      <c r="L139" s="81">
        <v>7.3420615347921707</v>
      </c>
      <c r="M139" s="81">
        <v>6.0414790991855609</v>
      </c>
      <c r="N139" s="81">
        <v>6.9577053807790188</v>
      </c>
      <c r="O139" s="81">
        <v>5.412085361608618</v>
      </c>
      <c r="P139" s="81">
        <v>8.7031666445655915</v>
      </c>
      <c r="Q139" s="81">
        <v>9.2591992918748822</v>
      </c>
      <c r="R139" s="81">
        <v>20.197589210979363</v>
      </c>
      <c r="S139" s="81">
        <v>7.4513299714444399</v>
      </c>
      <c r="T139" s="81">
        <v>4.6931059754080975</v>
      </c>
      <c r="U139" s="81">
        <v>4.1190155698349917</v>
      </c>
    </row>
    <row r="140" spans="2:21" x14ac:dyDescent="0.3">
      <c r="B140" s="296" t="s">
        <v>199</v>
      </c>
      <c r="C140" s="13" t="s">
        <v>192</v>
      </c>
      <c r="D140" s="80">
        <v>18.365729278456282</v>
      </c>
      <c r="E140" s="80">
        <v>19.473900686661871</v>
      </c>
      <c r="F140" s="80">
        <v>9.2989315266032939</v>
      </c>
      <c r="G140" s="80">
        <v>6.9938120079492876</v>
      </c>
      <c r="H140" s="80">
        <v>13.287652016791556</v>
      </c>
      <c r="I140" s="80">
        <v>6.324569319752035</v>
      </c>
      <c r="J140" s="80">
        <v>7.7955467663189379</v>
      </c>
      <c r="K140" s="80">
        <v>5.8193342106448664</v>
      </c>
      <c r="L140" s="80">
        <v>5.8319577065248369</v>
      </c>
      <c r="M140" s="80">
        <v>5.1728493658898236</v>
      </c>
      <c r="N140" s="80">
        <v>5.1325841015029319</v>
      </c>
      <c r="O140" s="80">
        <v>5.8902734552781117</v>
      </c>
      <c r="P140" s="80">
        <v>6.6653798173632959</v>
      </c>
      <c r="Q140" s="80">
        <v>8.7208642237261298</v>
      </c>
      <c r="R140" s="80">
        <v>22.348756140236105</v>
      </c>
      <c r="S140" s="80">
        <v>5.750277715911932</v>
      </c>
      <c r="T140" s="80">
        <v>4.5308805195471749</v>
      </c>
      <c r="U140" s="80">
        <v>3.0278161972143218</v>
      </c>
    </row>
    <row r="141" spans="2:21" x14ac:dyDescent="0.3">
      <c r="B141" s="292"/>
      <c r="C141" s="9" t="s">
        <v>200</v>
      </c>
      <c r="D141" s="79">
        <v>14.751570973125972</v>
      </c>
      <c r="E141" s="79">
        <v>17.494193314013156</v>
      </c>
      <c r="F141" s="79">
        <v>6.6826900662060567</v>
      </c>
      <c r="G141" s="79">
        <v>10</v>
      </c>
      <c r="H141" s="79">
        <v>7.5</v>
      </c>
      <c r="I141" s="79">
        <v>6.5285587196563837</v>
      </c>
      <c r="J141" s="79">
        <v>5.1057733534664358</v>
      </c>
      <c r="K141" s="79">
        <v>5.655076840620044</v>
      </c>
      <c r="L141" s="79">
        <v>2.5974748687333449</v>
      </c>
      <c r="M141" s="79">
        <v>4.3065977613751949</v>
      </c>
      <c r="N141" s="79">
        <v>2.8683195212293504</v>
      </c>
      <c r="O141" s="79">
        <v>3.8999999999999995</v>
      </c>
      <c r="P141" s="79">
        <v>7.4150457310244304</v>
      </c>
      <c r="Q141" s="79">
        <v>10.246888904140405</v>
      </c>
      <c r="R141" s="79">
        <v>0</v>
      </c>
      <c r="S141" s="79">
        <v>2.8063182817349603</v>
      </c>
      <c r="T141" s="79">
        <v>3.7320333234511001</v>
      </c>
      <c r="U141" s="79">
        <v>2.3547352904013814</v>
      </c>
    </row>
    <row r="142" spans="2:21" x14ac:dyDescent="0.3">
      <c r="B142" s="292"/>
      <c r="C142" s="9" t="s">
        <v>201</v>
      </c>
      <c r="D142" s="79">
        <v>18.576075504278268</v>
      </c>
      <c r="E142" s="79">
        <v>10.004993965477293</v>
      </c>
      <c r="F142" s="79">
        <v>8.6432375330921136</v>
      </c>
      <c r="G142" s="79">
        <v>6.5855599282286752</v>
      </c>
      <c r="H142" s="79">
        <v>9.0001587234326337</v>
      </c>
      <c r="I142" s="79">
        <v>6.4856738406660526</v>
      </c>
      <c r="J142" s="79">
        <v>8.5510908008078044</v>
      </c>
      <c r="K142" s="79">
        <v>6.0850697322106617</v>
      </c>
      <c r="L142" s="79">
        <v>4.4274638910032484</v>
      </c>
      <c r="M142" s="79">
        <v>4.8347710954492058</v>
      </c>
      <c r="N142" s="79">
        <v>9.6887839414507209</v>
      </c>
      <c r="O142" s="79">
        <v>2.7274259184386365</v>
      </c>
      <c r="P142" s="79">
        <v>7.490820787176073</v>
      </c>
      <c r="Q142" s="79">
        <v>6.5999911786203942</v>
      </c>
      <c r="R142" s="79">
        <v>7</v>
      </c>
      <c r="S142" s="79">
        <v>6.4654455728246845</v>
      </c>
      <c r="T142" s="79">
        <v>4.6091452200733709</v>
      </c>
      <c r="U142" s="79">
        <v>3.6590113547804766</v>
      </c>
    </row>
    <row r="143" spans="2:21" x14ac:dyDescent="0.3">
      <c r="B143" s="292"/>
      <c r="C143" s="9" t="s">
        <v>202</v>
      </c>
      <c r="D143" s="79">
        <v>14.706159061193102</v>
      </c>
      <c r="E143" s="79">
        <v>11.776920993620786</v>
      </c>
      <c r="F143" s="79">
        <v>15.188868427230089</v>
      </c>
      <c r="G143" s="79">
        <v>17.292042492445425</v>
      </c>
      <c r="H143" s="79">
        <v>6.9112795086307912</v>
      </c>
      <c r="I143" s="79">
        <v>7.4395548724663971</v>
      </c>
      <c r="J143" s="79">
        <v>6.0621582161283252</v>
      </c>
      <c r="K143" s="79">
        <v>6.3304265637475288</v>
      </c>
      <c r="L143" s="79">
        <v>7.207557952007476</v>
      </c>
      <c r="M143" s="79">
        <v>11.048429807054147</v>
      </c>
      <c r="N143" s="79">
        <v>4.6718792072404876</v>
      </c>
      <c r="O143" s="79">
        <v>6.9114834562606777</v>
      </c>
      <c r="P143" s="79">
        <v>5.0078673091134185</v>
      </c>
      <c r="Q143" s="79">
        <v>5.2914715606436529</v>
      </c>
      <c r="R143" s="79">
        <v>0</v>
      </c>
      <c r="S143" s="79">
        <v>7.1090446451747713</v>
      </c>
      <c r="T143" s="79">
        <v>6.052567810070717</v>
      </c>
      <c r="U143" s="79">
        <v>0</v>
      </c>
    </row>
    <row r="144" spans="2:21" ht="16.5" customHeight="1" x14ac:dyDescent="0.3">
      <c r="B144" s="295"/>
      <c r="C144" s="12" t="s">
        <v>203</v>
      </c>
      <c r="D144" s="81">
        <v>13.250039711279889</v>
      </c>
      <c r="E144" s="81">
        <v>15.630428345464857</v>
      </c>
      <c r="F144" s="81">
        <v>6.8558377183588721</v>
      </c>
      <c r="G144" s="81">
        <v>29.286373847328132</v>
      </c>
      <c r="H144" s="81">
        <v>8.1507128774024853</v>
      </c>
      <c r="I144" s="81">
        <v>5.9264686973795166</v>
      </c>
      <c r="J144" s="81">
        <v>6.5090901163380286</v>
      </c>
      <c r="K144" s="81">
        <v>7.0763097868871236</v>
      </c>
      <c r="L144" s="81">
        <v>3.9029191600493514</v>
      </c>
      <c r="M144" s="81">
        <v>5.6569349009948198</v>
      </c>
      <c r="N144" s="81">
        <v>4.6300379104467968</v>
      </c>
      <c r="O144" s="81">
        <v>4.0357224365410174</v>
      </c>
      <c r="P144" s="81">
        <v>8.7948217352287816</v>
      </c>
      <c r="Q144" s="81">
        <v>6.6241492186718318</v>
      </c>
      <c r="R144" s="81">
        <v>7.5257385518573443</v>
      </c>
      <c r="S144" s="81">
        <v>4.0801391967794034</v>
      </c>
      <c r="T144" s="81">
        <v>3.7565672222235729</v>
      </c>
      <c r="U144" s="81">
        <v>10.403829914449776</v>
      </c>
    </row>
    <row r="145" spans="2:21" x14ac:dyDescent="0.3">
      <c r="B145" s="291" t="s">
        <v>204</v>
      </c>
      <c r="C145" s="13" t="s">
        <v>192</v>
      </c>
      <c r="D145" s="80">
        <v>18.365729278456282</v>
      </c>
      <c r="E145" s="80">
        <v>19.473900686661871</v>
      </c>
      <c r="F145" s="80">
        <v>9.2989315266032939</v>
      </c>
      <c r="G145" s="80">
        <v>6.9938120079492876</v>
      </c>
      <c r="H145" s="80">
        <v>13.287652016791556</v>
      </c>
      <c r="I145" s="80">
        <v>6.324569319752035</v>
      </c>
      <c r="J145" s="80">
        <v>7.7955467663189379</v>
      </c>
      <c r="K145" s="80">
        <v>5.8193342106448664</v>
      </c>
      <c r="L145" s="80">
        <v>5.8319577065248369</v>
      </c>
      <c r="M145" s="80">
        <v>5.1728493658898236</v>
      </c>
      <c r="N145" s="80">
        <v>5.1325841015029319</v>
      </c>
      <c r="O145" s="80">
        <v>5.8902734552781117</v>
      </c>
      <c r="P145" s="80">
        <v>6.6653798173632959</v>
      </c>
      <c r="Q145" s="80">
        <v>8.7208642237261298</v>
      </c>
      <c r="R145" s="80">
        <v>22.348756140236105</v>
      </c>
      <c r="S145" s="80">
        <v>5.750277715911932</v>
      </c>
      <c r="T145" s="80">
        <v>4.5308805195471749</v>
      </c>
      <c r="U145" s="80">
        <v>3.0278161972143218</v>
      </c>
    </row>
    <row r="146" spans="2:21" x14ac:dyDescent="0.3">
      <c r="B146" s="295"/>
      <c r="C146" s="12" t="s">
        <v>193</v>
      </c>
      <c r="D146" s="81">
        <v>14.826302924447047</v>
      </c>
      <c r="E146" s="81">
        <v>13.420587731645442</v>
      </c>
      <c r="F146" s="81">
        <v>9.350002295430448</v>
      </c>
      <c r="G146" s="81">
        <v>19.343952951067457</v>
      </c>
      <c r="H146" s="81">
        <v>8.0357517618476013</v>
      </c>
      <c r="I146" s="81">
        <v>6.4590501771560573</v>
      </c>
      <c r="J146" s="81">
        <v>6.468381859821192</v>
      </c>
      <c r="K146" s="81">
        <v>6.543822175868466</v>
      </c>
      <c r="L146" s="81">
        <v>4.5280088376758698</v>
      </c>
      <c r="M146" s="81">
        <v>6.4275538811626758</v>
      </c>
      <c r="N146" s="81">
        <v>5.5538426502232978</v>
      </c>
      <c r="O146" s="81">
        <v>4.1015274470904624</v>
      </c>
      <c r="P146" s="81">
        <v>7.2624901102707362</v>
      </c>
      <c r="Q146" s="81">
        <v>6.5833591243503999</v>
      </c>
      <c r="R146" s="81">
        <v>7.4404640139096081</v>
      </c>
      <c r="S146" s="81">
        <v>5.4984527227687297</v>
      </c>
      <c r="T146" s="81">
        <v>4.4746186773994268</v>
      </c>
      <c r="U146" s="81">
        <v>6.5285338033966749</v>
      </c>
    </row>
    <row r="147" spans="2:21" x14ac:dyDescent="0.3">
      <c r="B147" s="291" t="s">
        <v>209</v>
      </c>
      <c r="C147" s="13" t="s">
        <v>205</v>
      </c>
      <c r="D147" s="80">
        <v>20</v>
      </c>
      <c r="E147" s="80">
        <v>8.6999874726860575</v>
      </c>
      <c r="F147" s="80">
        <v>18.040385058119281</v>
      </c>
      <c r="G147" s="80">
        <v>4.0999999999999996</v>
      </c>
      <c r="H147" s="80">
        <v>5</v>
      </c>
      <c r="I147" s="80">
        <v>9.7430886458016648</v>
      </c>
      <c r="J147" s="80">
        <v>10.799801550220456</v>
      </c>
      <c r="K147" s="80">
        <v>7</v>
      </c>
      <c r="L147" s="80">
        <v>10</v>
      </c>
      <c r="M147" s="80">
        <v>16</v>
      </c>
      <c r="N147" s="80">
        <v>30</v>
      </c>
      <c r="O147" s="80">
        <v>0</v>
      </c>
      <c r="P147" s="80">
        <v>3.3</v>
      </c>
      <c r="Q147" s="80">
        <v>7.021012587912927</v>
      </c>
      <c r="R147" s="80">
        <v>0</v>
      </c>
      <c r="S147" s="80">
        <v>0</v>
      </c>
      <c r="T147" s="80">
        <v>1.4105542124552446</v>
      </c>
      <c r="U147" s="80">
        <v>2.5</v>
      </c>
    </row>
    <row r="148" spans="2:21" x14ac:dyDescent="0.3">
      <c r="B148" s="292"/>
      <c r="C148" s="9" t="s">
        <v>206</v>
      </c>
      <c r="D148" s="79">
        <v>16.414554622297945</v>
      </c>
      <c r="E148" s="79">
        <v>11.545119613268966</v>
      </c>
      <c r="F148" s="79">
        <v>19.6181074158272</v>
      </c>
      <c r="G148" s="79">
        <v>8.5979630719833935</v>
      </c>
      <c r="H148" s="79">
        <v>7.9252979057385566</v>
      </c>
      <c r="I148" s="79">
        <v>6.6717166459126798</v>
      </c>
      <c r="J148" s="79">
        <v>10.45</v>
      </c>
      <c r="K148" s="79">
        <v>5.7992836134860131</v>
      </c>
      <c r="L148" s="79">
        <v>7.9345395408207748</v>
      </c>
      <c r="M148" s="79">
        <v>3.0000166849400678</v>
      </c>
      <c r="N148" s="79">
        <v>5</v>
      </c>
      <c r="O148" s="79">
        <v>1.5</v>
      </c>
      <c r="P148" s="79">
        <v>5.7333244401496222</v>
      </c>
      <c r="Q148" s="79">
        <v>11.269863512268889</v>
      </c>
      <c r="R148" s="79">
        <v>20</v>
      </c>
      <c r="S148" s="79">
        <v>3.4999999999999996</v>
      </c>
      <c r="T148" s="79">
        <v>5.1694801741079273</v>
      </c>
      <c r="U148" s="79">
        <v>1.4010652670531802</v>
      </c>
    </row>
    <row r="149" spans="2:21" x14ac:dyDescent="0.3">
      <c r="B149" s="292"/>
      <c r="C149" s="9" t="s">
        <v>207</v>
      </c>
      <c r="D149" s="79">
        <v>12.606285797404729</v>
      </c>
      <c r="E149" s="79">
        <v>12.975192427512553</v>
      </c>
      <c r="F149" s="79">
        <v>7.9240408724700684</v>
      </c>
      <c r="G149" s="79">
        <v>13.817749070841334</v>
      </c>
      <c r="H149" s="79">
        <v>14.790570302006069</v>
      </c>
      <c r="I149" s="79">
        <v>5.6176390163632437</v>
      </c>
      <c r="J149" s="79">
        <v>5.9171107566985697</v>
      </c>
      <c r="K149" s="79">
        <v>6.591869616584173</v>
      </c>
      <c r="L149" s="79">
        <v>4.8064467183311983</v>
      </c>
      <c r="M149" s="79">
        <v>5.4688383840006596</v>
      </c>
      <c r="N149" s="79">
        <v>4.6802016852930386</v>
      </c>
      <c r="O149" s="79">
        <v>4.8384309043691482</v>
      </c>
      <c r="P149" s="79">
        <v>8.93838935603066</v>
      </c>
      <c r="Q149" s="79">
        <v>7.2998551771820734</v>
      </c>
      <c r="R149" s="79">
        <v>7.7975875637451226</v>
      </c>
      <c r="S149" s="79">
        <v>5.2428412139362166</v>
      </c>
      <c r="T149" s="79">
        <v>4.5680447607927652</v>
      </c>
      <c r="U149" s="79">
        <v>3.6742637864235448</v>
      </c>
    </row>
    <row r="150" spans="2:21" x14ac:dyDescent="0.3">
      <c r="B150" s="293"/>
      <c r="C150" s="25" t="s">
        <v>208</v>
      </c>
      <c r="D150" s="82">
        <v>19.402804622886901</v>
      </c>
      <c r="E150" s="82">
        <v>22.663351395078887</v>
      </c>
      <c r="F150" s="82">
        <v>9.5568542866219861</v>
      </c>
      <c r="G150" s="82">
        <v>13.821785442305666</v>
      </c>
      <c r="H150" s="82">
        <v>7.2138197761067229</v>
      </c>
      <c r="I150" s="82">
        <v>6.9898894822340152</v>
      </c>
      <c r="J150" s="82">
        <v>8.1482282997468758</v>
      </c>
      <c r="K150" s="82">
        <v>5.7654145781122494</v>
      </c>
      <c r="L150" s="82">
        <v>5.5190302435544805</v>
      </c>
      <c r="M150" s="82">
        <v>5.996488477443771</v>
      </c>
      <c r="N150" s="82">
        <v>5.2534289785365447</v>
      </c>
      <c r="O150" s="82">
        <v>5.687094255997966</v>
      </c>
      <c r="P150" s="82">
        <v>6.0086314457608898</v>
      </c>
      <c r="Q150" s="82">
        <v>7.6302329047850295</v>
      </c>
      <c r="R150" s="82">
        <v>19.407804946962088</v>
      </c>
      <c r="S150" s="82">
        <v>6.2021971876927324</v>
      </c>
      <c r="T150" s="82">
        <v>4.3746365025855303</v>
      </c>
      <c r="U150" s="82">
        <v>8.2284336706449182</v>
      </c>
    </row>
    <row r="151" spans="2:21" x14ac:dyDescent="0.3">
      <c r="B151" s="60"/>
      <c r="C151" s="9"/>
      <c r="D151" s="58"/>
      <c r="E151" s="58"/>
      <c r="F151" s="50"/>
      <c r="G151" s="58"/>
      <c r="H151" s="50"/>
      <c r="I151" s="58"/>
      <c r="J151" s="58"/>
      <c r="K151" s="58"/>
      <c r="L151" s="50"/>
      <c r="M151" s="58"/>
      <c r="N151" s="58"/>
    </row>
    <row r="152" spans="2:21" x14ac:dyDescent="0.3">
      <c r="B152" s="60"/>
      <c r="C152" s="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</row>
    <row r="153" spans="2:21" x14ac:dyDescent="0.3">
      <c r="F153" s="30"/>
      <c r="N153" s="30"/>
    </row>
    <row r="154" spans="2:21" x14ac:dyDescent="0.3">
      <c r="B154" s="42"/>
      <c r="C154" s="308"/>
      <c r="D154" s="308"/>
      <c r="E154" s="308"/>
      <c r="F154" s="308"/>
      <c r="G154" s="308"/>
      <c r="H154" s="308"/>
      <c r="I154" s="308"/>
      <c r="J154" s="308"/>
      <c r="K154" s="308"/>
      <c r="L154" s="308"/>
      <c r="M154" s="308"/>
      <c r="N154" s="308"/>
    </row>
    <row r="155" spans="2:21" x14ac:dyDescent="0.3">
      <c r="B155" s="42"/>
      <c r="C155" s="42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</row>
    <row r="156" spans="2:21" x14ac:dyDescent="0.3">
      <c r="B156" s="40"/>
      <c r="C156" s="9"/>
      <c r="D156" s="83"/>
      <c r="E156" s="83"/>
      <c r="F156" s="83"/>
      <c r="G156" s="9"/>
      <c r="H156" s="56"/>
      <c r="I156" s="56"/>
      <c r="J156" s="56"/>
      <c r="K156" s="9"/>
      <c r="L156" s="56"/>
      <c r="M156" s="56"/>
      <c r="N156" s="56"/>
    </row>
    <row r="157" spans="2:21" x14ac:dyDescent="0.3">
      <c r="B157" s="40"/>
      <c r="C157" s="9"/>
      <c r="D157" s="83"/>
      <c r="E157" s="83"/>
      <c r="F157" s="83"/>
      <c r="G157" s="9"/>
      <c r="H157" s="56"/>
      <c r="I157" s="56"/>
      <c r="J157" s="56"/>
      <c r="K157" s="9"/>
      <c r="L157" s="56"/>
      <c r="M157" s="56"/>
      <c r="N157" s="56"/>
    </row>
    <row r="158" spans="2:21" x14ac:dyDescent="0.3">
      <c r="B158" s="40"/>
      <c r="C158" s="9"/>
      <c r="D158" s="83"/>
      <c r="E158" s="83"/>
      <c r="F158" s="83"/>
      <c r="G158" s="9"/>
      <c r="H158" s="56"/>
      <c r="I158" s="56"/>
      <c r="J158" s="56"/>
      <c r="K158" s="9"/>
      <c r="L158" s="56"/>
      <c r="M158" s="56"/>
      <c r="N158" s="56"/>
    </row>
    <row r="159" spans="2:21" x14ac:dyDescent="0.3">
      <c r="B159" s="40"/>
      <c r="C159" s="9"/>
      <c r="D159" s="83"/>
      <c r="E159" s="83"/>
      <c r="F159" s="83"/>
      <c r="G159" s="9"/>
      <c r="H159" s="56"/>
      <c r="I159" s="56"/>
      <c r="J159" s="56"/>
      <c r="K159" s="9"/>
      <c r="L159" s="56"/>
      <c r="M159" s="56"/>
      <c r="N159" s="56"/>
    </row>
    <row r="160" spans="2:21" x14ac:dyDescent="0.3">
      <c r="B160" s="40"/>
      <c r="C160" s="9"/>
      <c r="D160" s="83"/>
      <c r="E160" s="83"/>
      <c r="F160" s="83"/>
      <c r="G160" s="9"/>
      <c r="H160" s="56"/>
      <c r="I160" s="56"/>
      <c r="J160" s="56"/>
      <c r="K160" s="9"/>
      <c r="L160" s="56"/>
      <c r="M160" s="56"/>
      <c r="N160" s="56"/>
    </row>
    <row r="161" spans="2:14" x14ac:dyDescent="0.3">
      <c r="B161" s="40"/>
      <c r="C161" s="9"/>
      <c r="D161" s="83"/>
      <c r="E161" s="83"/>
      <c r="F161" s="83"/>
      <c r="G161" s="9"/>
      <c r="H161" s="56"/>
      <c r="I161" s="56"/>
      <c r="J161" s="56"/>
      <c r="K161" s="9"/>
      <c r="L161" s="56"/>
      <c r="M161" s="56"/>
      <c r="N161" s="56"/>
    </row>
    <row r="162" spans="2:14" x14ac:dyDescent="0.3">
      <c r="B162" s="40"/>
      <c r="C162" s="9"/>
      <c r="D162" s="83"/>
      <c r="E162" s="83"/>
      <c r="F162" s="83"/>
      <c r="G162" s="9"/>
      <c r="H162" s="56"/>
      <c r="I162" s="56"/>
      <c r="J162" s="56"/>
      <c r="K162" s="9"/>
      <c r="L162" s="56"/>
      <c r="M162" s="56"/>
      <c r="N162" s="56"/>
    </row>
    <row r="163" spans="2:14" x14ac:dyDescent="0.3">
      <c r="B163" s="40"/>
      <c r="C163" s="9"/>
      <c r="D163" s="83"/>
      <c r="E163" s="83"/>
      <c r="F163" s="83"/>
      <c r="G163" s="9"/>
      <c r="H163" s="56"/>
      <c r="I163" s="56"/>
      <c r="J163" s="56"/>
      <c r="K163" s="9"/>
      <c r="L163" s="56"/>
      <c r="M163" s="56"/>
      <c r="N163" s="56"/>
    </row>
    <row r="164" spans="2:14" x14ac:dyDescent="0.3">
      <c r="B164" s="40"/>
      <c r="C164" s="9"/>
      <c r="D164" s="83"/>
      <c r="E164" s="83"/>
      <c r="F164" s="83"/>
      <c r="G164" s="9"/>
      <c r="H164" s="56"/>
      <c r="I164" s="56"/>
      <c r="J164" s="56"/>
      <c r="K164" s="9"/>
      <c r="L164" s="56"/>
      <c r="M164" s="56"/>
      <c r="N164" s="56"/>
    </row>
    <row r="165" spans="2:14" x14ac:dyDescent="0.3">
      <c r="B165" s="40"/>
      <c r="C165" s="9"/>
      <c r="D165" s="83"/>
      <c r="E165" s="83"/>
      <c r="F165" s="83"/>
      <c r="G165" s="9"/>
      <c r="H165" s="56"/>
      <c r="I165" s="56"/>
      <c r="J165" s="56"/>
      <c r="K165" s="9"/>
      <c r="L165" s="56"/>
      <c r="M165" s="56"/>
      <c r="N165" s="56"/>
    </row>
    <row r="166" spans="2:14" x14ac:dyDescent="0.3">
      <c r="B166" s="40"/>
      <c r="C166" s="9"/>
      <c r="D166" s="83"/>
      <c r="E166" s="83"/>
      <c r="F166" s="83"/>
      <c r="G166" s="9"/>
      <c r="H166" s="56"/>
      <c r="I166" s="56"/>
      <c r="J166" s="56"/>
      <c r="K166" s="9"/>
      <c r="L166" s="56"/>
      <c r="M166" s="56"/>
      <c r="N166" s="56"/>
    </row>
    <row r="167" spans="2:14" x14ac:dyDescent="0.3">
      <c r="B167" s="40"/>
      <c r="C167" s="9"/>
      <c r="D167" s="83"/>
      <c r="E167" s="83"/>
      <c r="F167" s="83"/>
      <c r="G167" s="9"/>
      <c r="H167" s="56"/>
      <c r="I167" s="56"/>
      <c r="J167" s="56"/>
      <c r="K167" s="9"/>
      <c r="L167" s="56"/>
      <c r="M167" s="56"/>
      <c r="N167" s="56"/>
    </row>
    <row r="168" spans="2:14" x14ac:dyDescent="0.3">
      <c r="B168" s="40"/>
      <c r="C168" s="9"/>
      <c r="D168" s="83"/>
      <c r="E168" s="83"/>
      <c r="F168" s="83"/>
      <c r="G168" s="9"/>
      <c r="H168" s="56"/>
      <c r="I168" s="56"/>
      <c r="J168" s="56"/>
      <c r="K168" s="9"/>
      <c r="L168" s="56"/>
      <c r="M168" s="56"/>
      <c r="N168" s="56"/>
    </row>
    <row r="169" spans="2:14" x14ac:dyDescent="0.3">
      <c r="B169" s="40"/>
      <c r="C169" s="9"/>
      <c r="D169" s="83"/>
      <c r="E169" s="83"/>
      <c r="F169" s="83"/>
      <c r="G169" s="9"/>
      <c r="H169" s="56"/>
      <c r="I169" s="56"/>
      <c r="J169" s="56"/>
      <c r="K169" s="9"/>
      <c r="L169" s="56"/>
      <c r="M169" s="56"/>
      <c r="N169" s="56"/>
    </row>
    <row r="170" spans="2:14" x14ac:dyDescent="0.3">
      <c r="B170" s="40"/>
      <c r="C170" s="9"/>
      <c r="D170" s="83"/>
      <c r="E170" s="83"/>
      <c r="F170" s="83"/>
      <c r="G170" s="9"/>
      <c r="H170" s="56"/>
      <c r="I170" s="56"/>
      <c r="J170" s="56"/>
      <c r="K170" s="9"/>
      <c r="L170" s="56"/>
      <c r="M170" s="56"/>
      <c r="N170" s="56"/>
    </row>
    <row r="171" spans="2:14" x14ac:dyDescent="0.3">
      <c r="B171" s="40"/>
      <c r="C171" s="9"/>
      <c r="D171" s="83"/>
      <c r="E171" s="83"/>
      <c r="F171" s="83"/>
      <c r="G171" s="9"/>
      <c r="H171" s="56"/>
      <c r="I171" s="56"/>
      <c r="J171" s="56"/>
      <c r="K171" s="9"/>
      <c r="L171" s="56"/>
      <c r="M171" s="56"/>
      <c r="N171" s="56"/>
    </row>
    <row r="172" spans="2:14" x14ac:dyDescent="0.3">
      <c r="B172" s="40"/>
      <c r="C172" s="9"/>
      <c r="D172" s="83"/>
      <c r="E172" s="83"/>
      <c r="F172" s="83"/>
      <c r="G172" s="9"/>
      <c r="H172" s="56"/>
      <c r="I172" s="56"/>
      <c r="J172" s="56"/>
      <c r="K172" s="9"/>
      <c r="L172" s="56"/>
      <c r="M172" s="56"/>
      <c r="N172" s="56"/>
    </row>
    <row r="173" spans="2:14" x14ac:dyDescent="0.3">
      <c r="B173" s="40"/>
      <c r="C173" s="9"/>
      <c r="D173" s="83"/>
      <c r="E173" s="83"/>
      <c r="F173" s="83"/>
      <c r="G173" s="9"/>
      <c r="H173" s="56"/>
      <c r="I173" s="56"/>
      <c r="J173" s="56"/>
      <c r="K173" s="9"/>
      <c r="L173" s="56"/>
      <c r="M173" s="56"/>
      <c r="N173" s="56"/>
    </row>
    <row r="174" spans="2:14" x14ac:dyDescent="0.3">
      <c r="B174" s="40"/>
      <c r="C174" s="9"/>
      <c r="D174" s="83"/>
      <c r="E174" s="83"/>
      <c r="F174" s="83"/>
      <c r="G174" s="9"/>
      <c r="H174" s="56"/>
      <c r="I174" s="56"/>
      <c r="J174" s="56"/>
      <c r="K174" s="9"/>
      <c r="L174" s="56"/>
      <c r="M174" s="56"/>
      <c r="N174" s="56"/>
    </row>
    <row r="175" spans="2:14" x14ac:dyDescent="0.3">
      <c r="B175" s="40"/>
      <c r="C175" s="9"/>
      <c r="D175" s="83"/>
      <c r="E175" s="83"/>
      <c r="F175" s="83"/>
      <c r="G175" s="9"/>
      <c r="H175" s="56"/>
      <c r="I175" s="56"/>
      <c r="J175" s="56"/>
      <c r="K175" s="9"/>
      <c r="L175" s="56"/>
      <c r="M175" s="56"/>
      <c r="N175" s="56"/>
    </row>
    <row r="176" spans="2:14" x14ac:dyDescent="0.3">
      <c r="B176" s="40"/>
      <c r="C176" s="9"/>
      <c r="D176" s="83"/>
      <c r="E176" s="83"/>
      <c r="F176" s="83"/>
      <c r="G176" s="9"/>
      <c r="H176" s="56"/>
      <c r="I176" s="56"/>
      <c r="J176" s="56"/>
      <c r="K176" s="9"/>
      <c r="L176" s="56"/>
      <c r="M176" s="56"/>
      <c r="N176" s="56"/>
    </row>
    <row r="177" spans="2:14" x14ac:dyDescent="0.3">
      <c r="B177" s="40"/>
      <c r="C177" s="9"/>
      <c r="D177" s="83"/>
      <c r="E177" s="83"/>
      <c r="F177" s="83"/>
      <c r="G177" s="9"/>
      <c r="H177" s="56"/>
      <c r="I177" s="56"/>
      <c r="J177" s="56"/>
      <c r="K177" s="9"/>
      <c r="L177" s="56"/>
      <c r="M177" s="56"/>
      <c r="N177" s="56"/>
    </row>
    <row r="178" spans="2:14" x14ac:dyDescent="0.3">
      <c r="B178" s="40"/>
      <c r="C178" s="9"/>
      <c r="D178" s="83"/>
      <c r="E178" s="83"/>
      <c r="F178" s="83"/>
      <c r="G178" s="9"/>
      <c r="H178" s="56"/>
      <c r="I178" s="56"/>
      <c r="J178" s="56"/>
      <c r="K178" s="9"/>
      <c r="L178" s="56"/>
      <c r="M178" s="56"/>
      <c r="N178" s="56"/>
    </row>
    <row r="179" spans="2:14" x14ac:dyDescent="0.3">
      <c r="B179" s="40"/>
      <c r="C179" s="9"/>
      <c r="D179" s="83"/>
      <c r="E179" s="83"/>
      <c r="F179" s="83"/>
      <c r="G179" s="9"/>
      <c r="H179" s="56"/>
      <c r="I179" s="56"/>
      <c r="J179" s="56"/>
      <c r="K179" s="9"/>
      <c r="L179" s="56"/>
      <c r="M179" s="56"/>
      <c r="N179" s="56"/>
    </row>
    <row r="180" spans="2:14" x14ac:dyDescent="0.3">
      <c r="B180" s="40"/>
      <c r="C180" s="9"/>
      <c r="D180" s="83"/>
      <c r="E180" s="83"/>
      <c r="F180" s="83"/>
      <c r="G180" s="9"/>
      <c r="H180" s="56"/>
      <c r="I180" s="56"/>
      <c r="J180" s="56"/>
      <c r="K180" s="9"/>
      <c r="L180" s="56"/>
      <c r="M180" s="56"/>
      <c r="N180" s="56"/>
    </row>
    <row r="181" spans="2:14" x14ac:dyDescent="0.3">
      <c r="B181" s="40"/>
      <c r="C181" s="9"/>
      <c r="D181" s="83"/>
      <c r="E181" s="83"/>
      <c r="F181" s="83"/>
      <c r="G181" s="9"/>
      <c r="H181" s="56"/>
      <c r="I181" s="56"/>
      <c r="J181" s="56"/>
      <c r="K181" s="9"/>
      <c r="L181" s="56"/>
      <c r="M181" s="56"/>
      <c r="N181" s="56"/>
    </row>
    <row r="182" spans="2:14" x14ac:dyDescent="0.3">
      <c r="B182" s="40"/>
      <c r="C182" s="9"/>
      <c r="D182" s="83"/>
      <c r="E182" s="83"/>
      <c r="F182" s="83"/>
      <c r="G182" s="9"/>
      <c r="H182" s="56"/>
      <c r="I182" s="56"/>
      <c r="J182" s="56"/>
      <c r="K182" s="9"/>
      <c r="L182" s="56"/>
      <c r="M182" s="56"/>
      <c r="N182" s="56"/>
    </row>
    <row r="183" spans="2:14" x14ac:dyDescent="0.3">
      <c r="B183" s="40"/>
      <c r="C183" s="9"/>
      <c r="D183" s="83"/>
      <c r="E183" s="83"/>
      <c r="F183" s="83"/>
      <c r="G183" s="9"/>
      <c r="H183" s="56"/>
      <c r="I183" s="56"/>
      <c r="J183" s="56"/>
      <c r="K183" s="9"/>
      <c r="L183" s="56"/>
      <c r="M183" s="56"/>
      <c r="N183" s="56"/>
    </row>
    <row r="184" spans="2:14" x14ac:dyDescent="0.3">
      <c r="B184" s="40"/>
      <c r="C184" s="9"/>
      <c r="D184" s="83"/>
      <c r="E184" s="83"/>
      <c r="F184" s="83"/>
      <c r="G184" s="9"/>
      <c r="H184" s="56"/>
      <c r="I184" s="56"/>
      <c r="J184" s="56"/>
      <c r="K184" s="9"/>
      <c r="L184" s="56"/>
      <c r="M184" s="56"/>
      <c r="N184" s="56"/>
    </row>
    <row r="185" spans="2:14" x14ac:dyDescent="0.3">
      <c r="B185" s="40"/>
      <c r="C185" s="9"/>
      <c r="D185" s="83"/>
      <c r="E185" s="83"/>
      <c r="F185" s="83"/>
      <c r="G185" s="9"/>
      <c r="H185" s="56"/>
      <c r="I185" s="56"/>
      <c r="J185" s="56"/>
      <c r="K185" s="9"/>
      <c r="L185" s="56"/>
      <c r="M185" s="56"/>
      <c r="N185" s="56"/>
    </row>
  </sheetData>
  <mergeCells count="32">
    <mergeCell ref="C154:F154"/>
    <mergeCell ref="G154:J154"/>
    <mergeCell ref="K154:N154"/>
    <mergeCell ref="B147:B150"/>
    <mergeCell ref="B104:B105"/>
    <mergeCell ref="B106:B109"/>
    <mergeCell ref="B124:B135"/>
    <mergeCell ref="B136:B139"/>
    <mergeCell ref="B140:B144"/>
    <mergeCell ref="B145:B146"/>
    <mergeCell ref="F112:AY112"/>
    <mergeCell ref="B114:C114"/>
    <mergeCell ref="B115:C115"/>
    <mergeCell ref="B116:B117"/>
    <mergeCell ref="B118:B123"/>
    <mergeCell ref="B99:B103"/>
    <mergeCell ref="B54:B57"/>
    <mergeCell ref="B58:B62"/>
    <mergeCell ref="B63:B64"/>
    <mergeCell ref="B65:B68"/>
    <mergeCell ref="B74:C74"/>
    <mergeCell ref="B75:B76"/>
    <mergeCell ref="B77:B82"/>
    <mergeCell ref="B83:B94"/>
    <mergeCell ref="B95:B98"/>
    <mergeCell ref="F71:AY71"/>
    <mergeCell ref="B73:C73"/>
    <mergeCell ref="B32:C32"/>
    <mergeCell ref="B33:C33"/>
    <mergeCell ref="B34:B35"/>
    <mergeCell ref="B36:B41"/>
    <mergeCell ref="B42:B53"/>
  </mergeCells>
  <phoneticPr fontId="2" type="noConversion"/>
  <pageMargins left="0.70866141732283472" right="0.70866141732283472" top="1.1417322834645669" bottom="0.39370078740157483" header="0.31496062992125984" footer="0.31496062992125984"/>
  <pageSetup paperSize="9" orientation="portrait" r:id="rId1"/>
  <headerFooter>
    <oddHeader>&amp;L&amp;P&amp;RKorea Fashion Index  2017상반기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E0B97-B293-4AE9-AC78-2D2A13025B23}">
  <sheetPr codeName="Sheet21"/>
  <dimension ref="B2:AY312"/>
  <sheetViews>
    <sheetView showGridLines="0" topLeftCell="A33" zoomScaleNormal="100" workbookViewId="0">
      <selection activeCell="G61" sqref="G61"/>
    </sheetView>
  </sheetViews>
  <sheetFormatPr defaultColWidth="9" defaultRowHeight="16.5" x14ac:dyDescent="0.3"/>
  <cols>
    <col min="1" max="1" width="3.625" style="1" customWidth="1"/>
    <col min="2" max="2" width="14.375" style="1" customWidth="1"/>
    <col min="3" max="3" width="13.125" style="1" customWidth="1"/>
    <col min="4" max="16" width="12.25" style="1" customWidth="1"/>
    <col min="17" max="20" width="10.375" style="1" customWidth="1"/>
    <col min="21" max="16384" width="9" style="1"/>
  </cols>
  <sheetData>
    <row r="2" spans="2:6" ht="17.25" x14ac:dyDescent="0.3">
      <c r="B2" s="33" t="s">
        <v>103</v>
      </c>
    </row>
    <row r="4" spans="2:6" ht="14.25" customHeight="1" x14ac:dyDescent="0.3">
      <c r="B4" s="1" t="s">
        <v>524</v>
      </c>
    </row>
    <row r="5" spans="2:6" ht="7.5" customHeight="1" x14ac:dyDescent="0.3"/>
    <row r="6" spans="2:6" x14ac:dyDescent="0.3">
      <c r="B6" s="216"/>
      <c r="C6" s="217" t="s">
        <v>21</v>
      </c>
      <c r="D6" s="218" t="s">
        <v>133</v>
      </c>
      <c r="E6" s="219" t="s">
        <v>13</v>
      </c>
      <c r="F6" s="220" t="s">
        <v>20</v>
      </c>
    </row>
    <row r="7" spans="2:6" x14ac:dyDescent="0.3">
      <c r="B7" s="221"/>
      <c r="C7" s="222"/>
      <c r="D7" s="223" t="s">
        <v>134</v>
      </c>
      <c r="E7" s="224" t="s">
        <v>55</v>
      </c>
      <c r="F7" s="225" t="s">
        <v>525</v>
      </c>
    </row>
    <row r="8" spans="2:6" x14ac:dyDescent="0.3">
      <c r="B8" s="221"/>
      <c r="C8" s="215" t="s">
        <v>24</v>
      </c>
      <c r="D8" s="223" t="s">
        <v>25</v>
      </c>
      <c r="E8" s="224" t="s">
        <v>26</v>
      </c>
      <c r="F8" s="225" t="s">
        <v>517</v>
      </c>
    </row>
    <row r="9" spans="2:6" ht="24" customHeight="1" x14ac:dyDescent="0.3">
      <c r="B9" s="35" t="str">
        <f>RIGHT(B2,LEN(B2)-3)&amp;" 전체"</f>
        <v>신발 전체</v>
      </c>
      <c r="C9" s="36"/>
      <c r="D9" s="37"/>
      <c r="E9" s="37"/>
      <c r="F9" s="190">
        <f>SUM(F10:F21)</f>
        <v>123117.5112852616</v>
      </c>
    </row>
    <row r="10" spans="2:6" x14ac:dyDescent="0.3">
      <c r="B10" s="34" t="s">
        <v>239</v>
      </c>
      <c r="C10" s="117">
        <v>5.634954708540107</v>
      </c>
      <c r="D10" s="101">
        <v>1.1018471378167058</v>
      </c>
      <c r="E10" s="97">
        <v>158626.88099845819</v>
      </c>
      <c r="F10" s="191">
        <v>7714.5422584598073</v>
      </c>
    </row>
    <row r="11" spans="2:6" x14ac:dyDescent="0.3">
      <c r="B11" s="34" t="s">
        <v>240</v>
      </c>
      <c r="C11" s="118">
        <v>8.9985830157157025</v>
      </c>
      <c r="D11" s="102">
        <v>1.1163591636745216</v>
      </c>
      <c r="E11" s="98">
        <v>118494.64961584323</v>
      </c>
      <c r="F11" s="191">
        <v>9202.7116897937376</v>
      </c>
    </row>
    <row r="12" spans="2:6" x14ac:dyDescent="0.3">
      <c r="B12" s="34" t="s">
        <v>74</v>
      </c>
      <c r="C12" s="117">
        <v>10.325532561620401</v>
      </c>
      <c r="D12" s="101">
        <v>1.2161433694815926</v>
      </c>
      <c r="E12" s="97">
        <v>58745.491257648471</v>
      </c>
      <c r="F12" s="191">
        <v>5235.1598645749909</v>
      </c>
    </row>
    <row r="13" spans="2:6" x14ac:dyDescent="0.3">
      <c r="B13" s="34" t="s">
        <v>246</v>
      </c>
      <c r="C13" s="117">
        <v>27.915597983842822</v>
      </c>
      <c r="D13" s="101">
        <v>1.1414120217447301</v>
      </c>
      <c r="E13" s="97">
        <v>120479.18670909102</v>
      </c>
      <c r="F13" s="191">
        <v>29026.983775298282</v>
      </c>
    </row>
    <row r="14" spans="2:6" x14ac:dyDescent="0.3">
      <c r="B14" s="10" t="s">
        <v>247</v>
      </c>
      <c r="C14" s="117">
        <v>48.685383445923506</v>
      </c>
      <c r="D14" s="101">
        <v>1.1327522211390391</v>
      </c>
      <c r="E14" s="97">
        <v>110680.7453614078</v>
      </c>
      <c r="F14" s="191">
        <v>46506.495842530159</v>
      </c>
    </row>
    <row r="15" spans="2:6" x14ac:dyDescent="0.3">
      <c r="B15" s="10" t="s">
        <v>241</v>
      </c>
      <c r="C15" s="117">
        <v>8.7493450456294521</v>
      </c>
      <c r="D15" s="101">
        <v>1.1669595553427827</v>
      </c>
      <c r="E15" s="97">
        <v>62979.4709026727</v>
      </c>
      <c r="F15" s="191">
        <v>4755.7333863516951</v>
      </c>
    </row>
    <row r="16" spans="2:6" x14ac:dyDescent="0.3">
      <c r="B16" s="10" t="s">
        <v>75</v>
      </c>
      <c r="C16" s="117">
        <v>6.1306598620239132</v>
      </c>
      <c r="D16" s="101">
        <v>1.1000267620280511</v>
      </c>
      <c r="E16" s="97">
        <v>101059.66992684884</v>
      </c>
      <c r="F16" s="191">
        <v>5347.2199013750924</v>
      </c>
    </row>
    <row r="17" spans="2:17" x14ac:dyDescent="0.3">
      <c r="B17" s="10" t="s">
        <v>76</v>
      </c>
      <c r="C17" s="117">
        <v>7.3317863876907712</v>
      </c>
      <c r="D17" s="101">
        <v>1.0815836456671064</v>
      </c>
      <c r="E17" s="97">
        <v>143224.2357407785</v>
      </c>
      <c r="F17" s="191">
        <v>9062.9433299332377</v>
      </c>
    </row>
    <row r="18" spans="2:17" x14ac:dyDescent="0.3">
      <c r="B18" s="10" t="s">
        <v>77</v>
      </c>
      <c r="C18" s="117">
        <v>2.1947700066852107</v>
      </c>
      <c r="D18" s="101">
        <v>1.0285373341973296</v>
      </c>
      <c r="E18" s="97">
        <v>155100.04412954958</v>
      </c>
      <c r="F18" s="191">
        <v>2937.9465173588142</v>
      </c>
    </row>
    <row r="19" spans="2:17" x14ac:dyDescent="0.3">
      <c r="B19" s="9" t="s">
        <v>260</v>
      </c>
      <c r="C19" s="120">
        <v>1.8058113208674664</v>
      </c>
      <c r="D19" s="103">
        <v>1.120415958296471</v>
      </c>
      <c r="E19" s="99">
        <v>124499.88493456053</v>
      </c>
      <c r="F19" s="192">
        <v>1940.3687384193017</v>
      </c>
      <c r="H19" s="3"/>
    </row>
    <row r="20" spans="2:17" x14ac:dyDescent="0.3">
      <c r="B20" s="10" t="s">
        <v>78</v>
      </c>
      <c r="C20" s="118">
        <v>4.1521660916025791</v>
      </c>
      <c r="D20" s="101">
        <v>1.2806488850254285</v>
      </c>
      <c r="E20" s="97">
        <v>31252.755959225549</v>
      </c>
      <c r="F20" s="191">
        <v>1119.9689587100279</v>
      </c>
      <c r="H20" s="3"/>
    </row>
    <row r="21" spans="2:17" x14ac:dyDescent="0.3">
      <c r="B21" s="111" t="s">
        <v>12</v>
      </c>
      <c r="C21" s="121">
        <v>0.47359899089094454</v>
      </c>
      <c r="D21" s="104">
        <v>1.1477311391195979</v>
      </c>
      <c r="E21" s="100">
        <v>65428.627828288823</v>
      </c>
      <c r="F21" s="193">
        <v>267.43702245646028</v>
      </c>
      <c r="H21" s="3"/>
    </row>
    <row r="22" spans="2:17" x14ac:dyDescent="0.3">
      <c r="B22" s="9"/>
      <c r="C22" s="9"/>
      <c r="D22" s="9"/>
      <c r="E22" s="9"/>
      <c r="F22" s="194"/>
      <c r="G22" s="9"/>
      <c r="H22" s="9"/>
    </row>
    <row r="23" spans="2:17" x14ac:dyDescent="0.3">
      <c r="B23" s="9"/>
      <c r="C23" s="9"/>
      <c r="D23" s="9"/>
      <c r="E23" s="9"/>
      <c r="F23" s="9"/>
      <c r="G23" s="9"/>
      <c r="H23" s="9"/>
    </row>
    <row r="24" spans="2:17" ht="18.75" customHeight="1" x14ac:dyDescent="0.3">
      <c r="B24" s="1" t="s">
        <v>132</v>
      </c>
    </row>
    <row r="25" spans="2:17" ht="13.5" customHeight="1" x14ac:dyDescent="0.3">
      <c r="N25" s="30"/>
      <c r="O25" s="30" t="s">
        <v>157</v>
      </c>
      <c r="Q25" s="30"/>
    </row>
    <row r="26" spans="2:17" ht="28.5" customHeight="1" x14ac:dyDescent="0.3">
      <c r="B26" s="305"/>
      <c r="C26" s="306"/>
      <c r="D26" s="226" t="s">
        <v>244</v>
      </c>
      <c r="E26" s="226" t="s">
        <v>245</v>
      </c>
      <c r="F26" s="226" t="s">
        <v>243</v>
      </c>
      <c r="G26" s="237" t="s">
        <v>246</v>
      </c>
      <c r="H26" s="237" t="s">
        <v>247</v>
      </c>
      <c r="I26" s="226" t="s">
        <v>241</v>
      </c>
      <c r="J26" s="226" t="s">
        <v>242</v>
      </c>
      <c r="K26" s="226" t="s">
        <v>76</v>
      </c>
      <c r="L26" s="226" t="s">
        <v>77</v>
      </c>
      <c r="M26" s="226" t="s">
        <v>261</v>
      </c>
      <c r="N26" s="227" t="s">
        <v>78</v>
      </c>
      <c r="O26" s="227" t="s">
        <v>12</v>
      </c>
      <c r="P26" s="107"/>
      <c r="Q26" s="107"/>
    </row>
    <row r="27" spans="2:17" x14ac:dyDescent="0.3">
      <c r="B27" s="292" t="s">
        <v>20</v>
      </c>
      <c r="C27" s="292"/>
      <c r="D27" s="86">
        <v>5.634954708540107</v>
      </c>
      <c r="E27" s="86">
        <v>8.9985830157157025</v>
      </c>
      <c r="F27" s="88">
        <v>10.325532561620401</v>
      </c>
      <c r="G27" s="88">
        <v>27.915597983842822</v>
      </c>
      <c r="H27" s="86">
        <v>48.685383445923506</v>
      </c>
      <c r="I27" s="88">
        <v>8.7493450456294521</v>
      </c>
      <c r="J27" s="86">
        <v>6.1306598620239132</v>
      </c>
      <c r="K27" s="86">
        <v>7.3317863876907712</v>
      </c>
      <c r="L27" s="86">
        <v>2.1947700066852107</v>
      </c>
      <c r="M27" s="88">
        <v>1.8058113208674664</v>
      </c>
      <c r="N27" s="86">
        <v>4.1521660916025791</v>
      </c>
      <c r="O27" s="86">
        <v>0.47359899089094454</v>
      </c>
      <c r="P27" s="46"/>
      <c r="Q27" s="46"/>
    </row>
    <row r="28" spans="2:17" x14ac:dyDescent="0.3">
      <c r="B28" s="296" t="s">
        <v>5</v>
      </c>
      <c r="C28" s="13" t="s">
        <v>0</v>
      </c>
      <c r="D28" s="84">
        <v>6.7135335245356975</v>
      </c>
      <c r="E28" s="84">
        <v>9.5430658599988369</v>
      </c>
      <c r="F28" s="89">
        <v>8.8412727923121182</v>
      </c>
      <c r="G28" s="89">
        <v>29.127016914363001</v>
      </c>
      <c r="H28" s="84">
        <v>49.950173607209138</v>
      </c>
      <c r="I28" s="89">
        <v>8.3807079033288083</v>
      </c>
      <c r="J28" s="84">
        <v>2.8514598046322801</v>
      </c>
      <c r="K28" s="84">
        <v>8.8559063958213393</v>
      </c>
      <c r="L28" s="84">
        <v>2.3871117895072751</v>
      </c>
      <c r="M28" s="89">
        <v>2.2059459322799482</v>
      </c>
      <c r="N28" s="84">
        <v>4.0060177265049788</v>
      </c>
      <c r="O28" s="84">
        <v>0.42227772488071291</v>
      </c>
      <c r="P28" s="46"/>
      <c r="Q28" s="46"/>
    </row>
    <row r="29" spans="2:17" x14ac:dyDescent="0.3">
      <c r="B29" s="295"/>
      <c r="C29" s="12" t="s">
        <v>1</v>
      </c>
      <c r="D29" s="90">
        <v>4.5787011039254661</v>
      </c>
      <c r="E29" s="90">
        <v>8.46537027465682</v>
      </c>
      <c r="F29" s="90">
        <v>11.779070039147161</v>
      </c>
      <c r="G29" s="90">
        <v>26.729253886327882</v>
      </c>
      <c r="H29" s="90">
        <v>47.446772834322168</v>
      </c>
      <c r="I29" s="90">
        <v>9.1103518673611212</v>
      </c>
      <c r="J29" s="90">
        <v>9.3419846437691625</v>
      </c>
      <c r="K29" s="90">
        <v>5.8392137276508649</v>
      </c>
      <c r="L29" s="90">
        <v>2.0064094544372844</v>
      </c>
      <c r="M29" s="90">
        <v>1.4139589876233785</v>
      </c>
      <c r="N29" s="90">
        <v>4.2952893711936895</v>
      </c>
      <c r="O29" s="90">
        <v>0.52385797188775107</v>
      </c>
      <c r="P29" s="46"/>
      <c r="Q29" s="46"/>
    </row>
    <row r="30" spans="2:17" x14ac:dyDescent="0.3">
      <c r="B30" s="296" t="s">
        <v>4</v>
      </c>
      <c r="C30" s="9" t="s">
        <v>175</v>
      </c>
      <c r="D30" s="86">
        <v>0.89652391995575409</v>
      </c>
      <c r="E30" s="86">
        <v>4.8448634045434353</v>
      </c>
      <c r="F30" s="88">
        <v>16.931162593582407</v>
      </c>
      <c r="G30" s="88">
        <v>29.536245148475889</v>
      </c>
      <c r="H30" s="86">
        <v>47.440352647638647</v>
      </c>
      <c r="I30" s="88">
        <v>9.2193152954398112</v>
      </c>
      <c r="J30" s="86">
        <v>6.7730590857316351</v>
      </c>
      <c r="K30" s="86">
        <v>3.369002553324056</v>
      </c>
      <c r="L30" s="86">
        <v>0</v>
      </c>
      <c r="M30" s="88">
        <v>3.9508904346260412</v>
      </c>
      <c r="N30" s="86">
        <v>5.323319025993003</v>
      </c>
      <c r="O30" s="86">
        <v>0.46017437838081576</v>
      </c>
      <c r="P30" s="46"/>
      <c r="Q30" s="46"/>
    </row>
    <row r="31" spans="2:17" x14ac:dyDescent="0.3">
      <c r="B31" s="292"/>
      <c r="C31" s="9" t="s">
        <v>176</v>
      </c>
      <c r="D31" s="86">
        <v>7.5451417641005447</v>
      </c>
      <c r="E31" s="86">
        <v>9.8151117991101433</v>
      </c>
      <c r="F31" s="88">
        <v>14.982832765545368</v>
      </c>
      <c r="G31" s="88">
        <v>25.624463119521419</v>
      </c>
      <c r="H31" s="86">
        <v>50.604745740940395</v>
      </c>
      <c r="I31" s="88">
        <v>13.37558357381894</v>
      </c>
      <c r="J31" s="86">
        <v>10.208600261785522</v>
      </c>
      <c r="K31" s="86">
        <v>4.6885518790611238</v>
      </c>
      <c r="L31" s="86">
        <v>2.0438790760300298</v>
      </c>
      <c r="M31" s="88">
        <v>2.644290812500584</v>
      </c>
      <c r="N31" s="86">
        <v>4.8345059060538418</v>
      </c>
      <c r="O31" s="86">
        <v>0.29135874822658209</v>
      </c>
      <c r="P31" s="46"/>
      <c r="Q31" s="46"/>
    </row>
    <row r="32" spans="2:17" x14ac:dyDescent="0.3">
      <c r="B32" s="292"/>
      <c r="C32" s="9" t="s">
        <v>177</v>
      </c>
      <c r="D32" s="86">
        <v>6.3394584918032004</v>
      </c>
      <c r="E32" s="86">
        <v>9.8845065078558783</v>
      </c>
      <c r="F32" s="88">
        <v>13.772737416799913</v>
      </c>
      <c r="G32" s="88">
        <v>25.466079594527262</v>
      </c>
      <c r="H32" s="86">
        <v>53.203201387299202</v>
      </c>
      <c r="I32" s="88">
        <v>9.9867050703397702</v>
      </c>
      <c r="J32" s="86">
        <v>8.0149213733854552</v>
      </c>
      <c r="K32" s="86">
        <v>6.1379689160333051</v>
      </c>
      <c r="L32" s="86">
        <v>1.7158748335810017</v>
      </c>
      <c r="M32" s="88">
        <v>1.3355074852417088</v>
      </c>
      <c r="N32" s="86">
        <v>5.7529347926607679</v>
      </c>
      <c r="O32" s="86">
        <v>0.53350340940055796</v>
      </c>
      <c r="P32" s="46"/>
      <c r="Q32" s="46"/>
    </row>
    <row r="33" spans="2:17" x14ac:dyDescent="0.3">
      <c r="B33" s="292"/>
      <c r="C33" s="9" t="s">
        <v>178</v>
      </c>
      <c r="D33" s="86">
        <v>6.3465509844139847</v>
      </c>
      <c r="E33" s="86">
        <v>7.3006650408853329</v>
      </c>
      <c r="F33" s="88">
        <v>9.7421195507929852</v>
      </c>
      <c r="G33" s="88">
        <v>27.841127460178335</v>
      </c>
      <c r="H33" s="86">
        <v>50.715415806153416</v>
      </c>
      <c r="I33" s="88">
        <v>10.029308435048852</v>
      </c>
      <c r="J33" s="86">
        <v>5.836509091339539</v>
      </c>
      <c r="K33" s="86">
        <v>4.9933250616467184</v>
      </c>
      <c r="L33" s="86">
        <v>1.751267950298814</v>
      </c>
      <c r="M33" s="88">
        <v>2.1055823478915432</v>
      </c>
      <c r="N33" s="86">
        <v>4.4614180138986246</v>
      </c>
      <c r="O33" s="86">
        <v>0.23842241952068957</v>
      </c>
      <c r="P33" s="46"/>
      <c r="Q33" s="46"/>
    </row>
    <row r="34" spans="2:17" x14ac:dyDescent="0.3">
      <c r="B34" s="292"/>
      <c r="C34" s="9" t="s">
        <v>179</v>
      </c>
      <c r="D34" s="86">
        <v>4.7568162539089487</v>
      </c>
      <c r="E34" s="86">
        <v>8.0709921016322301</v>
      </c>
      <c r="F34" s="88">
        <v>8.4489736918962297</v>
      </c>
      <c r="G34" s="88">
        <v>30.761643572192504</v>
      </c>
      <c r="H34" s="86">
        <v>47.280149727583357</v>
      </c>
      <c r="I34" s="88">
        <v>6.7915083616042944</v>
      </c>
      <c r="J34" s="86">
        <v>4.9260471686964875</v>
      </c>
      <c r="K34" s="86">
        <v>8.1003230353330213</v>
      </c>
      <c r="L34" s="86">
        <v>2.5228598980771415</v>
      </c>
      <c r="M34" s="88">
        <v>1.7660179138538123</v>
      </c>
      <c r="N34" s="86">
        <v>3.2586755118954551</v>
      </c>
      <c r="O34" s="86">
        <v>0.79016608641697839</v>
      </c>
      <c r="P34" s="46"/>
      <c r="Q34" s="46"/>
    </row>
    <row r="35" spans="2:17" x14ac:dyDescent="0.3">
      <c r="B35" s="298"/>
      <c r="C35" s="12" t="s">
        <v>180</v>
      </c>
      <c r="D35" s="90">
        <v>4.9261290498553478</v>
      </c>
      <c r="E35" s="90">
        <v>11.433671157604495</v>
      </c>
      <c r="F35" s="91">
        <v>6.3357532186524583</v>
      </c>
      <c r="G35" s="91">
        <v>27.662944723372927</v>
      </c>
      <c r="H35" s="90">
        <v>43.652480204960121</v>
      </c>
      <c r="I35" s="91">
        <v>5.6330373458900951</v>
      </c>
      <c r="J35" s="90">
        <v>3.6193670229253607</v>
      </c>
      <c r="K35" s="90">
        <v>12.274377714425901</v>
      </c>
      <c r="L35" s="90">
        <v>3.1143589197380037</v>
      </c>
      <c r="M35" s="91">
        <v>0.96918959218320211</v>
      </c>
      <c r="N35" s="90">
        <v>3.019073689737954</v>
      </c>
      <c r="O35" s="90">
        <v>0.41611447260623374</v>
      </c>
      <c r="P35" s="46"/>
      <c r="Q35" s="46"/>
    </row>
    <row r="36" spans="2:17" x14ac:dyDescent="0.3">
      <c r="B36" s="292" t="s">
        <v>223</v>
      </c>
      <c r="C36" s="9" t="s">
        <v>210</v>
      </c>
      <c r="D36" s="86">
        <v>0.90010097178908932</v>
      </c>
      <c r="E36" s="86">
        <v>4.597014089597411</v>
      </c>
      <c r="F36" s="88">
        <v>14.563543724325267</v>
      </c>
      <c r="G36" s="88">
        <v>38.757579077099599</v>
      </c>
      <c r="H36" s="86">
        <v>46.095741345507463</v>
      </c>
      <c r="I36" s="88">
        <v>12.310056777883188</v>
      </c>
      <c r="J36" s="86">
        <v>2.2429097795214079</v>
      </c>
      <c r="K36" s="86">
        <v>5.4856726140768659</v>
      </c>
      <c r="L36" s="86">
        <v>0</v>
      </c>
      <c r="M36" s="88">
        <v>4.1827286732802005</v>
      </c>
      <c r="N36" s="86">
        <v>2.885046007906634</v>
      </c>
      <c r="O36" s="86">
        <v>0</v>
      </c>
      <c r="P36" s="46"/>
      <c r="Q36" s="46"/>
    </row>
    <row r="37" spans="2:17" x14ac:dyDescent="0.3">
      <c r="B37" s="292"/>
      <c r="C37" s="9" t="s">
        <v>211</v>
      </c>
      <c r="D37" s="86">
        <v>7.7954281824012313</v>
      </c>
      <c r="E37" s="86">
        <v>10.837823914687023</v>
      </c>
      <c r="F37" s="88">
        <v>15.240120377494071</v>
      </c>
      <c r="G37" s="88">
        <v>28.595549703574246</v>
      </c>
      <c r="H37" s="86">
        <v>51.503825899513522</v>
      </c>
      <c r="I37" s="88">
        <v>12.743602492554245</v>
      </c>
      <c r="J37" s="86">
        <v>4.5845435150956853</v>
      </c>
      <c r="K37" s="86">
        <v>5.6247815391146219</v>
      </c>
      <c r="L37" s="86">
        <v>1.8999820039133044</v>
      </c>
      <c r="M37" s="88">
        <v>3.1947894741989038</v>
      </c>
      <c r="N37" s="86">
        <v>5.148100439143092</v>
      </c>
      <c r="O37" s="86">
        <v>0.38615367219165581</v>
      </c>
      <c r="P37" s="46"/>
      <c r="Q37" s="46"/>
    </row>
    <row r="38" spans="2:17" x14ac:dyDescent="0.3">
      <c r="B38" s="292"/>
      <c r="C38" s="9" t="s">
        <v>212</v>
      </c>
      <c r="D38" s="86">
        <v>7.8405155412117091</v>
      </c>
      <c r="E38" s="86">
        <v>9.3134214239483377</v>
      </c>
      <c r="F38" s="88">
        <v>11.599255465693048</v>
      </c>
      <c r="G38" s="88">
        <v>27.569256774371194</v>
      </c>
      <c r="H38" s="86">
        <v>54.227955418908358</v>
      </c>
      <c r="I38" s="88">
        <v>7.6022493350756948</v>
      </c>
      <c r="J38" s="86">
        <v>5.5411616416542353</v>
      </c>
      <c r="K38" s="86">
        <v>8.4043968253147465</v>
      </c>
      <c r="L38" s="86">
        <v>1.6819472266711073</v>
      </c>
      <c r="M38" s="88">
        <v>1.2565449406615499</v>
      </c>
      <c r="N38" s="86">
        <v>5.1465903005470608</v>
      </c>
      <c r="O38" s="86">
        <v>0.59297178146435214</v>
      </c>
      <c r="P38" s="46"/>
      <c r="Q38" s="46"/>
    </row>
    <row r="39" spans="2:17" x14ac:dyDescent="0.3">
      <c r="B39" s="292"/>
      <c r="C39" s="9" t="s">
        <v>213</v>
      </c>
      <c r="D39" s="86">
        <v>7.1783318603042403</v>
      </c>
      <c r="E39" s="86">
        <v>8.183531030205458</v>
      </c>
      <c r="F39" s="88">
        <v>8.3384122947142743</v>
      </c>
      <c r="G39" s="88">
        <v>29.042104093379468</v>
      </c>
      <c r="H39" s="86">
        <v>51.930059685864848</v>
      </c>
      <c r="I39" s="88">
        <v>10.997934457652189</v>
      </c>
      <c r="J39" s="86">
        <v>2.7235115895721784</v>
      </c>
      <c r="K39" s="86">
        <v>6.2249964313198349</v>
      </c>
      <c r="L39" s="86">
        <v>2.1815038168331213</v>
      </c>
      <c r="M39" s="88">
        <v>2.043272487707759</v>
      </c>
      <c r="N39" s="86">
        <v>4.3442856093624496</v>
      </c>
      <c r="O39" s="86">
        <v>0.1091120053524105</v>
      </c>
      <c r="P39" s="46"/>
      <c r="Q39" s="46"/>
    </row>
    <row r="40" spans="2:17" x14ac:dyDescent="0.3">
      <c r="B40" s="292"/>
      <c r="C40" s="9" t="s">
        <v>214</v>
      </c>
      <c r="D40" s="86">
        <v>6.1180946145247921</v>
      </c>
      <c r="E40" s="86">
        <v>8.5861176840444564</v>
      </c>
      <c r="F40" s="88">
        <v>5.7871218284803234</v>
      </c>
      <c r="G40" s="88">
        <v>30.568870845311221</v>
      </c>
      <c r="H40" s="86">
        <v>49.247599636087884</v>
      </c>
      <c r="I40" s="88">
        <v>5.8353262761861266</v>
      </c>
      <c r="J40" s="86">
        <v>1.6923197563191483</v>
      </c>
      <c r="K40" s="86">
        <v>9.6935422969119145</v>
      </c>
      <c r="L40" s="86">
        <v>2.5265365795187082</v>
      </c>
      <c r="M40" s="88">
        <v>2.6400909718360506</v>
      </c>
      <c r="N40" s="86">
        <v>3.4396118239676947</v>
      </c>
      <c r="O40" s="86">
        <v>0.73128777153994606</v>
      </c>
      <c r="P40" s="46"/>
      <c r="Q40" s="46"/>
    </row>
    <row r="41" spans="2:17" x14ac:dyDescent="0.3">
      <c r="B41" s="292"/>
      <c r="C41" s="12" t="s">
        <v>215</v>
      </c>
      <c r="D41" s="90">
        <v>6.1986138747062292</v>
      </c>
      <c r="E41" s="90">
        <v>12.617791004998658</v>
      </c>
      <c r="F41" s="91">
        <v>5.0165350432823095</v>
      </c>
      <c r="G41" s="91">
        <v>27.213174572047567</v>
      </c>
      <c r="H41" s="90">
        <v>44.224490793063467</v>
      </c>
      <c r="I41" s="91">
        <v>5.0893219291995004</v>
      </c>
      <c r="J41" s="90">
        <v>0.97771325567565648</v>
      </c>
      <c r="K41" s="90">
        <v>14.579071979372127</v>
      </c>
      <c r="L41" s="90">
        <v>3.9051958225883108</v>
      </c>
      <c r="M41" s="91">
        <v>1.4570087073293558</v>
      </c>
      <c r="N41" s="90">
        <v>2.6642132086467374</v>
      </c>
      <c r="O41" s="90">
        <v>0.33866312932376125</v>
      </c>
      <c r="P41" s="46"/>
      <c r="Q41" s="46"/>
    </row>
    <row r="42" spans="2:17" x14ac:dyDescent="0.3">
      <c r="B42" s="292"/>
      <c r="C42" s="9" t="s">
        <v>216</v>
      </c>
      <c r="D42" s="86">
        <v>0.89309242441422743</v>
      </c>
      <c r="E42" s="86">
        <v>5.0826273114798903</v>
      </c>
      <c r="F42" s="88">
        <v>19.20243904481498</v>
      </c>
      <c r="G42" s="88">
        <v>20.690142900774962</v>
      </c>
      <c r="H42" s="86">
        <v>48.730249440677014</v>
      </c>
      <c r="I42" s="88">
        <v>6.2543413137432706</v>
      </c>
      <c r="J42" s="86">
        <v>11.118868951232127</v>
      </c>
      <c r="K42" s="86">
        <v>1.338463378948735</v>
      </c>
      <c r="L42" s="86">
        <v>0</v>
      </c>
      <c r="M42" s="88">
        <v>3.7284860861948994</v>
      </c>
      <c r="N42" s="86">
        <v>7.662374589185446</v>
      </c>
      <c r="O42" s="86">
        <v>0.90162348264685077</v>
      </c>
      <c r="P42" s="46"/>
      <c r="Q42" s="46"/>
    </row>
    <row r="43" spans="2:17" x14ac:dyDescent="0.3">
      <c r="B43" s="292"/>
      <c r="C43" s="9" t="s">
        <v>217</v>
      </c>
      <c r="D43" s="86">
        <v>7.2551893488691048</v>
      </c>
      <c r="E43" s="86">
        <v>8.6303177938608204</v>
      </c>
      <c r="F43" s="88">
        <v>14.684769590563029</v>
      </c>
      <c r="G43" s="88">
        <v>22.182511547571117</v>
      </c>
      <c r="H43" s="86">
        <v>49.563177184264639</v>
      </c>
      <c r="I43" s="88">
        <v>14.107722545391621</v>
      </c>
      <c r="J43" s="86">
        <v>16.723971124387973</v>
      </c>
      <c r="K43" s="86">
        <v>3.6039462780584333</v>
      </c>
      <c r="L43" s="86">
        <v>2.2105813041743185</v>
      </c>
      <c r="M43" s="88">
        <v>2.0065477914256431</v>
      </c>
      <c r="N43" s="86">
        <v>4.4712121528811544</v>
      </c>
      <c r="O43" s="86">
        <v>0.18154049543456105</v>
      </c>
      <c r="P43" s="46"/>
      <c r="Q43" s="46"/>
    </row>
    <row r="44" spans="2:17" x14ac:dyDescent="0.3">
      <c r="B44" s="292"/>
      <c r="C44" s="9" t="s">
        <v>218</v>
      </c>
      <c r="D44" s="86">
        <v>4.8445643018848035</v>
      </c>
      <c r="E44" s="86">
        <v>10.45324689931466</v>
      </c>
      <c r="F44" s="88">
        <v>15.937295747132977</v>
      </c>
      <c r="G44" s="88">
        <v>23.371537386583501</v>
      </c>
      <c r="H44" s="86">
        <v>52.182654667538785</v>
      </c>
      <c r="I44" s="88">
        <v>12.361370994042433</v>
      </c>
      <c r="J44" s="86">
        <v>10.478524639947814</v>
      </c>
      <c r="K44" s="86">
        <v>3.8808462338615497</v>
      </c>
      <c r="L44" s="86">
        <v>1.7496631446031843</v>
      </c>
      <c r="M44" s="88">
        <v>1.4141458349037563</v>
      </c>
      <c r="N44" s="86">
        <v>6.3567898284883935</v>
      </c>
      <c r="O44" s="86">
        <v>0.47427919542607944</v>
      </c>
      <c r="P44" s="46"/>
      <c r="Q44" s="46"/>
    </row>
    <row r="45" spans="2:17" x14ac:dyDescent="0.3">
      <c r="B45" s="292"/>
      <c r="C45" s="9" t="s">
        <v>219</v>
      </c>
      <c r="D45" s="86">
        <v>5.4909082595964698</v>
      </c>
      <c r="E45" s="86">
        <v>6.3924716901521252</v>
      </c>
      <c r="F45" s="88">
        <v>11.1860958866903</v>
      </c>
      <c r="G45" s="88">
        <v>26.60569761481883</v>
      </c>
      <c r="H45" s="86">
        <v>49.465926632930326</v>
      </c>
      <c r="I45" s="88">
        <v>9.0328947961534158</v>
      </c>
      <c r="J45" s="86">
        <v>9.0388112143736699</v>
      </c>
      <c r="K45" s="86">
        <v>3.7263199195786272</v>
      </c>
      <c r="L45" s="86">
        <v>1.3086896224890499</v>
      </c>
      <c r="M45" s="88">
        <v>2.1696797323061672</v>
      </c>
      <c r="N45" s="86">
        <v>4.581910673307906</v>
      </c>
      <c r="O45" s="86">
        <v>0.37144244719061498</v>
      </c>
      <c r="P45" s="46"/>
      <c r="Q45" s="46"/>
    </row>
    <row r="46" spans="2:17" x14ac:dyDescent="0.3">
      <c r="B46" s="292"/>
      <c r="C46" s="9" t="s">
        <v>220</v>
      </c>
      <c r="D46" s="86">
        <v>3.3901581485293568</v>
      </c>
      <c r="E46" s="86">
        <v>7.5538307532556805</v>
      </c>
      <c r="F46" s="88">
        <v>11.12134514046001</v>
      </c>
      <c r="G46" s="88">
        <v>30.955178133022425</v>
      </c>
      <c r="H46" s="86">
        <v>45.304924496522744</v>
      </c>
      <c r="I46" s="88">
        <v>7.7514692594360364</v>
      </c>
      <c r="J46" s="86">
        <v>8.1725542069150929</v>
      </c>
      <c r="K46" s="86">
        <v>6.5008074032042877</v>
      </c>
      <c r="L46" s="86">
        <v>2.5191686864643401</v>
      </c>
      <c r="M46" s="88">
        <v>0.88849053668683498</v>
      </c>
      <c r="N46" s="86">
        <v>3.0770241431488796</v>
      </c>
      <c r="O46" s="86">
        <v>0.84927708721288209</v>
      </c>
      <c r="P46" s="46"/>
      <c r="Q46" s="46"/>
    </row>
    <row r="47" spans="2:17" x14ac:dyDescent="0.3">
      <c r="B47" s="295"/>
      <c r="C47" s="9" t="s">
        <v>221</v>
      </c>
      <c r="D47" s="90">
        <v>3.9124065862607895</v>
      </c>
      <c r="E47" s="90">
        <v>10.490344474685251</v>
      </c>
      <c r="F47" s="91">
        <v>7.3867057114742067</v>
      </c>
      <c r="G47" s="91">
        <v>28.021253205288204</v>
      </c>
      <c r="H47" s="90">
        <v>43.19678912617416</v>
      </c>
      <c r="I47" s="91">
        <v>6.0661871335635746</v>
      </c>
      <c r="J47" s="90">
        <v>5.7238351569276293</v>
      </c>
      <c r="K47" s="90">
        <v>10.438347686824317</v>
      </c>
      <c r="L47" s="90">
        <v>2.4843402996315906</v>
      </c>
      <c r="M47" s="91">
        <v>0.58056948014970766</v>
      </c>
      <c r="N47" s="90">
        <v>3.3017725747060092</v>
      </c>
      <c r="O47" s="90">
        <v>0.47781592867681005</v>
      </c>
      <c r="P47" s="46"/>
      <c r="Q47" s="46"/>
    </row>
    <row r="48" spans="2:17" ht="16.5" customHeight="1" x14ac:dyDescent="0.3">
      <c r="B48" s="291" t="s">
        <v>222</v>
      </c>
      <c r="C48" s="13" t="s">
        <v>226</v>
      </c>
      <c r="D48" s="84">
        <v>4.8723082260801611</v>
      </c>
      <c r="E48" s="84">
        <v>8.8594216255060942</v>
      </c>
      <c r="F48" s="84">
        <v>13.056472877945414</v>
      </c>
      <c r="G48" s="84">
        <v>26.896775467830519</v>
      </c>
      <c r="H48" s="84">
        <v>47.473184598907224</v>
      </c>
      <c r="I48" s="84">
        <v>10.469700059074208</v>
      </c>
      <c r="J48" s="84">
        <v>6.4955157581636103</v>
      </c>
      <c r="K48" s="84">
        <v>6.6941629368378139</v>
      </c>
      <c r="L48" s="84">
        <v>1.0000410407307596</v>
      </c>
      <c r="M48" s="84">
        <v>2.106063279695936</v>
      </c>
      <c r="N48" s="84">
        <v>5.5663965111066274</v>
      </c>
      <c r="O48" s="84">
        <v>0.64124240909934682</v>
      </c>
      <c r="P48" s="46"/>
      <c r="Q48" s="46"/>
    </row>
    <row r="49" spans="2:17" x14ac:dyDescent="0.3">
      <c r="B49" s="294"/>
      <c r="C49" s="9" t="s">
        <v>227</v>
      </c>
      <c r="D49" s="86">
        <v>5.139568169236159</v>
      </c>
      <c r="E49" s="86">
        <v>8.0036755000527737</v>
      </c>
      <c r="F49" s="86">
        <v>10.27962430245832</v>
      </c>
      <c r="G49" s="86">
        <v>29.298458030792528</v>
      </c>
      <c r="H49" s="86">
        <v>48.847097922707256</v>
      </c>
      <c r="I49" s="86">
        <v>8.3973010370466348</v>
      </c>
      <c r="J49" s="86">
        <v>6.0561971089250859</v>
      </c>
      <c r="K49" s="86">
        <v>7.6786537552456275</v>
      </c>
      <c r="L49" s="86">
        <v>1.1624931902722968</v>
      </c>
      <c r="M49" s="86">
        <v>1.4948019384923592</v>
      </c>
      <c r="N49" s="86">
        <v>3.8576888599403105</v>
      </c>
      <c r="O49" s="86">
        <v>0.34998568634366062</v>
      </c>
      <c r="P49" s="46"/>
      <c r="Q49" s="46"/>
    </row>
    <row r="50" spans="2:17" x14ac:dyDescent="0.3">
      <c r="B50" s="292"/>
      <c r="C50" s="9" t="s">
        <v>228</v>
      </c>
      <c r="D50" s="86">
        <v>6.4296304571947305</v>
      </c>
      <c r="E50" s="86">
        <v>9.5130432573256272</v>
      </c>
      <c r="F50" s="86">
        <v>10.240563520365358</v>
      </c>
      <c r="G50" s="86">
        <v>27.351396749416327</v>
      </c>
      <c r="H50" s="86">
        <v>49.753908115833092</v>
      </c>
      <c r="I50" s="86">
        <v>8.8485689942550358</v>
      </c>
      <c r="J50" s="86">
        <v>5.5470485593055949</v>
      </c>
      <c r="K50" s="86">
        <v>7.0950142821945912</v>
      </c>
      <c r="L50" s="86">
        <v>2.2635400948039082</v>
      </c>
      <c r="M50" s="86">
        <v>1.5959867340270244</v>
      </c>
      <c r="N50" s="86">
        <v>3.8124517541809579</v>
      </c>
      <c r="O50" s="86">
        <v>0.56021159654868991</v>
      </c>
      <c r="P50" s="46"/>
      <c r="Q50" s="46"/>
    </row>
    <row r="51" spans="2:17" x14ac:dyDescent="0.3">
      <c r="B51" s="295"/>
      <c r="C51" s="12" t="s">
        <v>229</v>
      </c>
      <c r="D51" s="90">
        <v>6.1163993949312907</v>
      </c>
      <c r="E51" s="90">
        <v>9.7215854837448425</v>
      </c>
      <c r="F51" s="90">
        <v>8.2303640700411567</v>
      </c>
      <c r="G51" s="90">
        <v>27.769322808093655</v>
      </c>
      <c r="H51" s="90">
        <v>48.626313336664268</v>
      </c>
      <c r="I51" s="90">
        <v>7.6394164824549122</v>
      </c>
      <c r="J51" s="90">
        <v>6.3893282569809449</v>
      </c>
      <c r="K51" s="90">
        <v>7.6824522731426352</v>
      </c>
      <c r="L51" s="90">
        <v>4.1758763037362048</v>
      </c>
      <c r="M51" s="90">
        <v>2.0563471790417651</v>
      </c>
      <c r="N51" s="90">
        <v>3.5893751705525743</v>
      </c>
      <c r="O51" s="90">
        <v>0.39507395146425012</v>
      </c>
      <c r="P51" s="46"/>
      <c r="Q51" s="46"/>
    </row>
    <row r="52" spans="2:17" x14ac:dyDescent="0.3">
      <c r="B52" s="296" t="s">
        <v>199</v>
      </c>
      <c r="C52" s="13" t="s">
        <v>192</v>
      </c>
      <c r="D52" s="84">
        <v>5.673846909433065</v>
      </c>
      <c r="E52" s="84">
        <v>9.0392093519515466</v>
      </c>
      <c r="F52" s="84">
        <v>10.520528792734071</v>
      </c>
      <c r="G52" s="84">
        <v>28.459530667385135</v>
      </c>
      <c r="H52" s="84">
        <v>48.815010159058232</v>
      </c>
      <c r="I52" s="84">
        <v>8.9812062242665789</v>
      </c>
      <c r="J52" s="84">
        <v>6.961544027305254</v>
      </c>
      <c r="K52" s="84">
        <v>6.6433511927260183</v>
      </c>
      <c r="L52" s="84">
        <v>2.2047647508918451</v>
      </c>
      <c r="M52" s="84">
        <v>1.6765052250600914</v>
      </c>
      <c r="N52" s="84">
        <v>3.8777844948953413</v>
      </c>
      <c r="O52" s="84">
        <v>0.40941686828602325</v>
      </c>
      <c r="P52" s="46"/>
      <c r="Q52" s="46"/>
    </row>
    <row r="53" spans="2:17" ht="16.5" customHeight="1" x14ac:dyDescent="0.3">
      <c r="B53" s="292"/>
      <c r="C53" s="9" t="s">
        <v>200</v>
      </c>
      <c r="D53" s="86">
        <v>3.9643396197518839</v>
      </c>
      <c r="E53" s="86">
        <v>7.8565736850907246</v>
      </c>
      <c r="F53" s="86">
        <v>9.7363970016574708</v>
      </c>
      <c r="G53" s="86">
        <v>26.396421045728395</v>
      </c>
      <c r="H53" s="86">
        <v>46.158257628241053</v>
      </c>
      <c r="I53" s="86">
        <v>9.2304823625550334</v>
      </c>
      <c r="J53" s="86">
        <v>6.7518060468237913</v>
      </c>
      <c r="K53" s="86">
        <v>9.174388410528266</v>
      </c>
      <c r="L53" s="86">
        <v>3.5230785393763093</v>
      </c>
      <c r="M53" s="86">
        <v>2.7608289623313409</v>
      </c>
      <c r="N53" s="86">
        <v>5.9882289172406562</v>
      </c>
      <c r="O53" s="86">
        <v>0.87197823704760513</v>
      </c>
      <c r="P53" s="46"/>
      <c r="Q53" s="46"/>
    </row>
    <row r="54" spans="2:17" x14ac:dyDescent="0.3">
      <c r="B54" s="292"/>
      <c r="C54" s="9" t="s">
        <v>201</v>
      </c>
      <c r="D54" s="86">
        <v>4.3994804223944044</v>
      </c>
      <c r="E54" s="86">
        <v>9.2615386315470207</v>
      </c>
      <c r="F54" s="86">
        <v>10.878034075934544</v>
      </c>
      <c r="G54" s="86">
        <v>29.719397806014701</v>
      </c>
      <c r="H54" s="86">
        <v>46.359739262819083</v>
      </c>
      <c r="I54" s="86">
        <v>7.1632833899667574</v>
      </c>
      <c r="J54" s="86">
        <v>4.6969279479622701</v>
      </c>
      <c r="K54" s="86">
        <v>8.781030259510672</v>
      </c>
      <c r="L54" s="86">
        <v>2.224729599947648</v>
      </c>
      <c r="M54" s="86">
        <v>2.1029127172183326</v>
      </c>
      <c r="N54" s="86">
        <v>4.2281472681212993</v>
      </c>
      <c r="O54" s="86">
        <v>0.44805929487150314</v>
      </c>
      <c r="P54" s="46"/>
      <c r="Q54" s="46"/>
    </row>
    <row r="55" spans="2:17" x14ac:dyDescent="0.3">
      <c r="B55" s="292"/>
      <c r="C55" s="9" t="s">
        <v>202</v>
      </c>
      <c r="D55" s="86">
        <v>6.1444401422198274</v>
      </c>
      <c r="E55" s="86">
        <v>8.3628300616374212</v>
      </c>
      <c r="F55" s="86">
        <v>10.834397835745541</v>
      </c>
      <c r="G55" s="86">
        <v>27.729891170395405</v>
      </c>
      <c r="H55" s="86">
        <v>47.501090180828307</v>
      </c>
      <c r="I55" s="86">
        <v>9.3244469782217934</v>
      </c>
      <c r="J55" s="86">
        <v>5.0637601341697192</v>
      </c>
      <c r="K55" s="86">
        <v>6.9641171034688432</v>
      </c>
      <c r="L55" s="86">
        <v>2.2059076694605237</v>
      </c>
      <c r="M55" s="86">
        <v>1.897068421633703</v>
      </c>
      <c r="N55" s="86">
        <v>4.9487740380192671</v>
      </c>
      <c r="O55" s="86">
        <v>0.49015886259294056</v>
      </c>
      <c r="P55" s="46"/>
      <c r="Q55" s="46"/>
    </row>
    <row r="56" spans="2:17" x14ac:dyDescent="0.3">
      <c r="B56" s="295"/>
      <c r="C56" s="12" t="s">
        <v>203</v>
      </c>
      <c r="D56" s="90">
        <v>6.1725784747652988</v>
      </c>
      <c r="E56" s="90">
        <v>9.2121262363357275</v>
      </c>
      <c r="F56" s="90">
        <v>9.5424692741013803</v>
      </c>
      <c r="G56" s="90">
        <v>26.184535496047999</v>
      </c>
      <c r="H56" s="90">
        <v>50.248805612276961</v>
      </c>
      <c r="I56" s="90">
        <v>8.6088581225202834</v>
      </c>
      <c r="J56" s="90">
        <v>5.1074145310031938</v>
      </c>
      <c r="K56" s="90">
        <v>8.1331539639032702</v>
      </c>
      <c r="L56" s="90">
        <v>1.9338461043935773</v>
      </c>
      <c r="M56" s="90">
        <v>1.7856602354653959</v>
      </c>
      <c r="N56" s="90">
        <v>4.1613153562518974</v>
      </c>
      <c r="O56" s="90">
        <v>0.56195334201039393</v>
      </c>
      <c r="P56" s="46"/>
      <c r="Q56" s="46"/>
    </row>
    <row r="57" spans="2:17" x14ac:dyDescent="0.3">
      <c r="B57" s="291" t="s">
        <v>204</v>
      </c>
      <c r="C57" s="13" t="s">
        <v>192</v>
      </c>
      <c r="D57" s="84">
        <v>5.673846909433065</v>
      </c>
      <c r="E57" s="84">
        <v>9.0392093519515466</v>
      </c>
      <c r="F57" s="84">
        <v>10.520528792734071</v>
      </c>
      <c r="G57" s="84">
        <v>28.459530667385135</v>
      </c>
      <c r="H57" s="84">
        <v>48.815010159058232</v>
      </c>
      <c r="I57" s="84">
        <v>8.9812062242665789</v>
      </c>
      <c r="J57" s="84">
        <v>6.961544027305254</v>
      </c>
      <c r="K57" s="84">
        <v>6.6433511927260183</v>
      </c>
      <c r="L57" s="84">
        <v>2.2047647508918451</v>
      </c>
      <c r="M57" s="84">
        <v>1.6765052250600914</v>
      </c>
      <c r="N57" s="84">
        <v>3.8777844948953413</v>
      </c>
      <c r="O57" s="84">
        <v>0.40941686828602325</v>
      </c>
      <c r="P57" s="46"/>
      <c r="Q57" s="46"/>
    </row>
    <row r="58" spans="2:17" x14ac:dyDescent="0.3">
      <c r="B58" s="295"/>
      <c r="C58" s="12" t="s">
        <v>193</v>
      </c>
      <c r="D58" s="90">
        <v>5.5889245176993168</v>
      </c>
      <c r="E58" s="90">
        <v>8.9505004190210915</v>
      </c>
      <c r="F58" s="90">
        <v>10.09474814918523</v>
      </c>
      <c r="G58" s="90">
        <v>27.271835875936013</v>
      </c>
      <c r="H58" s="90">
        <v>48.531965994437108</v>
      </c>
      <c r="I58" s="90">
        <v>8.4749297629715432</v>
      </c>
      <c r="J58" s="90">
        <v>5.1472812972647279</v>
      </c>
      <c r="K58" s="90">
        <v>8.1465719405298671</v>
      </c>
      <c r="L58" s="90">
        <v>2.182940900266078</v>
      </c>
      <c r="M58" s="90">
        <v>1.9588493112672241</v>
      </c>
      <c r="N58" s="90">
        <v>4.4769056787083983</v>
      </c>
      <c r="O58" s="90">
        <v>0.54956063060885152</v>
      </c>
      <c r="P58" s="46"/>
      <c r="Q58" s="46"/>
    </row>
    <row r="59" spans="2:17" x14ac:dyDescent="0.3">
      <c r="B59" s="291" t="s">
        <v>209</v>
      </c>
      <c r="C59" s="13" t="s">
        <v>205</v>
      </c>
      <c r="D59" s="84">
        <v>5.9269739512223163</v>
      </c>
      <c r="E59" s="84">
        <v>7.9493910931061968</v>
      </c>
      <c r="F59" s="84">
        <v>10.736830493181271</v>
      </c>
      <c r="G59" s="84">
        <v>28.462578385029129</v>
      </c>
      <c r="H59" s="84">
        <v>48.065033177585235</v>
      </c>
      <c r="I59" s="84">
        <v>9.0394381520581195</v>
      </c>
      <c r="J59" s="84">
        <v>7.1435509475401986</v>
      </c>
      <c r="K59" s="84">
        <v>8.0191060345281429</v>
      </c>
      <c r="L59" s="84">
        <v>1.2532740084527936</v>
      </c>
      <c r="M59" s="84">
        <v>1.7375318216868583</v>
      </c>
      <c r="N59" s="84">
        <v>4.9867462448407629</v>
      </c>
      <c r="O59" s="84">
        <v>0.35556184111980038</v>
      </c>
      <c r="P59" s="46"/>
      <c r="Q59" s="46"/>
    </row>
    <row r="60" spans="2:17" x14ac:dyDescent="0.3">
      <c r="B60" s="292"/>
      <c r="C60" s="9" t="s">
        <v>206</v>
      </c>
      <c r="D60" s="86">
        <v>5.3243953540384075</v>
      </c>
      <c r="E60" s="86">
        <v>8.7815310479021313</v>
      </c>
      <c r="F60" s="86">
        <v>9.2518080544915549</v>
      </c>
      <c r="G60" s="86">
        <v>26.134516248236377</v>
      </c>
      <c r="H60" s="86">
        <v>48.122784685300914</v>
      </c>
      <c r="I60" s="86">
        <v>6.4279655327297371</v>
      </c>
      <c r="J60" s="86">
        <v>6.4611076455727199</v>
      </c>
      <c r="K60" s="86">
        <v>8.1413005274198458</v>
      </c>
      <c r="L60" s="86">
        <v>1.6340850840381944</v>
      </c>
      <c r="M60" s="86">
        <v>0.78327801843772971</v>
      </c>
      <c r="N60" s="86">
        <v>3.2454852871693944</v>
      </c>
      <c r="O60" s="86">
        <v>0.55231273227077005</v>
      </c>
      <c r="P60" s="46"/>
      <c r="Q60" s="46"/>
    </row>
    <row r="61" spans="2:17" x14ac:dyDescent="0.3">
      <c r="B61" s="292"/>
      <c r="C61" s="9" t="s">
        <v>207</v>
      </c>
      <c r="D61" s="86">
        <v>4.5624383941045421</v>
      </c>
      <c r="E61" s="86">
        <v>9.1599381163052254</v>
      </c>
      <c r="F61" s="86">
        <v>10.444695886055499</v>
      </c>
      <c r="G61" s="86">
        <v>28.374406480247654</v>
      </c>
      <c r="H61" s="86">
        <v>49.554889945280337</v>
      </c>
      <c r="I61" s="86">
        <v>9.6330729551850478</v>
      </c>
      <c r="J61" s="86">
        <v>5.8205497620404056</v>
      </c>
      <c r="K61" s="86">
        <v>7.1258526013018102</v>
      </c>
      <c r="L61" s="86">
        <v>2.2271295316266047</v>
      </c>
      <c r="M61" s="86">
        <v>1.9604513052541022</v>
      </c>
      <c r="N61" s="86">
        <v>3.4873912709216088</v>
      </c>
      <c r="O61" s="86">
        <v>0.3134622421844413</v>
      </c>
      <c r="P61" s="46"/>
      <c r="Q61" s="46"/>
    </row>
    <row r="62" spans="2:17" x14ac:dyDescent="0.3">
      <c r="B62" s="293"/>
      <c r="C62" s="25" t="s">
        <v>208</v>
      </c>
      <c r="D62" s="87">
        <v>6.6598776035836336</v>
      </c>
      <c r="E62" s="87">
        <v>9.388372347782985</v>
      </c>
      <c r="F62" s="87">
        <v>10.678204805235232</v>
      </c>
      <c r="G62" s="87">
        <v>28.319696704160251</v>
      </c>
      <c r="H62" s="87">
        <v>48.47388550502739</v>
      </c>
      <c r="I62" s="87">
        <v>9.1851758927061073</v>
      </c>
      <c r="J62" s="87">
        <v>5.8226684471880503</v>
      </c>
      <c r="K62" s="87">
        <v>6.7810400163599143</v>
      </c>
      <c r="L62" s="87">
        <v>2.8562812809172744</v>
      </c>
      <c r="M62" s="87">
        <v>2.284109939498522</v>
      </c>
      <c r="N62" s="87">
        <v>4.9448342999595374</v>
      </c>
      <c r="O62" s="87">
        <v>0.61744726854649057</v>
      </c>
      <c r="P62" s="46"/>
      <c r="Q62" s="46"/>
    </row>
    <row r="65" spans="2:51" ht="18.75" customHeight="1" x14ac:dyDescent="0.3">
      <c r="B65" s="1" t="s">
        <v>136</v>
      </c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</row>
    <row r="66" spans="2:51" ht="13.5" customHeight="1" x14ac:dyDescent="0.3">
      <c r="M66" s="30"/>
      <c r="N66" s="30"/>
      <c r="O66" s="30" t="s">
        <v>53</v>
      </c>
      <c r="P66" s="30"/>
      <c r="Q66" s="30"/>
    </row>
    <row r="67" spans="2:51" ht="28.5" customHeight="1" x14ac:dyDescent="0.3">
      <c r="B67" s="305"/>
      <c r="C67" s="306"/>
      <c r="D67" s="226" t="s">
        <v>244</v>
      </c>
      <c r="E67" s="226" t="s">
        <v>245</v>
      </c>
      <c r="F67" s="226" t="s">
        <v>243</v>
      </c>
      <c r="G67" s="237" t="s">
        <v>246</v>
      </c>
      <c r="H67" s="237" t="s">
        <v>247</v>
      </c>
      <c r="I67" s="226" t="s">
        <v>241</v>
      </c>
      <c r="J67" s="226" t="s">
        <v>242</v>
      </c>
      <c r="K67" s="226" t="s">
        <v>76</v>
      </c>
      <c r="L67" s="226" t="s">
        <v>77</v>
      </c>
      <c r="M67" s="226" t="s">
        <v>261</v>
      </c>
      <c r="N67" s="227" t="s">
        <v>78</v>
      </c>
      <c r="O67" s="227" t="s">
        <v>12</v>
      </c>
      <c r="P67" s="107"/>
      <c r="Q67" s="107"/>
    </row>
    <row r="68" spans="2:51" x14ac:dyDescent="0.3">
      <c r="B68" s="292" t="s">
        <v>20</v>
      </c>
      <c r="C68" s="292"/>
      <c r="D68" s="72">
        <v>1.1018471378167058</v>
      </c>
      <c r="E68" s="72">
        <v>1.1163591636745216</v>
      </c>
      <c r="F68" s="73">
        <v>1.2161433694815926</v>
      </c>
      <c r="G68" s="72">
        <v>1.1414120217447301</v>
      </c>
      <c r="H68" s="73">
        <v>1.1327522211390391</v>
      </c>
      <c r="I68" s="72">
        <v>1.1669595553427827</v>
      </c>
      <c r="J68" s="72">
        <v>1.1000267620280511</v>
      </c>
      <c r="K68" s="72">
        <v>1.0815836456671064</v>
      </c>
      <c r="L68" s="73">
        <v>1.0285373341973296</v>
      </c>
      <c r="M68" s="72">
        <v>1.120415958296471</v>
      </c>
      <c r="N68" s="72">
        <v>1.2806488850254285</v>
      </c>
      <c r="O68" s="72">
        <v>1.1477311391195979</v>
      </c>
      <c r="P68" s="72"/>
      <c r="Q68" s="72"/>
    </row>
    <row r="69" spans="2:51" x14ac:dyDescent="0.3">
      <c r="B69" s="296" t="s">
        <v>5</v>
      </c>
      <c r="C69" s="13" t="s">
        <v>0</v>
      </c>
      <c r="D69" s="74">
        <v>1.0957482949930144</v>
      </c>
      <c r="E69" s="74">
        <v>1.1075268678814254</v>
      </c>
      <c r="F69" s="75">
        <v>1.1752203492229825</v>
      </c>
      <c r="G69" s="74">
        <v>1.1464166129926514</v>
      </c>
      <c r="H69" s="75">
        <v>1.1131407823483899</v>
      </c>
      <c r="I69" s="74">
        <v>1.1361282833501372</v>
      </c>
      <c r="J69" s="74">
        <v>1.1222797911232674</v>
      </c>
      <c r="K69" s="74">
        <v>1.0667009069637514</v>
      </c>
      <c r="L69" s="75">
        <v>1.0101336305387323</v>
      </c>
      <c r="M69" s="74">
        <v>1.0541105880916017</v>
      </c>
      <c r="N69" s="74">
        <v>1.2473690880296271</v>
      </c>
      <c r="O69" s="74">
        <v>1.0454921559512949</v>
      </c>
      <c r="P69" s="72"/>
      <c r="Q69" s="72"/>
    </row>
    <row r="70" spans="2:51" x14ac:dyDescent="0.3">
      <c r="B70" s="295"/>
      <c r="C70" s="12" t="s">
        <v>1</v>
      </c>
      <c r="D70" s="76">
        <v>1.1106044861987616</v>
      </c>
      <c r="E70" s="76">
        <v>1.1261097758987344</v>
      </c>
      <c r="F70" s="76">
        <v>1.2462240587209588</v>
      </c>
      <c r="G70" s="76">
        <v>1.1360713719362645</v>
      </c>
      <c r="H70" s="76">
        <v>1.1529710547405423</v>
      </c>
      <c r="I70" s="76">
        <v>1.1947345071288393</v>
      </c>
      <c r="J70" s="76">
        <v>1.0933750481708802</v>
      </c>
      <c r="K70" s="76">
        <v>1.1036879993351048</v>
      </c>
      <c r="L70" s="76">
        <v>1.0499798007571406</v>
      </c>
      <c r="M70" s="76">
        <v>1.2217191370089611</v>
      </c>
      <c r="N70" s="76">
        <v>1.3110449543045377</v>
      </c>
      <c r="O70" s="76">
        <v>1.2284393007629697</v>
      </c>
      <c r="P70" s="72"/>
      <c r="Q70" s="72"/>
    </row>
    <row r="71" spans="2:51" x14ac:dyDescent="0.3">
      <c r="B71" s="296" t="s">
        <v>4</v>
      </c>
      <c r="C71" s="9" t="s">
        <v>175</v>
      </c>
      <c r="D71" s="72">
        <v>1</v>
      </c>
      <c r="E71" s="72">
        <v>1.0819850326767677</v>
      </c>
      <c r="F71" s="73">
        <v>1.5140685326976329</v>
      </c>
      <c r="G71" s="72">
        <v>1.1026858064604612</v>
      </c>
      <c r="H71" s="73">
        <v>1.184836566698116</v>
      </c>
      <c r="I71" s="72">
        <v>1.1339289321592718</v>
      </c>
      <c r="J71" s="72">
        <v>1.0337253359517393</v>
      </c>
      <c r="K71" s="72">
        <v>1</v>
      </c>
      <c r="L71" s="73">
        <v>0</v>
      </c>
      <c r="M71" s="72">
        <v>1</v>
      </c>
      <c r="N71" s="72">
        <v>1.0722767058089966</v>
      </c>
      <c r="O71" s="72">
        <v>1</v>
      </c>
      <c r="P71" s="72"/>
      <c r="Q71" s="72"/>
    </row>
    <row r="72" spans="2:51" x14ac:dyDescent="0.3">
      <c r="B72" s="292"/>
      <c r="C72" s="9" t="s">
        <v>176</v>
      </c>
      <c r="D72" s="72">
        <v>1.2861327390307054</v>
      </c>
      <c r="E72" s="72">
        <v>1.2618382895068618</v>
      </c>
      <c r="F72" s="73">
        <v>1.2384203929594106</v>
      </c>
      <c r="G72" s="72">
        <v>1.0942122345190752</v>
      </c>
      <c r="H72" s="73">
        <v>1.150080395399327</v>
      </c>
      <c r="I72" s="72">
        <v>1.1489251808214926</v>
      </c>
      <c r="J72" s="72">
        <v>1.1445701604581193</v>
      </c>
      <c r="K72" s="72">
        <v>1.2755898993116395</v>
      </c>
      <c r="L72" s="73">
        <v>1.0983169041164644</v>
      </c>
      <c r="M72" s="72">
        <v>1.2414615506669855</v>
      </c>
      <c r="N72" s="72">
        <v>1.2011675237774493</v>
      </c>
      <c r="O72" s="72">
        <v>1</v>
      </c>
      <c r="P72" s="72"/>
      <c r="Q72" s="72"/>
    </row>
    <row r="73" spans="2:51" x14ac:dyDescent="0.3">
      <c r="B73" s="292"/>
      <c r="C73" s="9" t="s">
        <v>177</v>
      </c>
      <c r="D73" s="72">
        <v>1.020660904527142</v>
      </c>
      <c r="E73" s="72">
        <v>1.0819880669898292</v>
      </c>
      <c r="F73" s="73">
        <v>1.1415509369783838</v>
      </c>
      <c r="G73" s="72">
        <v>1.1650231853620958</v>
      </c>
      <c r="H73" s="73">
        <v>1.1375663588956741</v>
      </c>
      <c r="I73" s="72">
        <v>1.1603556695880639</v>
      </c>
      <c r="J73" s="72">
        <v>1.1032044362626536</v>
      </c>
      <c r="K73" s="72">
        <v>1.053775525926395</v>
      </c>
      <c r="L73" s="73">
        <v>1.0568933452359006</v>
      </c>
      <c r="M73" s="72">
        <v>1.1444334652588346</v>
      </c>
      <c r="N73" s="72">
        <v>1.2198707038490926</v>
      </c>
      <c r="O73" s="72">
        <v>1</v>
      </c>
      <c r="P73" s="72"/>
      <c r="Q73" s="72"/>
    </row>
    <row r="74" spans="2:51" x14ac:dyDescent="0.3">
      <c r="B74" s="292"/>
      <c r="C74" s="9" t="s">
        <v>178</v>
      </c>
      <c r="D74" s="72">
        <v>1.0416678841515883</v>
      </c>
      <c r="E74" s="72">
        <v>1.0401926650296616</v>
      </c>
      <c r="F74" s="73">
        <v>1.1804469405896347</v>
      </c>
      <c r="G74" s="72">
        <v>1.1985485451422353</v>
      </c>
      <c r="H74" s="73">
        <v>1.1625890879632921</v>
      </c>
      <c r="I74" s="72">
        <v>1.2361279764149655</v>
      </c>
      <c r="J74" s="72">
        <v>1.0722425140987226</v>
      </c>
      <c r="K74" s="72">
        <v>1.0624990649801713</v>
      </c>
      <c r="L74" s="73">
        <v>1</v>
      </c>
      <c r="M74" s="72">
        <v>1.1052081982403872</v>
      </c>
      <c r="N74" s="72">
        <v>1.3647222620462212</v>
      </c>
      <c r="O74" s="72">
        <v>1.2929942227797964</v>
      </c>
      <c r="P74" s="72"/>
      <c r="Q74" s="72"/>
    </row>
    <row r="75" spans="2:51" x14ac:dyDescent="0.3">
      <c r="B75" s="292"/>
      <c r="C75" s="9" t="s">
        <v>179</v>
      </c>
      <c r="D75" s="72">
        <v>1.0785607939510071</v>
      </c>
      <c r="E75" s="72">
        <v>1.1219196891701704</v>
      </c>
      <c r="F75" s="73">
        <v>1.2804349660350236</v>
      </c>
      <c r="G75" s="72">
        <v>1.1367139941819151</v>
      </c>
      <c r="H75" s="73">
        <v>1.1248968602726153</v>
      </c>
      <c r="I75" s="72">
        <v>1.110473442890914</v>
      </c>
      <c r="J75" s="72">
        <v>1.1116155559337428</v>
      </c>
      <c r="K75" s="72">
        <v>1.0439691317984185</v>
      </c>
      <c r="L75" s="73">
        <v>1.0315051497490009</v>
      </c>
      <c r="M75" s="72">
        <v>1.0537121832641365</v>
      </c>
      <c r="N75" s="72">
        <v>1.3437158686874495</v>
      </c>
      <c r="O75" s="72">
        <v>1.2292342791337554</v>
      </c>
      <c r="P75" s="72"/>
      <c r="Q75" s="72"/>
    </row>
    <row r="76" spans="2:51" x14ac:dyDescent="0.3">
      <c r="B76" s="298"/>
      <c r="C76" s="12" t="s">
        <v>180</v>
      </c>
      <c r="D76" s="76">
        <v>1.1074076178275147</v>
      </c>
      <c r="E76" s="76">
        <v>1.1054913557403929</v>
      </c>
      <c r="F76" s="77">
        <v>1.1247480143933992</v>
      </c>
      <c r="G76" s="76">
        <v>1.1055652976282981</v>
      </c>
      <c r="H76" s="77">
        <v>1.0782862147799048</v>
      </c>
      <c r="I76" s="76">
        <v>1.1651757891513415</v>
      </c>
      <c r="J76" s="76">
        <v>1.0601662139867627</v>
      </c>
      <c r="K76" s="76">
        <v>1.0852306716079874</v>
      </c>
      <c r="L76" s="77">
        <v>1</v>
      </c>
      <c r="M76" s="76">
        <v>1.1412826629905957</v>
      </c>
      <c r="N76" s="76">
        <v>1.3012357362565379</v>
      </c>
      <c r="O76" s="76">
        <v>1.1123169113921767</v>
      </c>
      <c r="P76" s="72"/>
      <c r="Q76" s="72"/>
    </row>
    <row r="77" spans="2:51" x14ac:dyDescent="0.3">
      <c r="B77" s="292" t="s">
        <v>223</v>
      </c>
      <c r="C77" s="9" t="s">
        <v>210</v>
      </c>
      <c r="D77" s="72">
        <v>1</v>
      </c>
      <c r="E77" s="72">
        <v>1.1764756746165934</v>
      </c>
      <c r="F77" s="73">
        <v>1.098888126552404</v>
      </c>
      <c r="G77" s="72">
        <v>1.1102439782054796</v>
      </c>
      <c r="H77" s="73">
        <v>1.2052775258009401</v>
      </c>
      <c r="I77" s="72">
        <v>1.116990650883918</v>
      </c>
      <c r="J77" s="72">
        <v>1</v>
      </c>
      <c r="K77" s="72">
        <v>1</v>
      </c>
      <c r="L77" s="73">
        <v>0</v>
      </c>
      <c r="M77" s="72">
        <v>1</v>
      </c>
      <c r="N77" s="72">
        <v>1</v>
      </c>
      <c r="O77" s="72">
        <v>0</v>
      </c>
      <c r="P77" s="72"/>
      <c r="Q77" s="72"/>
    </row>
    <row r="78" spans="2:51" x14ac:dyDescent="0.3">
      <c r="B78" s="292"/>
      <c r="C78" s="9" t="s">
        <v>211</v>
      </c>
      <c r="D78" s="72">
        <v>1.3238637311302157</v>
      </c>
      <c r="E78" s="72">
        <v>1.2761344437055424</v>
      </c>
      <c r="F78" s="73">
        <v>1.3069255460786182</v>
      </c>
      <c r="G78" s="72">
        <v>1.1167022785927925</v>
      </c>
      <c r="H78" s="73">
        <v>1.1003664386823571</v>
      </c>
      <c r="I78" s="72">
        <v>1.1618962234193693</v>
      </c>
      <c r="J78" s="72">
        <v>1.0389191032428966</v>
      </c>
      <c r="K78" s="72">
        <v>1.2834106774618455</v>
      </c>
      <c r="L78" s="73">
        <v>1</v>
      </c>
      <c r="M78" s="72">
        <v>1.0490959405841833</v>
      </c>
      <c r="N78" s="72">
        <v>1.2217573510520832</v>
      </c>
      <c r="O78" s="72">
        <v>1</v>
      </c>
      <c r="P78" s="72"/>
      <c r="Q78" s="72"/>
    </row>
    <row r="79" spans="2:51" x14ac:dyDescent="0.3">
      <c r="B79" s="292"/>
      <c r="C79" s="9" t="s">
        <v>212</v>
      </c>
      <c r="D79" s="72">
        <v>1.0254408243062509</v>
      </c>
      <c r="E79" s="72">
        <v>1.0211152796712697</v>
      </c>
      <c r="F79" s="73">
        <v>1.0648260115450485</v>
      </c>
      <c r="G79" s="72">
        <v>1.1429434831963408</v>
      </c>
      <c r="H79" s="73">
        <v>1.1109249278914808</v>
      </c>
      <c r="I79" s="72">
        <v>1</v>
      </c>
      <c r="J79" s="72">
        <v>1.1596136270993329</v>
      </c>
      <c r="K79" s="72">
        <v>1.0163509767099514</v>
      </c>
      <c r="L79" s="73">
        <v>1</v>
      </c>
      <c r="M79" s="72">
        <v>1.1678458840973844</v>
      </c>
      <c r="N79" s="72">
        <v>1.1909167700748635</v>
      </c>
      <c r="O79" s="72">
        <v>1</v>
      </c>
      <c r="P79" s="72"/>
      <c r="Q79" s="72"/>
    </row>
    <row r="80" spans="2:51" x14ac:dyDescent="0.3">
      <c r="B80" s="292"/>
      <c r="C80" s="9" t="s">
        <v>213</v>
      </c>
      <c r="D80" s="72">
        <v>1.0582791842334316</v>
      </c>
      <c r="E80" s="72">
        <v>1.0386740815797584</v>
      </c>
      <c r="F80" s="73">
        <v>1.1247936885363645</v>
      </c>
      <c r="G80" s="72">
        <v>1.2364012024845366</v>
      </c>
      <c r="H80" s="73">
        <v>1.1447576248528233</v>
      </c>
      <c r="I80" s="72">
        <v>1.1856423314436897</v>
      </c>
      <c r="J80" s="72">
        <v>1.2180446589862155</v>
      </c>
      <c r="K80" s="72">
        <v>1.067330789345309</v>
      </c>
      <c r="L80" s="73">
        <v>1</v>
      </c>
      <c r="M80" s="72">
        <v>1.0961211051467108</v>
      </c>
      <c r="N80" s="72">
        <v>1.4460475305509302</v>
      </c>
      <c r="O80" s="72">
        <v>1</v>
      </c>
      <c r="P80" s="72"/>
      <c r="Q80" s="72"/>
    </row>
    <row r="81" spans="2:17" x14ac:dyDescent="0.3">
      <c r="B81" s="292"/>
      <c r="C81" s="9" t="s">
        <v>214</v>
      </c>
      <c r="D81" s="72">
        <v>1.0297029031611808</v>
      </c>
      <c r="E81" s="72">
        <v>1.0640690741693959</v>
      </c>
      <c r="F81" s="73">
        <v>1.2554510543260604</v>
      </c>
      <c r="G81" s="72">
        <v>1.1362119936580382</v>
      </c>
      <c r="H81" s="73">
        <v>1.1065401075667449</v>
      </c>
      <c r="I81" s="72">
        <v>1.1510911175260028</v>
      </c>
      <c r="J81" s="72">
        <v>1.045440676702819</v>
      </c>
      <c r="K81" s="72">
        <v>1.0364936505739701</v>
      </c>
      <c r="L81" s="73">
        <v>1.0378971932369738</v>
      </c>
      <c r="M81" s="72">
        <v>1.0279649687681089</v>
      </c>
      <c r="N81" s="72">
        <v>1.1905583745526651</v>
      </c>
      <c r="O81" s="72">
        <v>1</v>
      </c>
      <c r="P81" s="72"/>
      <c r="Q81" s="72"/>
    </row>
    <row r="82" spans="2:17" x14ac:dyDescent="0.3">
      <c r="B82" s="292"/>
      <c r="C82" s="12" t="s">
        <v>215</v>
      </c>
      <c r="D82" s="76">
        <v>1.0865291172193348</v>
      </c>
      <c r="E82" s="76">
        <v>1.1366336262017529</v>
      </c>
      <c r="F82" s="77">
        <v>1.0890177932974774</v>
      </c>
      <c r="G82" s="76">
        <v>1.0823986133660168</v>
      </c>
      <c r="H82" s="77">
        <v>1.0741200987674846</v>
      </c>
      <c r="I82" s="76">
        <v>1.114372374528565</v>
      </c>
      <c r="J82" s="76">
        <v>1.1645994130695436</v>
      </c>
      <c r="K82" s="76">
        <v>1.0563094265340605</v>
      </c>
      <c r="L82" s="77">
        <v>1</v>
      </c>
      <c r="M82" s="76">
        <v>1</v>
      </c>
      <c r="N82" s="76">
        <v>1.1364812087832814</v>
      </c>
      <c r="O82" s="76">
        <v>1.3112336821276211</v>
      </c>
      <c r="P82" s="72"/>
      <c r="Q82" s="72"/>
    </row>
    <row r="83" spans="2:17" x14ac:dyDescent="0.3">
      <c r="B83" s="292"/>
      <c r="C83" s="9" t="s">
        <v>216</v>
      </c>
      <c r="D83" s="72">
        <v>1</v>
      </c>
      <c r="E83" s="72">
        <v>1</v>
      </c>
      <c r="F83" s="73">
        <v>1.8161372308480515</v>
      </c>
      <c r="G83" s="72">
        <v>1.0891036692538192</v>
      </c>
      <c r="H83" s="73">
        <v>1.1662875178686396</v>
      </c>
      <c r="I83" s="72">
        <v>1.1659109619950125</v>
      </c>
      <c r="J83" s="72">
        <v>1.0402516156590551</v>
      </c>
      <c r="K83" s="72">
        <v>1</v>
      </c>
      <c r="L83" s="73">
        <v>0</v>
      </c>
      <c r="M83" s="72">
        <v>1</v>
      </c>
      <c r="N83" s="72">
        <v>1.0983830415944758</v>
      </c>
      <c r="O83" s="72">
        <v>1</v>
      </c>
      <c r="P83" s="72"/>
      <c r="Q83" s="72"/>
    </row>
    <row r="84" spans="2:17" x14ac:dyDescent="0.3">
      <c r="B84" s="292"/>
      <c r="C84" s="9" t="s">
        <v>217</v>
      </c>
      <c r="D84" s="72">
        <v>1.2391672449547253</v>
      </c>
      <c r="E84" s="72">
        <v>1.2410401745814676</v>
      </c>
      <c r="F84" s="73">
        <v>1.1560570530512193</v>
      </c>
      <c r="G84" s="72">
        <v>1.0606255227679415</v>
      </c>
      <c r="H84" s="73">
        <v>1.2099281870611402</v>
      </c>
      <c r="I84" s="72">
        <v>1.1353514372907789</v>
      </c>
      <c r="J84" s="72">
        <v>1.1781222818763799</v>
      </c>
      <c r="K84" s="72">
        <v>1.2614493342366382</v>
      </c>
      <c r="L84" s="73">
        <v>1.1962119325104581</v>
      </c>
      <c r="M84" s="72">
        <v>1.5962827979749978</v>
      </c>
      <c r="N84" s="72">
        <v>1.1737035177975035</v>
      </c>
      <c r="O84" s="72">
        <v>1</v>
      </c>
      <c r="P84" s="72"/>
      <c r="Q84" s="72"/>
    </row>
    <row r="85" spans="2:17" x14ac:dyDescent="0.3">
      <c r="B85" s="292"/>
      <c r="C85" s="9" t="s">
        <v>218</v>
      </c>
      <c r="D85" s="72">
        <v>1.0129567717539669</v>
      </c>
      <c r="E85" s="72">
        <v>1.1360005932298292</v>
      </c>
      <c r="F85" s="73">
        <v>1.1971625141760203</v>
      </c>
      <c r="G85" s="72">
        <v>1.1909616486777035</v>
      </c>
      <c r="H85" s="73">
        <v>1.1651383332239185</v>
      </c>
      <c r="I85" s="72">
        <v>1.258569589195714</v>
      </c>
      <c r="J85" s="72">
        <v>1.0734970935927695</v>
      </c>
      <c r="K85" s="72">
        <v>1.1344897261738043</v>
      </c>
      <c r="L85" s="73">
        <v>1.1113602438788701</v>
      </c>
      <c r="M85" s="72">
        <v>1.1237156780792368</v>
      </c>
      <c r="N85" s="72">
        <v>1.2432161714244578</v>
      </c>
      <c r="O85" s="72">
        <v>1</v>
      </c>
      <c r="P85" s="72"/>
      <c r="Q85" s="72"/>
    </row>
    <row r="86" spans="2:17" x14ac:dyDescent="0.3">
      <c r="B86" s="292"/>
      <c r="C86" s="9" t="s">
        <v>219</v>
      </c>
      <c r="D86" s="72">
        <v>1.019328741600207</v>
      </c>
      <c r="E86" s="72">
        <v>1.0421924997940137</v>
      </c>
      <c r="F86" s="73">
        <v>1.2231224688294877</v>
      </c>
      <c r="G86" s="72">
        <v>1.1560441998144131</v>
      </c>
      <c r="H86" s="73">
        <v>1.1818458464355888</v>
      </c>
      <c r="I86" s="72">
        <v>1.2993597866250717</v>
      </c>
      <c r="J86" s="72">
        <v>1.0270501192739363</v>
      </c>
      <c r="K86" s="72">
        <v>1.0541958811919112</v>
      </c>
      <c r="L86" s="73">
        <v>1</v>
      </c>
      <c r="M86" s="72">
        <v>1.1140113697587715</v>
      </c>
      <c r="N86" s="72">
        <v>1.285402612183195</v>
      </c>
      <c r="O86" s="72">
        <v>1.3815309764584145</v>
      </c>
      <c r="P86" s="72"/>
      <c r="Q86" s="72"/>
    </row>
    <row r="87" spans="2:17" x14ac:dyDescent="0.3">
      <c r="B87" s="292"/>
      <c r="C87" s="9" t="s">
        <v>220</v>
      </c>
      <c r="D87" s="72">
        <v>1.1670812995263917</v>
      </c>
      <c r="E87" s="72">
        <v>1.1879358869619017</v>
      </c>
      <c r="F87" s="73">
        <v>1.2934870146643132</v>
      </c>
      <c r="G87" s="72">
        <v>1.137211689093345</v>
      </c>
      <c r="H87" s="73">
        <v>1.1449299739044192</v>
      </c>
      <c r="I87" s="72">
        <v>1.0797755114333929</v>
      </c>
      <c r="J87" s="72">
        <v>1.1253727768891428</v>
      </c>
      <c r="K87" s="72">
        <v>1.0551600908254175</v>
      </c>
      <c r="L87" s="73">
        <v>1.0250690761375307</v>
      </c>
      <c r="M87" s="72">
        <v>1.1305206820760652</v>
      </c>
      <c r="N87" s="72">
        <v>1.5155976009645855</v>
      </c>
      <c r="O87" s="72">
        <v>1.4274013116370889</v>
      </c>
      <c r="P87" s="72"/>
      <c r="Q87" s="72"/>
    </row>
    <row r="88" spans="2:17" x14ac:dyDescent="0.3">
      <c r="B88" s="295"/>
      <c r="C88" s="9" t="s">
        <v>221</v>
      </c>
      <c r="D88" s="76">
        <v>1.1337597868733784</v>
      </c>
      <c r="E88" s="76">
        <v>1.0756505661221096</v>
      </c>
      <c r="F88" s="77">
        <v>1.144079054219344</v>
      </c>
      <c r="G88" s="76">
        <v>1.1234887634251451</v>
      </c>
      <c r="H88" s="77">
        <v>1.0816841038205685</v>
      </c>
      <c r="I88" s="76">
        <v>1.1991307693571085</v>
      </c>
      <c r="J88" s="76">
        <v>1.0459550573639744</v>
      </c>
      <c r="K88" s="76">
        <v>1.1174103401017532</v>
      </c>
      <c r="L88" s="77">
        <v>1</v>
      </c>
      <c r="M88" s="76">
        <v>1.4237467743791064</v>
      </c>
      <c r="N88" s="76">
        <v>1.4071429731971186</v>
      </c>
      <c r="O88" s="76">
        <v>1</v>
      </c>
      <c r="P88" s="72"/>
      <c r="Q88" s="72"/>
    </row>
    <row r="89" spans="2:17" ht="16.5" customHeight="1" x14ac:dyDescent="0.3">
      <c r="B89" s="291" t="s">
        <v>222</v>
      </c>
      <c r="C89" s="13" t="s">
        <v>226</v>
      </c>
      <c r="D89" s="74">
        <v>1.1872433491491816</v>
      </c>
      <c r="E89" s="74">
        <v>1.1924557662492095</v>
      </c>
      <c r="F89" s="74">
        <v>1.3059384812874575</v>
      </c>
      <c r="G89" s="74">
        <v>1.1469717036621199</v>
      </c>
      <c r="H89" s="74">
        <v>1.1251431243374415</v>
      </c>
      <c r="I89" s="74">
        <v>1.2210737436081123</v>
      </c>
      <c r="J89" s="74">
        <v>1.0806224238816238</v>
      </c>
      <c r="K89" s="74">
        <v>1.1486071329694323</v>
      </c>
      <c r="L89" s="74">
        <v>1</v>
      </c>
      <c r="M89" s="74">
        <v>1.1373121936658037</v>
      </c>
      <c r="N89" s="74">
        <v>1.2539995618313777</v>
      </c>
      <c r="O89" s="74">
        <v>1.1076743870613099</v>
      </c>
      <c r="P89" s="72"/>
      <c r="Q89" s="72"/>
    </row>
    <row r="90" spans="2:17" x14ac:dyDescent="0.3">
      <c r="B90" s="294"/>
      <c r="C90" s="9" t="s">
        <v>227</v>
      </c>
      <c r="D90" s="72">
        <v>1.1020632811161992</v>
      </c>
      <c r="E90" s="72">
        <v>1.1143434468243647</v>
      </c>
      <c r="F90" s="72">
        <v>1.1470034601107211</v>
      </c>
      <c r="G90" s="72">
        <v>1.1269805689335521</v>
      </c>
      <c r="H90" s="72">
        <v>1.1259249527489301</v>
      </c>
      <c r="I90" s="72">
        <v>1.1857409045824414</v>
      </c>
      <c r="J90" s="72">
        <v>1.0774680252148887</v>
      </c>
      <c r="K90" s="72">
        <v>1.0612758060013836</v>
      </c>
      <c r="L90" s="72">
        <v>1.0834166074723355</v>
      </c>
      <c r="M90" s="72">
        <v>1.1182994352826543</v>
      </c>
      <c r="N90" s="72">
        <v>1.2609926921043573</v>
      </c>
      <c r="O90" s="72">
        <v>1.4566031352829523</v>
      </c>
      <c r="P90" s="72"/>
      <c r="Q90" s="72"/>
    </row>
    <row r="91" spans="2:17" x14ac:dyDescent="0.3">
      <c r="B91" s="292"/>
      <c r="C91" s="9" t="s">
        <v>228</v>
      </c>
      <c r="D91" s="72">
        <v>1.0767254506203165</v>
      </c>
      <c r="E91" s="72">
        <v>1.1015937596980017</v>
      </c>
      <c r="F91" s="72">
        <v>1.2744819305321995</v>
      </c>
      <c r="G91" s="72">
        <v>1.1375600652356033</v>
      </c>
      <c r="H91" s="72">
        <v>1.1205538797436092</v>
      </c>
      <c r="I91" s="72">
        <v>1.1318773283815124</v>
      </c>
      <c r="J91" s="72">
        <v>1.1611083242022855</v>
      </c>
      <c r="K91" s="72">
        <v>1.0621672548039445</v>
      </c>
      <c r="L91" s="72">
        <v>1</v>
      </c>
      <c r="M91" s="72">
        <v>1</v>
      </c>
      <c r="N91" s="72">
        <v>1.4228555301480372</v>
      </c>
      <c r="O91" s="72">
        <v>1</v>
      </c>
      <c r="P91" s="72"/>
      <c r="Q91" s="72"/>
    </row>
    <row r="92" spans="2:17" x14ac:dyDescent="0.3">
      <c r="B92" s="295"/>
      <c r="C92" s="12" t="s">
        <v>229</v>
      </c>
      <c r="D92" s="76">
        <v>1.0681415391445841</v>
      </c>
      <c r="E92" s="76">
        <v>1.0737144162443668</v>
      </c>
      <c r="F92" s="76">
        <v>1.1308886969591947</v>
      </c>
      <c r="G92" s="76">
        <v>1.1559269762621802</v>
      </c>
      <c r="H92" s="76">
        <v>1.1560782544616239</v>
      </c>
      <c r="I92" s="76">
        <v>1.1187113337690464</v>
      </c>
      <c r="J92" s="76">
        <v>1.0948122452985067</v>
      </c>
      <c r="K92" s="76">
        <v>1.0699642812226211</v>
      </c>
      <c r="L92" s="76">
        <v>1.0308892135967667</v>
      </c>
      <c r="M92" s="76">
        <v>1.1843889804204601</v>
      </c>
      <c r="N92" s="76">
        <v>1.212544007646803</v>
      </c>
      <c r="O92" s="76">
        <v>1.0881387163139562</v>
      </c>
      <c r="P92" s="72"/>
      <c r="Q92" s="72"/>
    </row>
    <row r="93" spans="2:17" x14ac:dyDescent="0.3">
      <c r="B93" s="296" t="s">
        <v>199</v>
      </c>
      <c r="C93" s="13" t="s">
        <v>192</v>
      </c>
      <c r="D93" s="74">
        <v>1.1330677230849735</v>
      </c>
      <c r="E93" s="74">
        <v>1.1220017880858362</v>
      </c>
      <c r="F93" s="74">
        <v>1.246888515747635</v>
      </c>
      <c r="G93" s="74">
        <v>1.1450909341772706</v>
      </c>
      <c r="H93" s="74">
        <v>1.1376887916818634</v>
      </c>
      <c r="I93" s="74">
        <v>1.1807006021092914</v>
      </c>
      <c r="J93" s="74">
        <v>1.0912639578483392</v>
      </c>
      <c r="K93" s="74">
        <v>1.0997420793920443</v>
      </c>
      <c r="L93" s="74">
        <v>1.0355430371104333</v>
      </c>
      <c r="M93" s="74">
        <v>1.148024553118163</v>
      </c>
      <c r="N93" s="74">
        <v>1.2991675236044375</v>
      </c>
      <c r="O93" s="74">
        <v>1.0687943481052831</v>
      </c>
      <c r="P93" s="72"/>
      <c r="Q93" s="72"/>
    </row>
    <row r="94" spans="2:17" ht="16.5" customHeight="1" x14ac:dyDescent="0.3">
      <c r="B94" s="292"/>
      <c r="C94" s="9" t="s">
        <v>200</v>
      </c>
      <c r="D94" s="72">
        <v>1</v>
      </c>
      <c r="E94" s="72">
        <v>1.1158848316185497</v>
      </c>
      <c r="F94" s="72">
        <v>1.148023983863417</v>
      </c>
      <c r="G94" s="72">
        <v>1.1718166422679848</v>
      </c>
      <c r="H94" s="72">
        <v>1.1576337820527385</v>
      </c>
      <c r="I94" s="72">
        <v>1.0678374722932884</v>
      </c>
      <c r="J94" s="72">
        <v>1.0402989241791598</v>
      </c>
      <c r="K94" s="72">
        <v>1.0368436990195875</v>
      </c>
      <c r="L94" s="72">
        <v>1</v>
      </c>
      <c r="M94" s="72">
        <v>1.0864953071961674</v>
      </c>
      <c r="N94" s="72">
        <v>1.3721553275218505</v>
      </c>
      <c r="O94" s="72">
        <v>1.2820477737249008</v>
      </c>
      <c r="P94" s="72"/>
      <c r="Q94" s="72"/>
    </row>
    <row r="95" spans="2:17" ht="16.5" customHeight="1" x14ac:dyDescent="0.3">
      <c r="B95" s="292"/>
      <c r="C95" s="9" t="s">
        <v>201</v>
      </c>
      <c r="D95" s="72">
        <v>1.0345174411037505</v>
      </c>
      <c r="E95" s="72">
        <v>1.0706324380823522</v>
      </c>
      <c r="F95" s="72">
        <v>1.1113568209532041</v>
      </c>
      <c r="G95" s="72">
        <v>1.0976202870934162</v>
      </c>
      <c r="H95" s="72">
        <v>1.1095135176572217</v>
      </c>
      <c r="I95" s="72">
        <v>1.0602065429138581</v>
      </c>
      <c r="J95" s="72">
        <v>1.1313233850244004</v>
      </c>
      <c r="K95" s="72">
        <v>1.047740757541042</v>
      </c>
      <c r="L95" s="72">
        <v>1</v>
      </c>
      <c r="M95" s="72">
        <v>1</v>
      </c>
      <c r="N95" s="72">
        <v>1.0570694548975992</v>
      </c>
      <c r="O95" s="72">
        <v>1.9960381806724807</v>
      </c>
      <c r="P95" s="72"/>
      <c r="Q95" s="72"/>
    </row>
    <row r="96" spans="2:17" ht="16.5" customHeight="1" x14ac:dyDescent="0.3">
      <c r="B96" s="292"/>
      <c r="C96" s="9" t="s">
        <v>202</v>
      </c>
      <c r="D96" s="72">
        <v>1.1208807271436758</v>
      </c>
      <c r="E96" s="72">
        <v>1.0897736297004159</v>
      </c>
      <c r="F96" s="72">
        <v>1.2441974053405755</v>
      </c>
      <c r="G96" s="72">
        <v>1.1536740884875567</v>
      </c>
      <c r="H96" s="72">
        <v>1.1550186535828926</v>
      </c>
      <c r="I96" s="72">
        <v>1.3324876136642272</v>
      </c>
      <c r="J96" s="72">
        <v>1.1773204376011019</v>
      </c>
      <c r="K96" s="72">
        <v>1.0164584518491695</v>
      </c>
      <c r="L96" s="72">
        <v>1.0653486952835114</v>
      </c>
      <c r="M96" s="72">
        <v>1.1345176569332165</v>
      </c>
      <c r="N96" s="72">
        <v>1.4538025662978067</v>
      </c>
      <c r="O96" s="72">
        <v>1</v>
      </c>
      <c r="P96" s="72"/>
      <c r="Q96" s="72"/>
    </row>
    <row r="97" spans="2:51" x14ac:dyDescent="0.3">
      <c r="B97" s="295"/>
      <c r="C97" s="12" t="s">
        <v>203</v>
      </c>
      <c r="D97" s="76">
        <v>1.0598173376492617</v>
      </c>
      <c r="E97" s="76">
        <v>1.1323766784186933</v>
      </c>
      <c r="F97" s="76">
        <v>1.18904999866955</v>
      </c>
      <c r="G97" s="76">
        <v>1.1438778544959574</v>
      </c>
      <c r="H97" s="76">
        <v>1.1194056030792636</v>
      </c>
      <c r="I97" s="76">
        <v>1.124177837522907</v>
      </c>
      <c r="J97" s="76">
        <v>1.1003487638175595</v>
      </c>
      <c r="K97" s="76">
        <v>1.0917528693174334</v>
      </c>
      <c r="L97" s="76">
        <v>1.0174678490399547</v>
      </c>
      <c r="M97" s="76">
        <v>1.1249698015453589</v>
      </c>
      <c r="N97" s="76">
        <v>1.2419843004953202</v>
      </c>
      <c r="O97" s="76">
        <v>1</v>
      </c>
      <c r="P97" s="72"/>
      <c r="Q97" s="72"/>
    </row>
    <row r="98" spans="2:51" x14ac:dyDescent="0.3">
      <c r="B98" s="291" t="s">
        <v>204</v>
      </c>
      <c r="C98" s="13" t="s">
        <v>192</v>
      </c>
      <c r="D98" s="74">
        <v>1.1330677230849735</v>
      </c>
      <c r="E98" s="74">
        <v>1.1220017880858362</v>
      </c>
      <c r="F98" s="74">
        <v>1.246888515747635</v>
      </c>
      <c r="G98" s="74">
        <v>1.1450909341772706</v>
      </c>
      <c r="H98" s="74">
        <v>1.1376887916818634</v>
      </c>
      <c r="I98" s="74">
        <v>1.1807006021092914</v>
      </c>
      <c r="J98" s="74">
        <v>1.0912639578483392</v>
      </c>
      <c r="K98" s="74">
        <v>1.0997420793920443</v>
      </c>
      <c r="L98" s="74">
        <v>1.0355430371104333</v>
      </c>
      <c r="M98" s="74">
        <v>1.148024553118163</v>
      </c>
      <c r="N98" s="74">
        <v>1.2991675236044375</v>
      </c>
      <c r="O98" s="74">
        <v>1.0687943481052831</v>
      </c>
      <c r="P98" s="72"/>
      <c r="Q98" s="72"/>
    </row>
    <row r="99" spans="2:51" x14ac:dyDescent="0.3">
      <c r="B99" s="295"/>
      <c r="C99" s="12" t="s">
        <v>193</v>
      </c>
      <c r="D99" s="76">
        <v>1.0643350993869363</v>
      </c>
      <c r="E99" s="76">
        <v>1.1096147449382023</v>
      </c>
      <c r="F99" s="76">
        <v>1.1782207001220553</v>
      </c>
      <c r="G99" s="76">
        <v>1.136868286008216</v>
      </c>
      <c r="H99" s="76">
        <v>1.1268755538726749</v>
      </c>
      <c r="I99" s="76">
        <v>1.1497250575060971</v>
      </c>
      <c r="J99" s="76">
        <v>1.1140533174804432</v>
      </c>
      <c r="K99" s="76">
        <v>1.0640581239700173</v>
      </c>
      <c r="L99" s="76">
        <v>1.0201629621664889</v>
      </c>
      <c r="M99" s="76">
        <v>1.0924500814161164</v>
      </c>
      <c r="N99" s="76">
        <v>1.2616645654455556</v>
      </c>
      <c r="O99" s="76">
        <v>1.2173312355095001</v>
      </c>
      <c r="P99" s="72"/>
      <c r="Q99" s="72"/>
    </row>
    <row r="100" spans="2:51" x14ac:dyDescent="0.3">
      <c r="B100" s="291" t="s">
        <v>209</v>
      </c>
      <c r="C100" s="13" t="s">
        <v>205</v>
      </c>
      <c r="D100" s="74">
        <v>1.1519928545306228</v>
      </c>
      <c r="E100" s="74">
        <v>1.0755866165238623</v>
      </c>
      <c r="F100" s="74">
        <v>1.1492842603810103</v>
      </c>
      <c r="G100" s="74">
        <v>1.079882287905324</v>
      </c>
      <c r="H100" s="74">
        <v>1.0937625382577416</v>
      </c>
      <c r="I100" s="74">
        <v>1.1807124958763902</v>
      </c>
      <c r="J100" s="74">
        <v>1.0806185532630679</v>
      </c>
      <c r="K100" s="74">
        <v>1.1282105776030029</v>
      </c>
      <c r="L100" s="74">
        <v>1.0886356909192141</v>
      </c>
      <c r="M100" s="74">
        <v>1.0973400450376141</v>
      </c>
      <c r="N100" s="74">
        <v>1.3065060250302725</v>
      </c>
      <c r="O100" s="74">
        <v>1</v>
      </c>
      <c r="P100" s="72"/>
      <c r="Q100" s="72"/>
    </row>
    <row r="101" spans="2:51" x14ac:dyDescent="0.3">
      <c r="B101" s="292"/>
      <c r="C101" s="9" t="s">
        <v>206</v>
      </c>
      <c r="D101" s="72">
        <v>1.1850539241832101</v>
      </c>
      <c r="E101" s="72">
        <v>1.201489552047146</v>
      </c>
      <c r="F101" s="72">
        <v>1.2759361402040252</v>
      </c>
      <c r="G101" s="72">
        <v>1.1480168399761501</v>
      </c>
      <c r="H101" s="72">
        <v>1.1185309993765047</v>
      </c>
      <c r="I101" s="72">
        <v>1.1649503360512148</v>
      </c>
      <c r="J101" s="72">
        <v>1.071038619982208</v>
      </c>
      <c r="K101" s="72">
        <v>1.0761713951548768</v>
      </c>
      <c r="L101" s="72">
        <v>1</v>
      </c>
      <c r="M101" s="72">
        <v>1</v>
      </c>
      <c r="N101" s="72">
        <v>1.3483376855694276</v>
      </c>
      <c r="O101" s="72">
        <v>1.0853361100824488</v>
      </c>
      <c r="P101" s="72"/>
      <c r="Q101" s="72"/>
    </row>
    <row r="102" spans="2:51" x14ac:dyDescent="0.3">
      <c r="B102" s="292"/>
      <c r="C102" s="9" t="s">
        <v>207</v>
      </c>
      <c r="D102" s="72">
        <v>1.0569264600507293</v>
      </c>
      <c r="E102" s="72">
        <v>1.1274572474624236</v>
      </c>
      <c r="F102" s="72">
        <v>1.2083311990557992</v>
      </c>
      <c r="G102" s="72">
        <v>1.1170936019159252</v>
      </c>
      <c r="H102" s="72">
        <v>1.1222507120785887</v>
      </c>
      <c r="I102" s="72">
        <v>1.1723333594463514</v>
      </c>
      <c r="J102" s="72">
        <v>1.1079784123811431</v>
      </c>
      <c r="K102" s="72">
        <v>1.0921145501770888</v>
      </c>
      <c r="L102" s="72">
        <v>1.022082658611839</v>
      </c>
      <c r="M102" s="72">
        <v>1.2393656700493243</v>
      </c>
      <c r="N102" s="72">
        <v>1.1593316950861894</v>
      </c>
      <c r="O102" s="72">
        <v>1</v>
      </c>
      <c r="P102" s="72"/>
      <c r="Q102" s="72"/>
    </row>
    <row r="103" spans="2:51" x14ac:dyDescent="0.3">
      <c r="B103" s="293"/>
      <c r="C103" s="25" t="s">
        <v>208</v>
      </c>
      <c r="D103" s="78">
        <v>1.073600913931045</v>
      </c>
      <c r="E103" s="78">
        <v>1.074178537279048</v>
      </c>
      <c r="F103" s="78">
        <v>1.2192859701968057</v>
      </c>
      <c r="G103" s="78">
        <v>1.1837942501046226</v>
      </c>
      <c r="H103" s="78">
        <v>1.1655708211243576</v>
      </c>
      <c r="I103" s="78">
        <v>1.1574539432636262</v>
      </c>
      <c r="J103" s="78">
        <v>1.120756451933336</v>
      </c>
      <c r="K103" s="78">
        <v>1.0539430389455147</v>
      </c>
      <c r="L103" s="78">
        <v>1.0321837863379586</v>
      </c>
      <c r="M103" s="78">
        <v>1.0597461242620849</v>
      </c>
      <c r="N103" s="78">
        <v>1.3213968489397407</v>
      </c>
      <c r="O103" s="78">
        <v>1.2801903367017433</v>
      </c>
      <c r="P103" s="72"/>
      <c r="Q103" s="72"/>
    </row>
    <row r="104" spans="2:51" x14ac:dyDescent="0.3">
      <c r="B104" s="60"/>
      <c r="C104" s="9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</row>
    <row r="105" spans="2:51" x14ac:dyDescent="0.3">
      <c r="B105" s="60"/>
      <c r="C105" s="9"/>
      <c r="D105" s="58"/>
      <c r="E105" s="58"/>
      <c r="F105" s="65"/>
      <c r="G105" s="58"/>
      <c r="H105" s="65"/>
      <c r="I105" s="58"/>
      <c r="J105" s="58"/>
      <c r="K105" s="58"/>
      <c r="L105" s="65"/>
      <c r="M105" s="58"/>
      <c r="N105" s="58"/>
    </row>
    <row r="106" spans="2:51" ht="18.75" customHeight="1" x14ac:dyDescent="0.3">
      <c r="B106" s="1" t="s">
        <v>135</v>
      </c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</row>
    <row r="107" spans="2:51" ht="13.5" customHeight="1" x14ac:dyDescent="0.3">
      <c r="M107" s="30"/>
      <c r="N107" s="30"/>
      <c r="O107" s="30" t="s">
        <v>225</v>
      </c>
      <c r="P107" s="30"/>
      <c r="Q107" s="30"/>
    </row>
    <row r="108" spans="2:51" ht="28.5" customHeight="1" x14ac:dyDescent="0.3">
      <c r="B108" s="305"/>
      <c r="C108" s="306"/>
      <c r="D108" s="226" t="s">
        <v>244</v>
      </c>
      <c r="E108" s="226" t="s">
        <v>245</v>
      </c>
      <c r="F108" s="226" t="s">
        <v>243</v>
      </c>
      <c r="G108" s="237" t="s">
        <v>246</v>
      </c>
      <c r="H108" s="237" t="s">
        <v>247</v>
      </c>
      <c r="I108" s="226" t="s">
        <v>241</v>
      </c>
      <c r="J108" s="226" t="s">
        <v>242</v>
      </c>
      <c r="K108" s="226" t="s">
        <v>76</v>
      </c>
      <c r="L108" s="226" t="s">
        <v>77</v>
      </c>
      <c r="M108" s="226" t="s">
        <v>261</v>
      </c>
      <c r="N108" s="227" t="s">
        <v>78</v>
      </c>
      <c r="O108" s="227" t="s">
        <v>12</v>
      </c>
      <c r="P108" s="107"/>
      <c r="Q108" s="107"/>
    </row>
    <row r="109" spans="2:51" x14ac:dyDescent="0.3">
      <c r="B109" s="292" t="s">
        <v>20</v>
      </c>
      <c r="C109" s="292"/>
      <c r="D109" s="86">
        <v>15.862688099845819</v>
      </c>
      <c r="E109" s="86">
        <v>11.849464961584323</v>
      </c>
      <c r="F109" s="88">
        <v>5.8745491257648474</v>
      </c>
      <c r="G109" s="86">
        <v>12.047918670909102</v>
      </c>
      <c r="H109" s="88">
        <v>11.068074536140779</v>
      </c>
      <c r="I109" s="86">
        <v>6.2979470902672698</v>
      </c>
      <c r="J109" s="86">
        <v>10.105966992684884</v>
      </c>
      <c r="K109" s="86">
        <v>14.322423574077849</v>
      </c>
      <c r="L109" s="88">
        <v>15.510004412954958</v>
      </c>
      <c r="M109" s="86">
        <v>12.449988493456052</v>
      </c>
      <c r="N109" s="86">
        <v>3.1252755959225551</v>
      </c>
      <c r="O109" s="86">
        <v>6.5428627828288821</v>
      </c>
      <c r="P109" s="86"/>
      <c r="Q109" s="86"/>
    </row>
    <row r="110" spans="2:51" x14ac:dyDescent="0.3">
      <c r="B110" s="296" t="s">
        <v>5</v>
      </c>
      <c r="C110" s="13" t="s">
        <v>0</v>
      </c>
      <c r="D110" s="84">
        <v>15.411525589964242</v>
      </c>
      <c r="E110" s="84">
        <v>12.47416820490719</v>
      </c>
      <c r="F110" s="89">
        <v>5.3602516353058087</v>
      </c>
      <c r="G110" s="84">
        <v>12.515573739737405</v>
      </c>
      <c r="H110" s="89">
        <v>11.039578501068295</v>
      </c>
      <c r="I110" s="84">
        <v>5.858494492192813</v>
      </c>
      <c r="J110" s="84">
        <v>10.048051786243215</v>
      </c>
      <c r="K110" s="84">
        <v>14.19535646211855</v>
      </c>
      <c r="L110" s="89">
        <v>15.348250489743505</v>
      </c>
      <c r="M110" s="84">
        <v>11.311722970705601</v>
      </c>
      <c r="N110" s="84">
        <v>3.3837707390393832</v>
      </c>
      <c r="O110" s="84">
        <v>4.8492605820711754</v>
      </c>
      <c r="P110" s="86"/>
      <c r="Q110" s="86"/>
    </row>
    <row r="111" spans="2:51" x14ac:dyDescent="0.3">
      <c r="B111" s="295"/>
      <c r="C111" s="12" t="s">
        <v>1</v>
      </c>
      <c r="D111" s="90">
        <v>16.510513825179608</v>
      </c>
      <c r="E111" s="90">
        <v>11.159809720915089</v>
      </c>
      <c r="F111" s="90">
        <v>6.2525863011570966</v>
      </c>
      <c r="G111" s="90">
        <v>11.548860540077614</v>
      </c>
      <c r="H111" s="90">
        <v>11.097453134905756</v>
      </c>
      <c r="I111" s="90">
        <v>6.6938365211894268</v>
      </c>
      <c r="J111" s="90">
        <v>10.123278585618149</v>
      </c>
      <c r="K111" s="90">
        <v>14.511148004325683</v>
      </c>
      <c r="L111" s="90">
        <v>15.698466646085928</v>
      </c>
      <c r="M111" s="90">
        <v>14.189062045374561</v>
      </c>
      <c r="N111" s="90">
        <v>2.8891793156632821</v>
      </c>
      <c r="O111" s="90">
        <v>7.8798040936917877</v>
      </c>
      <c r="P111" s="86"/>
      <c r="Q111" s="86"/>
    </row>
    <row r="112" spans="2:51" x14ac:dyDescent="0.3">
      <c r="B112" s="296" t="s">
        <v>4</v>
      </c>
      <c r="C112" s="9" t="s">
        <v>175</v>
      </c>
      <c r="D112" s="86">
        <v>12.79766381908296</v>
      </c>
      <c r="E112" s="86">
        <v>8.5473246390554642</v>
      </c>
      <c r="F112" s="88">
        <v>7.6850338126258038</v>
      </c>
      <c r="G112" s="86">
        <v>10.328570989170991</v>
      </c>
      <c r="H112" s="88">
        <v>10.269434776385484</v>
      </c>
      <c r="I112" s="86">
        <v>5.2500353585971835</v>
      </c>
      <c r="J112" s="86">
        <v>4.6772020763760898</v>
      </c>
      <c r="K112" s="86">
        <v>5.1951892917556197</v>
      </c>
      <c r="L112" s="88">
        <v>0</v>
      </c>
      <c r="M112" s="86">
        <v>7.7403343515593743</v>
      </c>
      <c r="N112" s="86">
        <v>4.0425524905973376</v>
      </c>
      <c r="O112" s="86">
        <v>4.3</v>
      </c>
      <c r="P112" s="86"/>
      <c r="Q112" s="86"/>
    </row>
    <row r="113" spans="2:17" x14ac:dyDescent="0.3">
      <c r="B113" s="292"/>
      <c r="C113" s="9" t="s">
        <v>176</v>
      </c>
      <c r="D113" s="86">
        <v>15.657406993787143</v>
      </c>
      <c r="E113" s="86">
        <v>10.909040116782684</v>
      </c>
      <c r="F113" s="88">
        <v>4.9548587031239713</v>
      </c>
      <c r="G113" s="86">
        <v>12.318984846836205</v>
      </c>
      <c r="H113" s="88">
        <v>10.90090798834153</v>
      </c>
      <c r="I113" s="86">
        <v>5.9060077507657729</v>
      </c>
      <c r="J113" s="86">
        <v>8.943892370687422</v>
      </c>
      <c r="K113" s="86">
        <v>11.617804674244979</v>
      </c>
      <c r="L113" s="88">
        <v>10.769465211111283</v>
      </c>
      <c r="M113" s="86">
        <v>13.70830778202874</v>
      </c>
      <c r="N113" s="86">
        <v>3.576820412920215</v>
      </c>
      <c r="O113" s="86">
        <v>4.1949314088983476</v>
      </c>
      <c r="P113" s="86"/>
      <c r="Q113" s="86"/>
    </row>
    <row r="114" spans="2:17" x14ac:dyDescent="0.3">
      <c r="B114" s="292"/>
      <c r="C114" s="9" t="s">
        <v>177</v>
      </c>
      <c r="D114" s="86">
        <v>11.542157799895188</v>
      </c>
      <c r="E114" s="86">
        <v>10.404245748440987</v>
      </c>
      <c r="F114" s="88">
        <v>5.3358765889232274</v>
      </c>
      <c r="G114" s="86">
        <v>13.333091778486777</v>
      </c>
      <c r="H114" s="88">
        <v>11.128124755115104</v>
      </c>
      <c r="I114" s="86">
        <v>7.6498600590915835</v>
      </c>
      <c r="J114" s="86">
        <v>8.9222139958781526</v>
      </c>
      <c r="K114" s="86">
        <v>14.168308938019782</v>
      </c>
      <c r="L114" s="88">
        <v>15.961755168368867</v>
      </c>
      <c r="M114" s="86">
        <v>15.646755657708489</v>
      </c>
      <c r="N114" s="86">
        <v>2.9152386012907425</v>
      </c>
      <c r="O114" s="86">
        <v>4.5669310084194628</v>
      </c>
      <c r="P114" s="86"/>
      <c r="Q114" s="86"/>
    </row>
    <row r="115" spans="2:17" x14ac:dyDescent="0.3">
      <c r="B115" s="292"/>
      <c r="C115" s="9" t="s">
        <v>178</v>
      </c>
      <c r="D115" s="86">
        <v>15.649369914205426</v>
      </c>
      <c r="E115" s="86">
        <v>12.772936023694097</v>
      </c>
      <c r="F115" s="88">
        <v>5.1096343827710315</v>
      </c>
      <c r="G115" s="86">
        <v>12.091517299339312</v>
      </c>
      <c r="H115" s="88">
        <v>10.755634477729272</v>
      </c>
      <c r="I115" s="86">
        <v>6.0338453988307688</v>
      </c>
      <c r="J115" s="86">
        <v>9.4886371718046298</v>
      </c>
      <c r="K115" s="86">
        <v>13.734781605156993</v>
      </c>
      <c r="L115" s="88">
        <v>15.651943518504103</v>
      </c>
      <c r="M115" s="86">
        <v>10.671582573411058</v>
      </c>
      <c r="N115" s="86">
        <v>2.6471745544339345</v>
      </c>
      <c r="O115" s="86">
        <v>6.1185609004048631</v>
      </c>
      <c r="P115" s="86"/>
      <c r="Q115" s="86"/>
    </row>
    <row r="116" spans="2:17" x14ac:dyDescent="0.3">
      <c r="B116" s="292"/>
      <c r="C116" s="9" t="s">
        <v>179</v>
      </c>
      <c r="D116" s="86">
        <v>17.029188840118266</v>
      </c>
      <c r="E116" s="86">
        <v>14.089302118741756</v>
      </c>
      <c r="F116" s="88">
        <v>6.6835629864627846</v>
      </c>
      <c r="G116" s="86">
        <v>12.118714086024896</v>
      </c>
      <c r="H116" s="88">
        <v>12.001904375250195</v>
      </c>
      <c r="I116" s="86">
        <v>5.7046151010369845</v>
      </c>
      <c r="J116" s="86">
        <v>14.160287234812222</v>
      </c>
      <c r="K116" s="86">
        <v>14.412206299629533</v>
      </c>
      <c r="L116" s="88">
        <v>19.14190098095639</v>
      </c>
      <c r="M116" s="86">
        <v>12.385505573268984</v>
      </c>
      <c r="N116" s="86">
        <v>3.6033887914141913</v>
      </c>
      <c r="O116" s="86">
        <v>6.6322523496931245</v>
      </c>
      <c r="P116" s="86"/>
      <c r="Q116" s="86"/>
    </row>
    <row r="117" spans="2:17" x14ac:dyDescent="0.3">
      <c r="B117" s="298"/>
      <c r="C117" s="12" t="s">
        <v>180</v>
      </c>
      <c r="D117" s="90">
        <v>19.388444198163967</v>
      </c>
      <c r="E117" s="90">
        <v>11.023480010295451</v>
      </c>
      <c r="F117" s="91">
        <v>7.35831705219372</v>
      </c>
      <c r="G117" s="90">
        <v>11.131592208347923</v>
      </c>
      <c r="H117" s="91">
        <v>10.438242449720592</v>
      </c>
      <c r="I117" s="90">
        <v>6.7407946766737501</v>
      </c>
      <c r="J117" s="90">
        <v>10.36379513929414</v>
      </c>
      <c r="K117" s="90">
        <v>15.685755630331274</v>
      </c>
      <c r="L117" s="91">
        <v>13.709625211518274</v>
      </c>
      <c r="M117" s="90">
        <v>14.296128232428707</v>
      </c>
      <c r="N117" s="90">
        <v>2.8009959532294721</v>
      </c>
      <c r="O117" s="90">
        <v>10.083202358369956</v>
      </c>
      <c r="P117" s="86"/>
      <c r="Q117" s="86"/>
    </row>
    <row r="118" spans="2:17" x14ac:dyDescent="0.3">
      <c r="B118" s="292" t="s">
        <v>223</v>
      </c>
      <c r="C118" s="9" t="s">
        <v>210</v>
      </c>
      <c r="D118" s="86">
        <v>25</v>
      </c>
      <c r="E118" s="86">
        <v>14.44336211890095</v>
      </c>
      <c r="F118" s="88">
        <v>6.0341769634834703</v>
      </c>
      <c r="G118" s="86">
        <v>9.1181260764349936</v>
      </c>
      <c r="H118" s="88">
        <v>11.297391723100279</v>
      </c>
      <c r="I118" s="86">
        <v>6.073043635057493</v>
      </c>
      <c r="J118" s="86">
        <v>2.508336691430809</v>
      </c>
      <c r="K118" s="86">
        <v>5.2428417743184141</v>
      </c>
      <c r="L118" s="88">
        <v>0</v>
      </c>
      <c r="M118" s="86">
        <v>7.4017063367240192</v>
      </c>
      <c r="N118" s="86">
        <v>8.6274769563189935</v>
      </c>
      <c r="O118" s="86">
        <v>0</v>
      </c>
      <c r="P118" s="86"/>
      <c r="Q118" s="86"/>
    </row>
    <row r="119" spans="2:17" x14ac:dyDescent="0.3">
      <c r="B119" s="292"/>
      <c r="C119" s="9" t="s">
        <v>211</v>
      </c>
      <c r="D119" s="86">
        <v>14.740223283159178</v>
      </c>
      <c r="E119" s="86">
        <v>10.877849222677682</v>
      </c>
      <c r="F119" s="88">
        <v>5.3604278007541843</v>
      </c>
      <c r="G119" s="86">
        <v>12.563692866402898</v>
      </c>
      <c r="H119" s="88">
        <v>10.215693919464231</v>
      </c>
      <c r="I119" s="86">
        <v>5.5715271303267242</v>
      </c>
      <c r="J119" s="86">
        <v>7.7657995481091113</v>
      </c>
      <c r="K119" s="86">
        <v>10.958621479785601</v>
      </c>
      <c r="L119" s="88">
        <v>5.4502825383562747</v>
      </c>
      <c r="M119" s="86">
        <v>10.741414081062052</v>
      </c>
      <c r="N119" s="86">
        <v>3.8244974362700974</v>
      </c>
      <c r="O119" s="86">
        <v>4.2780948451430998</v>
      </c>
      <c r="P119" s="86"/>
      <c r="Q119" s="86"/>
    </row>
    <row r="120" spans="2:17" x14ac:dyDescent="0.3">
      <c r="B120" s="292"/>
      <c r="C120" s="9" t="s">
        <v>212</v>
      </c>
      <c r="D120" s="86">
        <v>12.093375428599792</v>
      </c>
      <c r="E120" s="86">
        <v>11.088583302620922</v>
      </c>
      <c r="F120" s="88">
        <v>5.6659570132834904</v>
      </c>
      <c r="G120" s="86">
        <v>15.253356909637514</v>
      </c>
      <c r="H120" s="88">
        <v>10.409998943963274</v>
      </c>
      <c r="I120" s="86">
        <v>6.787065780322707</v>
      </c>
      <c r="J120" s="86">
        <v>9.8550760671697706</v>
      </c>
      <c r="K120" s="86">
        <v>11.851159836504317</v>
      </c>
      <c r="L120" s="88">
        <v>13.888556063440959</v>
      </c>
      <c r="M120" s="86">
        <v>16.424264347034896</v>
      </c>
      <c r="N120" s="86">
        <v>3.4441386387466064</v>
      </c>
      <c r="O120" s="86">
        <v>3.0107214778798492</v>
      </c>
      <c r="P120" s="86"/>
      <c r="Q120" s="86"/>
    </row>
    <row r="121" spans="2:17" x14ac:dyDescent="0.3">
      <c r="B121" s="292"/>
      <c r="C121" s="9" t="s">
        <v>213</v>
      </c>
      <c r="D121" s="86">
        <v>15.140286422166385</v>
      </c>
      <c r="E121" s="86">
        <v>12.222250414196429</v>
      </c>
      <c r="F121" s="88">
        <v>5.0103466491096027</v>
      </c>
      <c r="G121" s="86">
        <v>13.348781691185881</v>
      </c>
      <c r="H121" s="88">
        <v>11.444613008971052</v>
      </c>
      <c r="I121" s="86">
        <v>5.8877764846179712</v>
      </c>
      <c r="J121" s="86">
        <v>12.953430093979172</v>
      </c>
      <c r="K121" s="86">
        <v>13.659978788197762</v>
      </c>
      <c r="L121" s="88">
        <v>15.382985121208097</v>
      </c>
      <c r="M121" s="86">
        <v>10.557253783713652</v>
      </c>
      <c r="N121" s="86">
        <v>3.2176472879932501</v>
      </c>
      <c r="O121" s="86">
        <v>9</v>
      </c>
      <c r="P121" s="86"/>
      <c r="Q121" s="86"/>
    </row>
    <row r="122" spans="2:17" x14ac:dyDescent="0.3">
      <c r="B122" s="292"/>
      <c r="C122" s="9" t="s">
        <v>214</v>
      </c>
      <c r="D122" s="86">
        <v>15.670894929509577</v>
      </c>
      <c r="E122" s="86">
        <v>15.525353522545593</v>
      </c>
      <c r="F122" s="88">
        <v>5.4348153602326468</v>
      </c>
      <c r="G122" s="86">
        <v>11.981476128767698</v>
      </c>
      <c r="H122" s="88">
        <v>11.982048263154157</v>
      </c>
      <c r="I122" s="86">
        <v>6.007080716612121</v>
      </c>
      <c r="J122" s="86">
        <v>11.802955160833339</v>
      </c>
      <c r="K122" s="86">
        <v>14.405458762484274</v>
      </c>
      <c r="L122" s="88">
        <v>18.847063258731364</v>
      </c>
      <c r="M122" s="86">
        <v>11.733945240994155</v>
      </c>
      <c r="N122" s="86">
        <v>3.0291345865583241</v>
      </c>
      <c r="O122" s="86">
        <v>4.8147191122527353</v>
      </c>
      <c r="P122" s="86"/>
      <c r="Q122" s="86"/>
    </row>
    <row r="123" spans="2:17" x14ac:dyDescent="0.3">
      <c r="B123" s="292"/>
      <c r="C123" s="12" t="s">
        <v>215</v>
      </c>
      <c r="D123" s="90">
        <v>19.525037439282851</v>
      </c>
      <c r="E123" s="90">
        <v>11.667237543917205</v>
      </c>
      <c r="F123" s="91">
        <v>4.9717377802259</v>
      </c>
      <c r="G123" s="90">
        <v>10.704828750455951</v>
      </c>
      <c r="H123" s="91">
        <v>10.402036910219667</v>
      </c>
      <c r="I123" s="90">
        <v>4.8218148948579751</v>
      </c>
      <c r="J123" s="90">
        <v>8.7864793321400256</v>
      </c>
      <c r="K123" s="90">
        <v>17.10755333466367</v>
      </c>
      <c r="L123" s="91">
        <v>16.646200225613786</v>
      </c>
      <c r="M123" s="90">
        <v>10.832613672301107</v>
      </c>
      <c r="N123" s="90">
        <v>2.4913468104205814</v>
      </c>
      <c r="O123" s="90">
        <v>6.6440231112338397</v>
      </c>
      <c r="P123" s="86"/>
      <c r="Q123" s="86"/>
    </row>
    <row r="124" spans="2:17" x14ac:dyDescent="0.3">
      <c r="B124" s="292"/>
      <c r="C124" s="9" t="s">
        <v>216</v>
      </c>
      <c r="D124" s="86">
        <v>1</v>
      </c>
      <c r="E124" s="86">
        <v>3.4316135429618351</v>
      </c>
      <c r="F124" s="88">
        <v>8.8861313882148867</v>
      </c>
      <c r="G124" s="86">
        <v>12.50375692573005</v>
      </c>
      <c r="H124" s="88">
        <v>9.3366202492736843</v>
      </c>
      <c r="I124" s="86">
        <v>3.6960715989378943</v>
      </c>
      <c r="J124" s="86">
        <v>5.0969050014981221</v>
      </c>
      <c r="K124" s="86">
        <v>5.0078334975062058</v>
      </c>
      <c r="L124" s="88">
        <v>0</v>
      </c>
      <c r="M124" s="86">
        <v>8.1047594309023339</v>
      </c>
      <c r="N124" s="86">
        <v>2.3864784303115187</v>
      </c>
      <c r="O124" s="86">
        <v>4.3</v>
      </c>
      <c r="P124" s="86"/>
      <c r="Q124" s="86"/>
    </row>
    <row r="125" spans="2:17" x14ac:dyDescent="0.3">
      <c r="B125" s="292"/>
      <c r="C125" s="9" t="s">
        <v>217</v>
      </c>
      <c r="D125" s="86">
        <v>16.799067568586626</v>
      </c>
      <c r="E125" s="86">
        <v>10.954416781807854</v>
      </c>
      <c r="F125" s="88">
        <v>4.4672453788204871</v>
      </c>
      <c r="G125" s="86">
        <v>11.953537020703131</v>
      </c>
      <c r="H125" s="88">
        <v>11.725798050329196</v>
      </c>
      <c r="I125" s="86">
        <v>6.256030050328441</v>
      </c>
      <c r="J125" s="86">
        <v>9.3180250530003566</v>
      </c>
      <c r="K125" s="86">
        <v>12.809658308061977</v>
      </c>
      <c r="L125" s="88">
        <v>16.065823385340945</v>
      </c>
      <c r="M125" s="86">
        <v>19.180787624731138</v>
      </c>
      <c r="N125" s="86">
        <v>3.2464532291820349</v>
      </c>
      <c r="O125" s="86">
        <v>3.9900000000000007</v>
      </c>
      <c r="P125" s="86"/>
      <c r="Q125" s="86"/>
    </row>
    <row r="126" spans="2:17" x14ac:dyDescent="0.3">
      <c r="B126" s="292"/>
      <c r="C126" s="9" t="s">
        <v>218</v>
      </c>
      <c r="D126" s="86">
        <v>10.653721592866145</v>
      </c>
      <c r="E126" s="86">
        <v>9.7970318893363153</v>
      </c>
      <c r="F126" s="88">
        <v>5.0966284841246337</v>
      </c>
      <c r="G126" s="86">
        <v>11.077231337676945</v>
      </c>
      <c r="H126" s="88">
        <v>11.871333572479674</v>
      </c>
      <c r="I126" s="86">
        <v>8.1783004201379388</v>
      </c>
      <c r="J126" s="86">
        <v>8.4309314086870781</v>
      </c>
      <c r="K126" s="86">
        <v>19.16574619507697</v>
      </c>
      <c r="L126" s="88">
        <v>17.946534320422465</v>
      </c>
      <c r="M126" s="86">
        <v>14.958733643971502</v>
      </c>
      <c r="N126" s="86">
        <v>2.488788130991415</v>
      </c>
      <c r="O126" s="86">
        <v>6.5046075355633537</v>
      </c>
      <c r="P126" s="86"/>
      <c r="Q126" s="86"/>
    </row>
    <row r="127" spans="2:17" x14ac:dyDescent="0.3">
      <c r="B127" s="292"/>
      <c r="C127" s="9" t="s">
        <v>219</v>
      </c>
      <c r="D127" s="86">
        <v>16.333993552522884</v>
      </c>
      <c r="E127" s="86">
        <v>13.498138333894564</v>
      </c>
      <c r="F127" s="88">
        <v>5.1857693133530507</v>
      </c>
      <c r="G127" s="86">
        <v>10.679748519246179</v>
      </c>
      <c r="H127" s="88">
        <v>10.011584867973221</v>
      </c>
      <c r="I127" s="86">
        <v>6.2167924893622457</v>
      </c>
      <c r="J127" s="86">
        <v>8.4147003662393765</v>
      </c>
      <c r="K127" s="86">
        <v>13.863328163311992</v>
      </c>
      <c r="L127" s="88">
        <v>16.113142094695867</v>
      </c>
      <c r="M127" s="86">
        <v>10.782339218558223</v>
      </c>
      <c r="N127" s="86">
        <v>2.0907706431488648</v>
      </c>
      <c r="O127" s="86">
        <v>5.247849999075834</v>
      </c>
      <c r="P127" s="86"/>
      <c r="Q127" s="86"/>
    </row>
    <row r="128" spans="2:17" x14ac:dyDescent="0.3">
      <c r="B128" s="292"/>
      <c r="C128" s="9" t="s">
        <v>220</v>
      </c>
      <c r="D128" s="86">
        <v>19.490139604535671</v>
      </c>
      <c r="E128" s="86">
        <v>12.450552841636584</v>
      </c>
      <c r="F128" s="88">
        <v>7.3359313959068508</v>
      </c>
      <c r="G128" s="86">
        <v>12.254774965910478</v>
      </c>
      <c r="H128" s="88">
        <v>12.023573771590577</v>
      </c>
      <c r="I128" s="86">
        <v>5.4760183431329503</v>
      </c>
      <c r="J128" s="86">
        <v>14.65035746363438</v>
      </c>
      <c r="K128" s="86">
        <v>14.42230751043569</v>
      </c>
      <c r="L128" s="88">
        <v>19.438769625115146</v>
      </c>
      <c r="M128" s="86">
        <v>14.329225388674768</v>
      </c>
      <c r="N128" s="86">
        <v>4.2478483267157605</v>
      </c>
      <c r="O128" s="86">
        <v>8.2034622468376099</v>
      </c>
      <c r="P128" s="86"/>
      <c r="Q128" s="86"/>
    </row>
    <row r="129" spans="2:17" x14ac:dyDescent="0.3">
      <c r="B129" s="295"/>
      <c r="C129" s="9" t="s">
        <v>221</v>
      </c>
      <c r="D129" s="90">
        <v>19.216040621487753</v>
      </c>
      <c r="E129" s="90">
        <v>10.406626041673396</v>
      </c>
      <c r="F129" s="91">
        <v>8.6495225790313253</v>
      </c>
      <c r="G129" s="90">
        <v>11.461768083077041</v>
      </c>
      <c r="H129" s="91">
        <v>10.467771729633828</v>
      </c>
      <c r="I129" s="90">
        <v>8.0233643816952576</v>
      </c>
      <c r="J129" s="90">
        <v>10.57843456598926</v>
      </c>
      <c r="K129" s="90">
        <v>14.103770529978139</v>
      </c>
      <c r="L129" s="91">
        <v>10.032238608542526</v>
      </c>
      <c r="M129" s="90">
        <v>21.220676098381162</v>
      </c>
      <c r="N129" s="90">
        <v>3.0000441107450988</v>
      </c>
      <c r="O129" s="90">
        <v>12.025109967940709</v>
      </c>
      <c r="P129" s="86"/>
      <c r="Q129" s="86"/>
    </row>
    <row r="130" spans="2:17" ht="16.5" customHeight="1" x14ac:dyDescent="0.3">
      <c r="B130" s="291" t="s">
        <v>222</v>
      </c>
      <c r="C130" s="13" t="s">
        <v>226</v>
      </c>
      <c r="D130" s="80">
        <v>12.844571735028609</v>
      </c>
      <c r="E130" s="80">
        <v>9.3384001584924103</v>
      </c>
      <c r="F130" s="80">
        <v>5.2794455976425736</v>
      </c>
      <c r="G130" s="80">
        <v>8.9642140160968395</v>
      </c>
      <c r="H130" s="80">
        <v>8.8236837257439973</v>
      </c>
      <c r="I130" s="80">
        <v>5.7255320779259806</v>
      </c>
      <c r="J130" s="80">
        <v>7.8025859443180838</v>
      </c>
      <c r="K130" s="80">
        <v>12.531689149992333</v>
      </c>
      <c r="L130" s="80">
        <v>10.26645291551627</v>
      </c>
      <c r="M130" s="80">
        <v>9.9141468169023153</v>
      </c>
      <c r="N130" s="80">
        <v>2.3402980166300651</v>
      </c>
      <c r="O130" s="80">
        <v>7.1976063789336813</v>
      </c>
      <c r="P130" s="79"/>
      <c r="Q130" s="79"/>
    </row>
    <row r="131" spans="2:17" ht="16.5" customHeight="1" x14ac:dyDescent="0.3">
      <c r="B131" s="294"/>
      <c r="C131" s="9" t="s">
        <v>227</v>
      </c>
      <c r="D131" s="79">
        <v>12.912732641553077</v>
      </c>
      <c r="E131" s="79">
        <v>9.4172843732524871</v>
      </c>
      <c r="F131" s="79">
        <v>4.9809661529241778</v>
      </c>
      <c r="G131" s="79">
        <v>11.244857447038473</v>
      </c>
      <c r="H131" s="79">
        <v>10.640114064603663</v>
      </c>
      <c r="I131" s="79">
        <v>5.7823840468184819</v>
      </c>
      <c r="J131" s="79">
        <v>7.9720493774617696</v>
      </c>
      <c r="K131" s="79">
        <v>12.55023079707145</v>
      </c>
      <c r="L131" s="79">
        <v>16.495525193940125</v>
      </c>
      <c r="M131" s="79">
        <v>13.174181264403668</v>
      </c>
      <c r="N131" s="79">
        <v>2.4530413798860722</v>
      </c>
      <c r="O131" s="79">
        <v>5.6796921076085631</v>
      </c>
      <c r="P131" s="79"/>
      <c r="Q131" s="79"/>
    </row>
    <row r="132" spans="2:17" ht="16.5" customHeight="1" x14ac:dyDescent="0.3">
      <c r="B132" s="292"/>
      <c r="C132" s="9" t="s">
        <v>228</v>
      </c>
      <c r="D132" s="79">
        <v>17.19725444071269</v>
      </c>
      <c r="E132" s="79">
        <v>11.414541448697223</v>
      </c>
      <c r="F132" s="79">
        <v>6.4756452693634916</v>
      </c>
      <c r="G132" s="79">
        <v>12.564782899430819</v>
      </c>
      <c r="H132" s="79">
        <v>11.214392449862499</v>
      </c>
      <c r="I132" s="79">
        <v>6.9498642437161475</v>
      </c>
      <c r="J132" s="79">
        <v>10.319170201017579</v>
      </c>
      <c r="K132" s="79">
        <v>16.681736444219773</v>
      </c>
      <c r="L132" s="79">
        <v>15.828478013245444</v>
      </c>
      <c r="M132" s="79">
        <v>10.630750159912571</v>
      </c>
      <c r="N132" s="79">
        <v>4.3755844838961488</v>
      </c>
      <c r="O132" s="79">
        <v>5.7090752203391837</v>
      </c>
      <c r="P132" s="79"/>
      <c r="Q132" s="79"/>
    </row>
    <row r="133" spans="2:17" ht="16.5" customHeight="1" x14ac:dyDescent="0.3">
      <c r="B133" s="295"/>
      <c r="C133" s="12" t="s">
        <v>229</v>
      </c>
      <c r="D133" s="81">
        <v>19.231719403993431</v>
      </c>
      <c r="E133" s="81">
        <v>16.125711279744674</v>
      </c>
      <c r="F133" s="81">
        <v>7.1842662511152033</v>
      </c>
      <c r="G133" s="81">
        <v>14.929092109539704</v>
      </c>
      <c r="H133" s="81">
        <v>13.166063809959002</v>
      </c>
      <c r="I133" s="81">
        <v>6.9033307318984205</v>
      </c>
      <c r="J133" s="81">
        <v>13.947179544190734</v>
      </c>
      <c r="K133" s="81">
        <v>15.640513982500226</v>
      </c>
      <c r="L133" s="81">
        <v>16.101835109040074</v>
      </c>
      <c r="M133" s="81">
        <v>15.162568026646273</v>
      </c>
      <c r="N133" s="81">
        <v>3.7743666704323608</v>
      </c>
      <c r="O133" s="81">
        <v>7.4407412305458669</v>
      </c>
      <c r="P133" s="79"/>
      <c r="Q133" s="79"/>
    </row>
    <row r="134" spans="2:17" x14ac:dyDescent="0.3">
      <c r="B134" s="296" t="s">
        <v>199</v>
      </c>
      <c r="C134" s="13" t="s">
        <v>192</v>
      </c>
      <c r="D134" s="80">
        <v>17.510256208267208</v>
      </c>
      <c r="E134" s="80">
        <v>11.963423038825937</v>
      </c>
      <c r="F134" s="80">
        <v>6.550481624889235</v>
      </c>
      <c r="G134" s="80">
        <v>12.278911274702054</v>
      </c>
      <c r="H134" s="80">
        <v>11.413187987654673</v>
      </c>
      <c r="I134" s="80">
        <v>6.1614745528215193</v>
      </c>
      <c r="J134" s="80">
        <v>10.214557760995262</v>
      </c>
      <c r="K134" s="80">
        <v>14.513368173211679</v>
      </c>
      <c r="L134" s="80">
        <v>15.253440173116438</v>
      </c>
      <c r="M134" s="80">
        <v>13.275608384341684</v>
      </c>
      <c r="N134" s="80">
        <v>3.1831890467401807</v>
      </c>
      <c r="O134" s="80">
        <v>6.9623524371073078</v>
      </c>
      <c r="P134" s="79"/>
      <c r="Q134" s="79"/>
    </row>
    <row r="135" spans="2:17" x14ac:dyDescent="0.3">
      <c r="B135" s="292"/>
      <c r="C135" s="9" t="s">
        <v>200</v>
      </c>
      <c r="D135" s="79">
        <v>15.714745484736374</v>
      </c>
      <c r="E135" s="79">
        <v>12.551738071054222</v>
      </c>
      <c r="F135" s="79">
        <v>5.0085981888168067</v>
      </c>
      <c r="G135" s="79">
        <v>12.218203879368307</v>
      </c>
      <c r="H135" s="79">
        <v>10.559510973933232</v>
      </c>
      <c r="I135" s="79">
        <v>4.9054964112939849</v>
      </c>
      <c r="J135" s="79">
        <v>7.5647194529619082</v>
      </c>
      <c r="K135" s="79">
        <v>13.055776199821201</v>
      </c>
      <c r="L135" s="79">
        <v>19.931351911832436</v>
      </c>
      <c r="M135" s="79">
        <v>11.592386566864764</v>
      </c>
      <c r="N135" s="79">
        <v>3.4368841064074673</v>
      </c>
      <c r="O135" s="79">
        <v>4.5401776153202604</v>
      </c>
      <c r="P135" s="79"/>
      <c r="Q135" s="79"/>
    </row>
    <row r="136" spans="2:17" x14ac:dyDescent="0.3">
      <c r="B136" s="292"/>
      <c r="C136" s="9" t="s">
        <v>201</v>
      </c>
      <c r="D136" s="79">
        <v>15.544711938068597</v>
      </c>
      <c r="E136" s="79">
        <v>11.374619577192279</v>
      </c>
      <c r="F136" s="79">
        <v>5.3496256945959288</v>
      </c>
      <c r="G136" s="79">
        <v>13.090520010348769</v>
      </c>
      <c r="H136" s="79">
        <v>10.861234968896607</v>
      </c>
      <c r="I136" s="79">
        <v>7.3276580145486916</v>
      </c>
      <c r="J136" s="79">
        <v>13.345763776951449</v>
      </c>
      <c r="K136" s="79">
        <v>14.286941212526633</v>
      </c>
      <c r="L136" s="79">
        <v>14.694784700476601</v>
      </c>
      <c r="M136" s="79">
        <v>13.128740794022807</v>
      </c>
      <c r="N136" s="79">
        <v>2.2669379936331051</v>
      </c>
      <c r="O136" s="79">
        <v>4.8690036944434647</v>
      </c>
      <c r="P136" s="79"/>
      <c r="Q136" s="79"/>
    </row>
    <row r="137" spans="2:17" x14ac:dyDescent="0.3">
      <c r="B137" s="292"/>
      <c r="C137" s="9" t="s">
        <v>202</v>
      </c>
      <c r="D137" s="79">
        <v>14.525666985269639</v>
      </c>
      <c r="E137" s="79">
        <v>11.39542433208152</v>
      </c>
      <c r="F137" s="79">
        <v>5.6143465175425948</v>
      </c>
      <c r="G137" s="79">
        <v>11.156285561314412</v>
      </c>
      <c r="H137" s="79">
        <v>10.551386844815596</v>
      </c>
      <c r="I137" s="79">
        <v>6.1253886828117823</v>
      </c>
      <c r="J137" s="79">
        <v>9.1481042311138001</v>
      </c>
      <c r="K137" s="79">
        <v>13.309906919097704</v>
      </c>
      <c r="L137" s="79">
        <v>20.49020655613614</v>
      </c>
      <c r="M137" s="79">
        <v>10.295475919589435</v>
      </c>
      <c r="N137" s="79">
        <v>2.9550459828703648</v>
      </c>
      <c r="O137" s="79">
        <v>8.234917356303594</v>
      </c>
      <c r="P137" s="79"/>
      <c r="Q137" s="79"/>
    </row>
    <row r="138" spans="2:17" ht="16.5" customHeight="1" x14ac:dyDescent="0.3">
      <c r="B138" s="295"/>
      <c r="C138" s="12" t="s">
        <v>203</v>
      </c>
      <c r="D138" s="81">
        <v>12.938209115471757</v>
      </c>
      <c r="E138" s="81">
        <v>11.848358839750819</v>
      </c>
      <c r="F138" s="81">
        <v>4.6545374462831726</v>
      </c>
      <c r="G138" s="81">
        <v>11.26595822544175</v>
      </c>
      <c r="H138" s="81">
        <v>10.626927827094196</v>
      </c>
      <c r="I138" s="81">
        <v>6.5730835571230113</v>
      </c>
      <c r="J138" s="81">
        <v>9.3708329014554224</v>
      </c>
      <c r="K138" s="81">
        <v>14.530788260342668</v>
      </c>
      <c r="L138" s="81">
        <v>13.180370695700043</v>
      </c>
      <c r="M138" s="81">
        <v>11.35604348785386</v>
      </c>
      <c r="N138" s="81">
        <v>3.3787515871094409</v>
      </c>
      <c r="O138" s="81">
        <v>6.3869978836033905</v>
      </c>
      <c r="P138" s="79"/>
      <c r="Q138" s="79"/>
    </row>
    <row r="139" spans="2:17" x14ac:dyDescent="0.3">
      <c r="B139" s="291" t="s">
        <v>204</v>
      </c>
      <c r="C139" s="13" t="s">
        <v>192</v>
      </c>
      <c r="D139" s="80">
        <v>17.510256208267208</v>
      </c>
      <c r="E139" s="80">
        <v>11.963423038825937</v>
      </c>
      <c r="F139" s="80">
        <v>6.550481624889235</v>
      </c>
      <c r="G139" s="80">
        <v>12.278911274702054</v>
      </c>
      <c r="H139" s="80">
        <v>11.413187987654673</v>
      </c>
      <c r="I139" s="80">
        <v>6.1614745528215193</v>
      </c>
      <c r="J139" s="80">
        <v>10.214557760995262</v>
      </c>
      <c r="K139" s="80">
        <v>14.513368173211679</v>
      </c>
      <c r="L139" s="80">
        <v>15.253440173116438</v>
      </c>
      <c r="M139" s="80">
        <v>13.275608384341684</v>
      </c>
      <c r="N139" s="80">
        <v>3.1831890467401807</v>
      </c>
      <c r="O139" s="80">
        <v>6.9623524371073078</v>
      </c>
      <c r="P139" s="79"/>
      <c r="Q139" s="79"/>
    </row>
    <row r="140" spans="2:17" x14ac:dyDescent="0.3">
      <c r="B140" s="295"/>
      <c r="C140" s="12" t="s">
        <v>193</v>
      </c>
      <c r="D140" s="81">
        <v>13.883108355657482</v>
      </c>
      <c r="E140" s="81">
        <v>11.713255117497935</v>
      </c>
      <c r="F140" s="81">
        <v>5.0408186744001968</v>
      </c>
      <c r="G140" s="81">
        <v>11.762625294682183</v>
      </c>
      <c r="H140" s="81">
        <v>10.657239340715098</v>
      </c>
      <c r="I140" s="81">
        <v>6.4691156839954402</v>
      </c>
      <c r="J140" s="81">
        <v>9.9321465578005022</v>
      </c>
      <c r="K140" s="81">
        <v>14.138134347057827</v>
      </c>
      <c r="L140" s="81">
        <v>15.816692324341972</v>
      </c>
      <c r="M140" s="81">
        <v>11.613684278496919</v>
      </c>
      <c r="N140" s="81">
        <v>3.0659058180847225</v>
      </c>
      <c r="O140" s="81">
        <v>6.1729906357960678</v>
      </c>
      <c r="P140" s="79"/>
      <c r="Q140" s="79"/>
    </row>
    <row r="141" spans="2:17" x14ac:dyDescent="0.3">
      <c r="B141" s="291" t="s">
        <v>209</v>
      </c>
      <c r="C141" s="13" t="s">
        <v>205</v>
      </c>
      <c r="D141" s="80">
        <v>11.742326140711491</v>
      </c>
      <c r="E141" s="80">
        <v>9.2859977381598728</v>
      </c>
      <c r="F141" s="80">
        <v>4.1335676061679818</v>
      </c>
      <c r="G141" s="80">
        <v>11.835762670872414</v>
      </c>
      <c r="H141" s="80">
        <v>9.7145129427613917</v>
      </c>
      <c r="I141" s="80">
        <v>6.0259828081452733</v>
      </c>
      <c r="J141" s="80">
        <v>8.8080866083009965</v>
      </c>
      <c r="K141" s="80">
        <v>13.873762771790966</v>
      </c>
      <c r="L141" s="80">
        <v>17.088154100057057</v>
      </c>
      <c r="M141" s="80">
        <v>12.464880024924723</v>
      </c>
      <c r="N141" s="80">
        <v>2.7606320422848123</v>
      </c>
      <c r="O141" s="80">
        <v>5.9188207870379355</v>
      </c>
      <c r="P141" s="79"/>
      <c r="Q141" s="79"/>
    </row>
    <row r="142" spans="2:17" x14ac:dyDescent="0.3">
      <c r="B142" s="292"/>
      <c r="C142" s="9" t="s">
        <v>206</v>
      </c>
      <c r="D142" s="79">
        <v>17.289898833861361</v>
      </c>
      <c r="E142" s="79">
        <v>10.573238000799941</v>
      </c>
      <c r="F142" s="79">
        <v>6.9773720560562715</v>
      </c>
      <c r="G142" s="79">
        <v>12.196077185178767</v>
      </c>
      <c r="H142" s="79">
        <v>10.473182933032895</v>
      </c>
      <c r="I142" s="79">
        <v>8.4991601765936569</v>
      </c>
      <c r="J142" s="79">
        <v>10.278139093883309</v>
      </c>
      <c r="K142" s="79">
        <v>15.669284669813166</v>
      </c>
      <c r="L142" s="79">
        <v>15.322566784641289</v>
      </c>
      <c r="M142" s="79">
        <v>12.419465658509907</v>
      </c>
      <c r="N142" s="79">
        <v>3.3165250580500913</v>
      </c>
      <c r="O142" s="79">
        <v>4.3042834524092637</v>
      </c>
      <c r="P142" s="79"/>
      <c r="Q142" s="79"/>
    </row>
    <row r="143" spans="2:17" x14ac:dyDescent="0.3">
      <c r="B143" s="292"/>
      <c r="C143" s="9" t="s">
        <v>207</v>
      </c>
      <c r="D143" s="79">
        <v>20.95080284544435</v>
      </c>
      <c r="E143" s="79">
        <v>12.186404912320102</v>
      </c>
      <c r="F143" s="79">
        <v>5.2755202453183605</v>
      </c>
      <c r="G143" s="79">
        <v>12.142158777299196</v>
      </c>
      <c r="H143" s="79">
        <v>11.281883206564057</v>
      </c>
      <c r="I143" s="79">
        <v>5.2216365764897592</v>
      </c>
      <c r="J143" s="79">
        <v>11.764576033337686</v>
      </c>
      <c r="K143" s="79">
        <v>15.036451562189898</v>
      </c>
      <c r="L143" s="79">
        <v>15.215990148494386</v>
      </c>
      <c r="M143" s="79">
        <v>13.409165026128486</v>
      </c>
      <c r="N143" s="79">
        <v>2.9280366639971018</v>
      </c>
      <c r="O143" s="79">
        <v>13.354592365010015</v>
      </c>
      <c r="P143" s="79"/>
      <c r="Q143" s="79"/>
    </row>
    <row r="144" spans="2:17" x14ac:dyDescent="0.3">
      <c r="B144" s="293"/>
      <c r="C144" s="25" t="s">
        <v>208</v>
      </c>
      <c r="D144" s="82">
        <v>13.514917963164622</v>
      </c>
      <c r="E144" s="82">
        <v>13.090108913946505</v>
      </c>
      <c r="F144" s="82">
        <v>6.5296246243096938</v>
      </c>
      <c r="G144" s="82">
        <v>11.96764821416037</v>
      </c>
      <c r="H144" s="82">
        <v>11.736382575851886</v>
      </c>
      <c r="I144" s="82">
        <v>6.5232405017988384</v>
      </c>
      <c r="J144" s="82">
        <v>9.1329549027098906</v>
      </c>
      <c r="K144" s="82">
        <v>12.924828502148364</v>
      </c>
      <c r="L144" s="82">
        <v>15.50711213588041</v>
      </c>
      <c r="M144" s="82">
        <v>11.715082347804694</v>
      </c>
      <c r="N144" s="82">
        <v>3.3206100227214708</v>
      </c>
      <c r="O144" s="82">
        <v>4.7445584608204179</v>
      </c>
      <c r="P144" s="79"/>
      <c r="Q144" s="79"/>
    </row>
    <row r="145" spans="2:21" x14ac:dyDescent="0.3">
      <c r="B145" s="60"/>
      <c r="C145" s="9"/>
      <c r="D145" s="58"/>
      <c r="E145" s="58"/>
      <c r="F145" s="50"/>
      <c r="G145" s="58"/>
      <c r="H145" s="50"/>
      <c r="I145" s="58"/>
      <c r="J145" s="58"/>
      <c r="K145" s="58"/>
      <c r="L145" s="50"/>
      <c r="M145" s="58"/>
      <c r="N145" s="58"/>
    </row>
    <row r="146" spans="2:21" x14ac:dyDescent="0.3">
      <c r="B146" s="60"/>
      <c r="C146" s="9"/>
      <c r="D146" s="58"/>
      <c r="E146" s="58"/>
      <c r="F146" s="50"/>
      <c r="G146" s="58"/>
      <c r="H146" s="50"/>
      <c r="I146" s="58"/>
      <c r="J146" s="58"/>
      <c r="K146" s="58"/>
      <c r="L146" s="50"/>
      <c r="M146" s="58"/>
      <c r="N146" s="58"/>
    </row>
    <row r="147" spans="2:21" ht="17.25" customHeight="1" x14ac:dyDescent="0.3">
      <c r="B147" s="1" t="s">
        <v>487</v>
      </c>
      <c r="D147" s="59"/>
      <c r="E147" s="59"/>
      <c r="F147" s="304"/>
      <c r="G147" s="304"/>
      <c r="H147" s="304"/>
      <c r="I147" s="304"/>
      <c r="J147" s="304"/>
      <c r="K147" s="304"/>
      <c r="L147" s="304"/>
      <c r="M147" s="304"/>
      <c r="N147" s="304"/>
      <c r="O147" s="304"/>
      <c r="P147" s="304"/>
      <c r="Q147" s="304"/>
      <c r="R147" s="304"/>
      <c r="S147" s="304"/>
      <c r="T147" s="304"/>
      <c r="U147" s="304"/>
    </row>
    <row r="148" spans="2:21" ht="10.5" customHeight="1" x14ac:dyDescent="0.3"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30"/>
      <c r="P148" s="30"/>
      <c r="Q148" s="30" t="s">
        <v>52</v>
      </c>
    </row>
    <row r="149" spans="2:21" s="22" customFormat="1" ht="20.25" customHeight="1" x14ac:dyDescent="0.3">
      <c r="B149" s="307"/>
      <c r="C149" s="307"/>
      <c r="D149" s="300" t="s">
        <v>120</v>
      </c>
      <c r="E149" s="300"/>
      <c r="F149" s="300"/>
      <c r="G149" s="300"/>
      <c r="H149" s="300"/>
      <c r="I149" s="300"/>
      <c r="J149" s="301"/>
      <c r="K149" s="299" t="s">
        <v>125</v>
      </c>
      <c r="L149" s="300"/>
      <c r="M149" s="300"/>
      <c r="N149" s="300"/>
      <c r="O149" s="300"/>
      <c r="P149" s="301"/>
      <c r="Q149" s="212" t="s">
        <v>38</v>
      </c>
    </row>
    <row r="150" spans="2:21" s="22" customFormat="1" ht="27" x14ac:dyDescent="0.3">
      <c r="B150" s="300"/>
      <c r="C150" s="300"/>
      <c r="D150" s="202" t="s">
        <v>39</v>
      </c>
      <c r="E150" s="202" t="s">
        <v>40</v>
      </c>
      <c r="F150" s="202" t="s">
        <v>116</v>
      </c>
      <c r="G150" s="202" t="s">
        <v>117</v>
      </c>
      <c r="H150" s="202" t="s">
        <v>115</v>
      </c>
      <c r="I150" s="202" t="s">
        <v>119</v>
      </c>
      <c r="J150" s="202" t="s">
        <v>300</v>
      </c>
      <c r="K150" s="214" t="s">
        <v>298</v>
      </c>
      <c r="L150" s="202" t="s">
        <v>299</v>
      </c>
      <c r="M150" s="202" t="s">
        <v>121</v>
      </c>
      <c r="N150" s="202" t="s">
        <v>118</v>
      </c>
      <c r="O150" s="202" t="s">
        <v>122</v>
      </c>
      <c r="P150" s="202" t="s">
        <v>124</v>
      </c>
      <c r="Q150" s="214" t="s">
        <v>38</v>
      </c>
    </row>
    <row r="151" spans="2:21" ht="21.75" customHeight="1" x14ac:dyDescent="0.3">
      <c r="B151" s="292" t="s">
        <v>20</v>
      </c>
      <c r="C151" s="292"/>
      <c r="D151" s="86">
        <v>17.074002532807146</v>
      </c>
      <c r="E151" s="86">
        <v>8.3840849522806948</v>
      </c>
      <c r="F151" s="88">
        <v>12.819610142685747</v>
      </c>
      <c r="G151" s="88">
        <v>9.3850328285778737</v>
      </c>
      <c r="H151" s="88">
        <v>14.62436173141975</v>
      </c>
      <c r="I151" s="86">
        <v>0.93727632740748024</v>
      </c>
      <c r="J151" s="86">
        <v>1.7388971158021829</v>
      </c>
      <c r="K151" s="92">
        <v>8.3951106788261853</v>
      </c>
      <c r="L151" s="86">
        <v>4.6835924413868124</v>
      </c>
      <c r="M151" s="88">
        <v>3.2851097188912366</v>
      </c>
      <c r="N151" s="86">
        <v>16.153631874137346</v>
      </c>
      <c r="O151" s="86">
        <v>1.7065894294458954</v>
      </c>
      <c r="P151" s="86">
        <v>0.42339247347453635</v>
      </c>
      <c r="Q151" s="92">
        <v>0.38930775285641428</v>
      </c>
    </row>
    <row r="152" spans="2:21" x14ac:dyDescent="0.3">
      <c r="B152" s="296" t="s">
        <v>5</v>
      </c>
      <c r="C152" s="13" t="s">
        <v>0</v>
      </c>
      <c r="D152" s="84">
        <v>16.139533389017409</v>
      </c>
      <c r="E152" s="84">
        <v>8.2853698923136214</v>
      </c>
      <c r="F152" s="89">
        <v>13.79042134322003</v>
      </c>
      <c r="G152" s="89">
        <v>9.918504165775758</v>
      </c>
      <c r="H152" s="89">
        <v>14.747693438293515</v>
      </c>
      <c r="I152" s="84">
        <v>0.95050932315050707</v>
      </c>
      <c r="J152" s="84">
        <v>1.8570975988795293</v>
      </c>
      <c r="K152" s="93">
        <v>6.9821993596627481</v>
      </c>
      <c r="L152" s="84">
        <v>4.5529326850083347</v>
      </c>
      <c r="M152" s="89">
        <v>2.4291191361213684</v>
      </c>
      <c r="N152" s="84">
        <v>18.752996629152545</v>
      </c>
      <c r="O152" s="84">
        <v>0.86036531939829819</v>
      </c>
      <c r="P152" s="84">
        <v>0.35175653950811042</v>
      </c>
      <c r="Q152" s="93">
        <v>0.38150118049793125</v>
      </c>
    </row>
    <row r="153" spans="2:21" x14ac:dyDescent="0.3">
      <c r="B153" s="295"/>
      <c r="C153" s="12" t="s">
        <v>1</v>
      </c>
      <c r="D153" s="90">
        <v>18.073971347989133</v>
      </c>
      <c r="E153" s="90">
        <v>8.4897192390968534</v>
      </c>
      <c r="F153" s="91">
        <v>11.780751949865786</v>
      </c>
      <c r="G153" s="91">
        <v>8.8141689273603845</v>
      </c>
      <c r="H153" s="91">
        <v>14.492385345022846</v>
      </c>
      <c r="I153" s="90">
        <v>0.92311579234605579</v>
      </c>
      <c r="J153" s="90">
        <v>1.6124116156631192</v>
      </c>
      <c r="K153" s="94">
        <v>9.9070570787373811</v>
      </c>
      <c r="L153" s="90">
        <v>4.8234105216798513</v>
      </c>
      <c r="M153" s="91">
        <v>4.2010991815158567</v>
      </c>
      <c r="N153" s="90">
        <v>13.372070052035273</v>
      </c>
      <c r="O153" s="90">
        <v>2.6121278587522827</v>
      </c>
      <c r="P153" s="90">
        <v>0.50004957926440396</v>
      </c>
      <c r="Q153" s="94">
        <v>0.39766151067049049</v>
      </c>
    </row>
    <row r="154" spans="2:21" x14ac:dyDescent="0.3">
      <c r="B154" s="296" t="s">
        <v>4</v>
      </c>
      <c r="C154" s="9" t="s">
        <v>175</v>
      </c>
      <c r="D154" s="86">
        <v>30.804078444914758</v>
      </c>
      <c r="E154" s="86">
        <v>5.8810882994175975</v>
      </c>
      <c r="F154" s="88">
        <v>11.824597358671985</v>
      </c>
      <c r="G154" s="88">
        <v>5.6197495551222145</v>
      </c>
      <c r="H154" s="88">
        <v>9.1216161630922237</v>
      </c>
      <c r="I154" s="86">
        <v>0.57235703712699482</v>
      </c>
      <c r="J154" s="86">
        <v>0.8382348964983839</v>
      </c>
      <c r="K154" s="92">
        <v>23.278288386611859</v>
      </c>
      <c r="L154" s="86">
        <v>5.6364596070673318</v>
      </c>
      <c r="M154" s="88">
        <v>0.69262242753102066</v>
      </c>
      <c r="N154" s="86">
        <v>3.1863140907028487</v>
      </c>
      <c r="O154" s="86">
        <v>0.58326099160507006</v>
      </c>
      <c r="P154" s="86">
        <v>0.91666005306710108</v>
      </c>
      <c r="Q154" s="92">
        <v>1.0446726885706106</v>
      </c>
    </row>
    <row r="155" spans="2:21" x14ac:dyDescent="0.3">
      <c r="B155" s="292"/>
      <c r="C155" s="9" t="s">
        <v>176</v>
      </c>
      <c r="D155" s="86">
        <v>18.333866895369642</v>
      </c>
      <c r="E155" s="86">
        <v>8.4345153117909337</v>
      </c>
      <c r="F155" s="88">
        <v>14.486272727030341</v>
      </c>
      <c r="G155" s="88">
        <v>6.8074229832253819</v>
      </c>
      <c r="H155" s="88">
        <v>10.275768440355915</v>
      </c>
      <c r="I155" s="86">
        <v>1.3412093513664589</v>
      </c>
      <c r="J155" s="86">
        <v>1.4009680663475461</v>
      </c>
      <c r="K155" s="92">
        <v>20.594744453196544</v>
      </c>
      <c r="L155" s="86">
        <v>5.8020868697170807</v>
      </c>
      <c r="M155" s="88">
        <v>2.0226243098638932</v>
      </c>
      <c r="N155" s="86">
        <v>8.9146132602603121</v>
      </c>
      <c r="O155" s="86">
        <v>0.4562847574377033</v>
      </c>
      <c r="P155" s="86">
        <v>0.90555724596002707</v>
      </c>
      <c r="Q155" s="92">
        <v>0.22406532807814072</v>
      </c>
    </row>
    <row r="156" spans="2:21" x14ac:dyDescent="0.3">
      <c r="B156" s="292"/>
      <c r="C156" s="9" t="s">
        <v>177</v>
      </c>
      <c r="D156" s="86">
        <v>15.165380548648596</v>
      </c>
      <c r="E156" s="86">
        <v>12.066064449411543</v>
      </c>
      <c r="F156" s="88">
        <v>12.927482181999958</v>
      </c>
      <c r="G156" s="88">
        <v>7.5322418871760126</v>
      </c>
      <c r="H156" s="88">
        <v>14.698265115753642</v>
      </c>
      <c r="I156" s="86">
        <v>1.2840507159882872</v>
      </c>
      <c r="J156" s="86">
        <v>1.993867693973141</v>
      </c>
      <c r="K156" s="92">
        <v>10.133540210439415</v>
      </c>
      <c r="L156" s="86">
        <v>4.8809581750466124</v>
      </c>
      <c r="M156" s="88">
        <v>2.5680335474067464</v>
      </c>
      <c r="N156" s="86">
        <v>15.310995631224012</v>
      </c>
      <c r="O156" s="86">
        <v>0.58863792303676266</v>
      </c>
      <c r="P156" s="86">
        <v>0.57089346092591009</v>
      </c>
      <c r="Q156" s="92">
        <v>0.27958845896940704</v>
      </c>
    </row>
    <row r="157" spans="2:21" x14ac:dyDescent="0.3">
      <c r="B157" s="292"/>
      <c r="C157" s="9" t="s">
        <v>178</v>
      </c>
      <c r="D157" s="86">
        <v>15.117037542948166</v>
      </c>
      <c r="E157" s="86">
        <v>7.8120881185706175</v>
      </c>
      <c r="F157" s="88">
        <v>13.294765589185321</v>
      </c>
      <c r="G157" s="88">
        <v>7.8955241066254667</v>
      </c>
      <c r="H157" s="88">
        <v>18.972316793733473</v>
      </c>
      <c r="I157" s="86">
        <v>0.99950580256369004</v>
      </c>
      <c r="J157" s="86">
        <v>1.1380020231577834</v>
      </c>
      <c r="K157" s="92">
        <v>5.4180267709479031</v>
      </c>
      <c r="L157" s="86">
        <v>5.958993288440027</v>
      </c>
      <c r="M157" s="88">
        <v>3.4970551545252104</v>
      </c>
      <c r="N157" s="86">
        <v>17.816275146291893</v>
      </c>
      <c r="O157" s="86">
        <v>0.96750375301230995</v>
      </c>
      <c r="P157" s="86">
        <v>0.36748834062992708</v>
      </c>
      <c r="Q157" s="92">
        <v>0.74541756936823711</v>
      </c>
    </row>
    <row r="158" spans="2:21" x14ac:dyDescent="0.3">
      <c r="B158" s="292"/>
      <c r="C158" s="9" t="s">
        <v>179</v>
      </c>
      <c r="D158" s="86">
        <v>16.016245396242148</v>
      </c>
      <c r="E158" s="86">
        <v>7.3380810722894818</v>
      </c>
      <c r="F158" s="88">
        <v>11.864260680041921</v>
      </c>
      <c r="G158" s="88">
        <v>10.842834416436057</v>
      </c>
      <c r="H158" s="88">
        <v>15.434675891245611</v>
      </c>
      <c r="I158" s="86">
        <v>0.96461699464453188</v>
      </c>
      <c r="J158" s="86">
        <v>1.9641555244186271</v>
      </c>
      <c r="K158" s="92">
        <v>3.3973910388159765</v>
      </c>
      <c r="L158" s="86">
        <v>3.4537919012357068</v>
      </c>
      <c r="M158" s="88">
        <v>4.972919333027475</v>
      </c>
      <c r="N158" s="86">
        <v>20.315115527319357</v>
      </c>
      <c r="O158" s="86">
        <v>3.1668697877476566</v>
      </c>
      <c r="P158" s="86">
        <v>7.5276062415897488E-2</v>
      </c>
      <c r="Q158" s="92">
        <v>0.19376637411955841</v>
      </c>
    </row>
    <row r="159" spans="2:21" x14ac:dyDescent="0.3">
      <c r="B159" s="298"/>
      <c r="C159" s="12" t="s">
        <v>180</v>
      </c>
      <c r="D159" s="90">
        <v>17.927601820163996</v>
      </c>
      <c r="E159" s="90">
        <v>7.5026096027937026</v>
      </c>
      <c r="F159" s="91">
        <v>12.221904335400282</v>
      </c>
      <c r="G159" s="91">
        <v>13.596549237776379</v>
      </c>
      <c r="H159" s="91">
        <v>14.016360279389714</v>
      </c>
      <c r="I159" s="90">
        <v>0.30621555629705238</v>
      </c>
      <c r="J159" s="90">
        <v>2.3135066273300633</v>
      </c>
      <c r="K159" s="94">
        <v>2.6498722819680505</v>
      </c>
      <c r="L159" s="90">
        <v>3.5714255724487804</v>
      </c>
      <c r="M159" s="91">
        <v>3.3201634892778658</v>
      </c>
      <c r="N159" s="90">
        <v>19.011995077085722</v>
      </c>
      <c r="O159" s="90">
        <v>2.9511012843631055</v>
      </c>
      <c r="P159" s="90">
        <v>0.25984300195929022</v>
      </c>
      <c r="Q159" s="94">
        <v>0.35085183374582884</v>
      </c>
    </row>
    <row r="160" spans="2:21" x14ac:dyDescent="0.3">
      <c r="B160" s="292" t="s">
        <v>223</v>
      </c>
      <c r="C160" s="9" t="s">
        <v>210</v>
      </c>
      <c r="D160" s="86">
        <v>36.655697891577823</v>
      </c>
      <c r="E160" s="86">
        <v>5.5156734651221635</v>
      </c>
      <c r="F160" s="88">
        <v>11.50546124460964</v>
      </c>
      <c r="G160" s="88">
        <v>3.3354457070695891</v>
      </c>
      <c r="H160" s="88">
        <v>13.656271503669151</v>
      </c>
      <c r="I160" s="86">
        <v>0</v>
      </c>
      <c r="J160" s="86">
        <v>0.83235593096726568</v>
      </c>
      <c r="K160" s="92">
        <v>13.218716879773165</v>
      </c>
      <c r="L160" s="86">
        <v>8.2168796616912072</v>
      </c>
      <c r="M160" s="88">
        <v>0</v>
      </c>
      <c r="N160" s="86">
        <v>4.3729575434919861</v>
      </c>
      <c r="O160" s="86">
        <v>0</v>
      </c>
      <c r="P160" s="86">
        <v>0.63390355857378555</v>
      </c>
      <c r="Q160" s="92">
        <v>2.0566366134542307</v>
      </c>
    </row>
    <row r="161" spans="2:17" x14ac:dyDescent="0.3">
      <c r="B161" s="292"/>
      <c r="C161" s="9" t="s">
        <v>211</v>
      </c>
      <c r="D161" s="86">
        <v>19.121171709776643</v>
      </c>
      <c r="E161" s="86">
        <v>8.5504905577149</v>
      </c>
      <c r="F161" s="88">
        <v>14.696542119160757</v>
      </c>
      <c r="G161" s="88">
        <v>7.0178899155721188</v>
      </c>
      <c r="H161" s="88">
        <v>10.223737261567118</v>
      </c>
      <c r="I161" s="86">
        <v>1.3079846778189825</v>
      </c>
      <c r="J161" s="86">
        <v>1.3639999548959243</v>
      </c>
      <c r="K161" s="92">
        <v>17.300380154110989</v>
      </c>
      <c r="L161" s="86">
        <v>6.1588708943732877</v>
      </c>
      <c r="M161" s="88">
        <v>1.8884898235865759</v>
      </c>
      <c r="N161" s="86">
        <v>10.626150141680352</v>
      </c>
      <c r="O161" s="86">
        <v>0.38358184293839553</v>
      </c>
      <c r="P161" s="86">
        <v>1.1389994436471422</v>
      </c>
      <c r="Q161" s="92">
        <v>0.22171150315668625</v>
      </c>
    </row>
    <row r="162" spans="2:17" x14ac:dyDescent="0.3">
      <c r="B162" s="292"/>
      <c r="C162" s="9" t="s">
        <v>212</v>
      </c>
      <c r="D162" s="86">
        <v>15.239054360183127</v>
      </c>
      <c r="E162" s="86">
        <v>9.1326341559803215</v>
      </c>
      <c r="F162" s="88">
        <v>11.756172765546067</v>
      </c>
      <c r="G162" s="88">
        <v>8.0194058680666735</v>
      </c>
      <c r="H162" s="88">
        <v>17.919228328787497</v>
      </c>
      <c r="I162" s="86">
        <v>1.6385220646934238</v>
      </c>
      <c r="J162" s="86">
        <v>2.6504416406052278</v>
      </c>
      <c r="K162" s="92">
        <v>9.7283985229336007</v>
      </c>
      <c r="L162" s="86">
        <v>4.0672827741022264</v>
      </c>
      <c r="M162" s="88">
        <v>2.0310276358461614</v>
      </c>
      <c r="N162" s="86">
        <v>16.245773706035791</v>
      </c>
      <c r="O162" s="86">
        <v>0.5277426963643137</v>
      </c>
      <c r="P162" s="86">
        <v>0.51416420080369762</v>
      </c>
      <c r="Q162" s="92">
        <v>0.53015128005211953</v>
      </c>
    </row>
    <row r="163" spans="2:17" x14ac:dyDescent="0.3">
      <c r="B163" s="292"/>
      <c r="C163" s="9" t="s">
        <v>213</v>
      </c>
      <c r="D163" s="86">
        <v>17.137247357786521</v>
      </c>
      <c r="E163" s="86">
        <v>6.4120578260462899</v>
      </c>
      <c r="F163" s="88">
        <v>15.312028264609518</v>
      </c>
      <c r="G163" s="88">
        <v>8.1162751169357552</v>
      </c>
      <c r="H163" s="88">
        <v>17.966755429131648</v>
      </c>
      <c r="I163" s="86">
        <v>1.2612022841915311</v>
      </c>
      <c r="J163" s="86">
        <v>0.93619594744102241</v>
      </c>
      <c r="K163" s="92">
        <v>3.5950823199891633</v>
      </c>
      <c r="L163" s="86">
        <v>5.3863944673129431</v>
      </c>
      <c r="M163" s="88">
        <v>2.5175319185631695</v>
      </c>
      <c r="N163" s="86">
        <v>20.533262834544626</v>
      </c>
      <c r="O163" s="86">
        <v>0.41268777320467898</v>
      </c>
      <c r="P163" s="86">
        <v>0.23113334072000594</v>
      </c>
      <c r="Q163" s="92">
        <v>0.18214511952347828</v>
      </c>
    </row>
    <row r="164" spans="2:17" x14ac:dyDescent="0.3">
      <c r="B164" s="292"/>
      <c r="C164" s="9" t="s">
        <v>214</v>
      </c>
      <c r="D164" s="86">
        <v>12.519496758466609</v>
      </c>
      <c r="E164" s="86">
        <v>8.8994298504678273</v>
      </c>
      <c r="F164" s="88">
        <v>13.686493931712285</v>
      </c>
      <c r="G164" s="88">
        <v>13.100225469624432</v>
      </c>
      <c r="H164" s="88">
        <v>14.459472040015021</v>
      </c>
      <c r="I164" s="86">
        <v>0.51060930830243811</v>
      </c>
      <c r="J164" s="86">
        <v>2.5992740658088183</v>
      </c>
      <c r="K164" s="92">
        <v>2.8170022025310684</v>
      </c>
      <c r="L164" s="86">
        <v>2.7076936084062146</v>
      </c>
      <c r="M164" s="88">
        <v>3.0546394176612655</v>
      </c>
      <c r="N164" s="86">
        <v>23.62807519291761</v>
      </c>
      <c r="O164" s="86">
        <v>1.6446807511420696</v>
      </c>
      <c r="P164" s="86">
        <v>0</v>
      </c>
      <c r="Q164" s="92">
        <v>0.37290740294438274</v>
      </c>
    </row>
    <row r="165" spans="2:17" x14ac:dyDescent="0.3">
      <c r="B165" s="292"/>
      <c r="C165" s="12" t="s">
        <v>215</v>
      </c>
      <c r="D165" s="90">
        <v>13.115645004772819</v>
      </c>
      <c r="E165" s="90">
        <v>9.1853424379085755</v>
      </c>
      <c r="F165" s="91">
        <v>13.838198769325793</v>
      </c>
      <c r="G165" s="91">
        <v>13.8233087328925</v>
      </c>
      <c r="H165" s="91">
        <v>12.864177033628776</v>
      </c>
      <c r="I165" s="90">
        <v>0.39757426617461361</v>
      </c>
      <c r="J165" s="90">
        <v>1.8836077780625455</v>
      </c>
      <c r="K165" s="94">
        <v>2.6755307557416352</v>
      </c>
      <c r="L165" s="90">
        <v>4.1157724611576985</v>
      </c>
      <c r="M165" s="91">
        <v>2.9558245302399713</v>
      </c>
      <c r="N165" s="90">
        <v>23.586458403252504</v>
      </c>
      <c r="O165" s="90">
        <v>1.3153761404865596</v>
      </c>
      <c r="P165" s="90">
        <v>0</v>
      </c>
      <c r="Q165" s="94">
        <v>0.24318368635591925</v>
      </c>
    </row>
    <row r="166" spans="2:17" x14ac:dyDescent="0.3">
      <c r="B166" s="292"/>
      <c r="C166" s="9" t="s">
        <v>216</v>
      </c>
      <c r="D166" s="86">
        <v>24.763322574550518</v>
      </c>
      <c r="E166" s="86">
        <v>6.2583140957135424</v>
      </c>
      <c r="F166" s="88">
        <v>12.154048610934593</v>
      </c>
      <c r="G166" s="88">
        <v>7.9778868204716353</v>
      </c>
      <c r="H166" s="88">
        <v>4.440391398161621</v>
      </c>
      <c r="I166" s="86">
        <v>1.1632138355711985</v>
      </c>
      <c r="J166" s="86">
        <v>0.84430388233512066</v>
      </c>
      <c r="K166" s="92">
        <v>33.663006016863413</v>
      </c>
      <c r="L166" s="86">
        <v>2.9726350478910137</v>
      </c>
      <c r="M166" s="88">
        <v>1.4076318421367311</v>
      </c>
      <c r="N166" s="86">
        <v>1.9613158711838024</v>
      </c>
      <c r="O166" s="86">
        <v>1.1853741828519841</v>
      </c>
      <c r="P166" s="86">
        <v>1.2085558213348322</v>
      </c>
      <c r="Q166" s="92">
        <v>0</v>
      </c>
    </row>
    <row r="167" spans="2:17" x14ac:dyDescent="0.3">
      <c r="B167" s="292"/>
      <c r="C167" s="9" t="s">
        <v>217</v>
      </c>
      <c r="D167" s="86">
        <v>17.436722144640896</v>
      </c>
      <c r="E167" s="86">
        <v>8.3023599112507771</v>
      </c>
      <c r="F167" s="88">
        <v>14.246667839651625</v>
      </c>
      <c r="G167" s="88">
        <v>6.5675929960315811</v>
      </c>
      <c r="H167" s="88">
        <v>10.335058689914156</v>
      </c>
      <c r="I167" s="86">
        <v>1.3790693274803421</v>
      </c>
      <c r="J167" s="86">
        <v>1.4430937418499343</v>
      </c>
      <c r="K167" s="92">
        <v>24.348718243054314</v>
      </c>
      <c r="L167" s="86">
        <v>5.3955265273860453</v>
      </c>
      <c r="M167" s="88">
        <v>2.175472416535297</v>
      </c>
      <c r="N167" s="86">
        <v>6.964293256182688</v>
      </c>
      <c r="O167" s="86">
        <v>0.53913073641836173</v>
      </c>
      <c r="P167" s="86">
        <v>0.63954662539584739</v>
      </c>
      <c r="Q167" s="92">
        <v>0.22674754420812598</v>
      </c>
    </row>
    <row r="168" spans="2:17" x14ac:dyDescent="0.3">
      <c r="B168" s="292"/>
      <c r="C168" s="9" t="s">
        <v>218</v>
      </c>
      <c r="D168" s="86">
        <v>15.08317223320763</v>
      </c>
      <c r="E168" s="86">
        <v>15.33930846738129</v>
      </c>
      <c r="F168" s="88">
        <v>14.234478141366944</v>
      </c>
      <c r="G168" s="88">
        <v>6.9886439739099471</v>
      </c>
      <c r="H168" s="88">
        <v>11.10417985905864</v>
      </c>
      <c r="I168" s="86">
        <v>0.88851678280128399</v>
      </c>
      <c r="J168" s="86">
        <v>1.261235066574165</v>
      </c>
      <c r="K168" s="92">
        <v>10.58561422359327</v>
      </c>
      <c r="L168" s="86">
        <v>5.7888911655370761</v>
      </c>
      <c r="M168" s="88">
        <v>3.1672471682540402</v>
      </c>
      <c r="N168" s="86">
        <v>14.267931220128707</v>
      </c>
      <c r="O168" s="86">
        <v>0.65658735987010008</v>
      </c>
      <c r="P168" s="86">
        <v>0.6341943383166867</v>
      </c>
      <c r="Q168" s="92">
        <v>0</v>
      </c>
    </row>
    <row r="169" spans="2:17" x14ac:dyDescent="0.3">
      <c r="B169" s="292"/>
      <c r="C169" s="9" t="s">
        <v>219</v>
      </c>
      <c r="D169" s="86">
        <v>12.765714068423131</v>
      </c>
      <c r="E169" s="86">
        <v>9.441584256882452</v>
      </c>
      <c r="F169" s="88">
        <v>10.946872292078654</v>
      </c>
      <c r="G169" s="88">
        <v>7.6385918668376975</v>
      </c>
      <c r="H169" s="88">
        <v>20.142690298652422</v>
      </c>
      <c r="I169" s="86">
        <v>0.69491710294815234</v>
      </c>
      <c r="J169" s="86">
        <v>1.3728842416527915</v>
      </c>
      <c r="K169" s="92">
        <v>7.5397529643421155</v>
      </c>
      <c r="L169" s="86">
        <v>6.6254414166060105</v>
      </c>
      <c r="M169" s="88">
        <v>4.6371228651380614</v>
      </c>
      <c r="N169" s="86">
        <v>14.653971466515292</v>
      </c>
      <c r="O169" s="86">
        <v>1.6132544209783106</v>
      </c>
      <c r="P169" s="86">
        <v>0.52619201081416667</v>
      </c>
      <c r="Q169" s="92">
        <v>1.4010107281309212</v>
      </c>
    </row>
    <row r="170" spans="2:17" x14ac:dyDescent="0.3">
      <c r="B170" s="292"/>
      <c r="C170" s="9" t="s">
        <v>220</v>
      </c>
      <c r="D170" s="86">
        <v>19.798473896290673</v>
      </c>
      <c r="E170" s="86">
        <v>5.6492614117779683</v>
      </c>
      <c r="F170" s="88">
        <v>9.8932575419415407</v>
      </c>
      <c r="G170" s="88">
        <v>8.4011465339020965</v>
      </c>
      <c r="H170" s="88">
        <v>16.489496863972956</v>
      </c>
      <c r="I170" s="86">
        <v>1.4556905570886833</v>
      </c>
      <c r="J170" s="86">
        <v>1.2771849420311554</v>
      </c>
      <c r="K170" s="92">
        <v>4.0251636999653435</v>
      </c>
      <c r="L170" s="86">
        <v>4.2608027902918959</v>
      </c>
      <c r="M170" s="88">
        <v>7.0478105301208682</v>
      </c>
      <c r="N170" s="86">
        <v>16.731680809887575</v>
      </c>
      <c r="O170" s="86">
        <v>4.8133326459911867</v>
      </c>
      <c r="P170" s="86">
        <v>0.1566977767379085</v>
      </c>
      <c r="Q170" s="92">
        <v>0</v>
      </c>
    </row>
    <row r="171" spans="2:17" x14ac:dyDescent="0.3">
      <c r="B171" s="295"/>
      <c r="C171" s="9" t="s">
        <v>221</v>
      </c>
      <c r="D171" s="86">
        <v>22.263236031068413</v>
      </c>
      <c r="E171" s="86">
        <v>5.9864459447158165</v>
      </c>
      <c r="F171" s="88">
        <v>10.765602520677476</v>
      </c>
      <c r="G171" s="88">
        <v>13.392236052436001</v>
      </c>
      <c r="H171" s="88">
        <v>15.054492018555344</v>
      </c>
      <c r="I171" s="86">
        <v>0.22390019828254953</v>
      </c>
      <c r="J171" s="86">
        <v>2.700850950984631</v>
      </c>
      <c r="K171" s="92">
        <v>2.6267536711907158</v>
      </c>
      <c r="L171" s="86">
        <v>3.0809621115679593</v>
      </c>
      <c r="M171" s="88">
        <v>3.6484375191106899</v>
      </c>
      <c r="N171" s="86">
        <v>14.890345516553595</v>
      </c>
      <c r="O171" s="86">
        <v>4.4249104155556518</v>
      </c>
      <c r="P171" s="86">
        <v>0.49396484718354416</v>
      </c>
      <c r="Q171" s="92">
        <v>0.44786220211723382</v>
      </c>
    </row>
    <row r="172" spans="2:17" ht="16.5" customHeight="1" x14ac:dyDescent="0.3">
      <c r="B172" s="291" t="s">
        <v>222</v>
      </c>
      <c r="C172" s="13" t="s">
        <v>226</v>
      </c>
      <c r="D172" s="84">
        <v>14.029262519908297</v>
      </c>
      <c r="E172" s="84">
        <v>7.0912579002612706</v>
      </c>
      <c r="F172" s="89">
        <v>13.099841741981685</v>
      </c>
      <c r="G172" s="89">
        <v>10.435564705362733</v>
      </c>
      <c r="H172" s="89">
        <v>11.415302399158103</v>
      </c>
      <c r="I172" s="84">
        <v>0.92096741197634446</v>
      </c>
      <c r="J172" s="84">
        <v>2.9003123733123877</v>
      </c>
      <c r="K172" s="93">
        <v>9.2793632990891854</v>
      </c>
      <c r="L172" s="84">
        <v>4.677097162695171</v>
      </c>
      <c r="M172" s="89">
        <v>3.0018157425138297</v>
      </c>
      <c r="N172" s="84">
        <v>19.520624470795628</v>
      </c>
      <c r="O172" s="84">
        <v>2.4538088098639421</v>
      </c>
      <c r="P172" s="84">
        <v>0.77534136407418131</v>
      </c>
      <c r="Q172" s="93">
        <v>0.39944009900720673</v>
      </c>
    </row>
    <row r="173" spans="2:17" ht="16.5" customHeight="1" x14ac:dyDescent="0.3">
      <c r="B173" s="294"/>
      <c r="C173" s="9" t="s">
        <v>227</v>
      </c>
      <c r="D173" s="86">
        <v>15.229952644785335</v>
      </c>
      <c r="E173" s="86">
        <v>8.5452200903200026</v>
      </c>
      <c r="F173" s="88">
        <v>11.706602957773137</v>
      </c>
      <c r="G173" s="88">
        <v>10.95602333034681</v>
      </c>
      <c r="H173" s="88">
        <v>14.174377592313359</v>
      </c>
      <c r="I173" s="86">
        <v>0.78154287161205249</v>
      </c>
      <c r="J173" s="86">
        <v>2.0270223104962395</v>
      </c>
      <c r="K173" s="92">
        <v>8.4122277354127242</v>
      </c>
      <c r="L173" s="86">
        <v>5.4855640322585586</v>
      </c>
      <c r="M173" s="88">
        <v>3.4503946219860047</v>
      </c>
      <c r="N173" s="86">
        <v>16.641310235372224</v>
      </c>
      <c r="O173" s="86">
        <v>1.6526874518666221</v>
      </c>
      <c r="P173" s="86">
        <v>0.47659808187499875</v>
      </c>
      <c r="Q173" s="92">
        <v>0.46047604358195893</v>
      </c>
    </row>
    <row r="174" spans="2:17" x14ac:dyDescent="0.3">
      <c r="B174" s="292"/>
      <c r="C174" s="9" t="s">
        <v>228</v>
      </c>
      <c r="D174" s="86">
        <v>17.257641198943318</v>
      </c>
      <c r="E174" s="86">
        <v>8.7888034333921379</v>
      </c>
      <c r="F174" s="88">
        <v>13.253705365010978</v>
      </c>
      <c r="G174" s="88">
        <v>9.0074096625165101</v>
      </c>
      <c r="H174" s="88">
        <v>16.981819483447989</v>
      </c>
      <c r="I174" s="86">
        <v>1.0316204984243507</v>
      </c>
      <c r="J174" s="86">
        <v>1.1540626284893849</v>
      </c>
      <c r="K174" s="92">
        <v>8.195741821495993</v>
      </c>
      <c r="L174" s="86">
        <v>4.3645965438934766</v>
      </c>
      <c r="M174" s="88">
        <v>3.5363628194277665</v>
      </c>
      <c r="N174" s="86">
        <v>15.383600697117245</v>
      </c>
      <c r="O174" s="86">
        <v>0.93039466067048626</v>
      </c>
      <c r="P174" s="86">
        <v>0.11424118717016288</v>
      </c>
      <c r="Q174" s="92">
        <v>0</v>
      </c>
    </row>
    <row r="175" spans="2:17" x14ac:dyDescent="0.3">
      <c r="B175" s="295"/>
      <c r="C175" s="12" t="s">
        <v>229</v>
      </c>
      <c r="D175" s="90">
        <v>21.635106533376955</v>
      </c>
      <c r="E175" s="90">
        <v>9.0638809071932567</v>
      </c>
      <c r="F175" s="91">
        <v>13.393601688869975</v>
      </c>
      <c r="G175" s="91">
        <v>7.0756548401210537</v>
      </c>
      <c r="H175" s="91">
        <v>16.129467779882294</v>
      </c>
      <c r="I175" s="90">
        <v>1.041142803160606</v>
      </c>
      <c r="J175" s="90">
        <v>0.84791395625479804</v>
      </c>
      <c r="K175" s="94">
        <v>7.7340173442002307</v>
      </c>
      <c r="L175" s="90">
        <v>4.0976998004810783</v>
      </c>
      <c r="M175" s="91">
        <v>3.1672428019825021</v>
      </c>
      <c r="N175" s="90">
        <v>13.199230490040001</v>
      </c>
      <c r="O175" s="90">
        <v>1.7048574616535206</v>
      </c>
      <c r="P175" s="90">
        <v>0.29461844815621296</v>
      </c>
      <c r="Q175" s="94">
        <v>0.61556514462729384</v>
      </c>
    </row>
    <row r="176" spans="2:17" x14ac:dyDescent="0.3">
      <c r="B176" s="296" t="s">
        <v>199</v>
      </c>
      <c r="C176" s="13" t="s">
        <v>192</v>
      </c>
      <c r="D176" s="84">
        <v>17.91785525586641</v>
      </c>
      <c r="E176" s="84">
        <v>10.853273317439923</v>
      </c>
      <c r="F176" s="89">
        <v>12.380428325468102</v>
      </c>
      <c r="G176" s="89">
        <v>9.0409861568953733</v>
      </c>
      <c r="H176" s="89">
        <v>14.518597231541349</v>
      </c>
      <c r="I176" s="84">
        <v>0.88315895871204941</v>
      </c>
      <c r="J176" s="84">
        <v>1.6303144649388559</v>
      </c>
      <c r="K176" s="93">
        <v>9.0112564447240224</v>
      </c>
      <c r="L176" s="84">
        <v>3.766639636772759</v>
      </c>
      <c r="M176" s="89">
        <v>3.0666121970021849</v>
      </c>
      <c r="N176" s="84">
        <v>14.232526908939052</v>
      </c>
      <c r="O176" s="84">
        <v>1.6490287584747538</v>
      </c>
      <c r="P176" s="84">
        <v>0.57114822532587906</v>
      </c>
      <c r="Q176" s="93">
        <v>0.47817411789804432</v>
      </c>
    </row>
    <row r="177" spans="2:21" x14ac:dyDescent="0.3">
      <c r="B177" s="292"/>
      <c r="C177" s="9" t="s">
        <v>200</v>
      </c>
      <c r="D177" s="86">
        <v>9.634879320639671</v>
      </c>
      <c r="E177" s="86">
        <v>5.6823930119043364</v>
      </c>
      <c r="F177" s="88">
        <v>16.804338568992947</v>
      </c>
      <c r="G177" s="88">
        <v>10.919165350466582</v>
      </c>
      <c r="H177" s="88">
        <v>9.8128264767427975</v>
      </c>
      <c r="I177" s="86">
        <v>1.209504283335326</v>
      </c>
      <c r="J177" s="86">
        <v>1.180760408533011</v>
      </c>
      <c r="K177" s="92">
        <v>5.7381645612705867</v>
      </c>
      <c r="L177" s="86">
        <v>9.9878226961289069</v>
      </c>
      <c r="M177" s="88">
        <v>3.2384523393648683</v>
      </c>
      <c r="N177" s="86">
        <v>22.195796174389915</v>
      </c>
      <c r="O177" s="86">
        <v>3.3449708307475077</v>
      </c>
      <c r="P177" s="86">
        <v>0.25092597748352152</v>
      </c>
      <c r="Q177" s="92">
        <v>0</v>
      </c>
    </row>
    <row r="178" spans="2:21" x14ac:dyDescent="0.3">
      <c r="B178" s="292"/>
      <c r="C178" s="9" t="s">
        <v>201</v>
      </c>
      <c r="D178" s="86">
        <v>18.339438043547503</v>
      </c>
      <c r="E178" s="86">
        <v>6.8119436918274854</v>
      </c>
      <c r="F178" s="88">
        <v>11.028443654481181</v>
      </c>
      <c r="G178" s="88">
        <v>8.0841280938297455</v>
      </c>
      <c r="H178" s="88">
        <v>17.682494332105659</v>
      </c>
      <c r="I178" s="86">
        <v>1.3724485634901533</v>
      </c>
      <c r="J178" s="86">
        <v>2.7912244012414638</v>
      </c>
      <c r="K178" s="92">
        <v>8.7060351274700789</v>
      </c>
      <c r="L178" s="86">
        <v>4.0086415287729142</v>
      </c>
      <c r="M178" s="88">
        <v>3.9290971618414008</v>
      </c>
      <c r="N178" s="86">
        <v>15.541491673103131</v>
      </c>
      <c r="O178" s="86">
        <v>1.378777764226307</v>
      </c>
      <c r="P178" s="86">
        <v>0.13915133589023707</v>
      </c>
      <c r="Q178" s="92">
        <v>0.18668462817262502</v>
      </c>
    </row>
    <row r="179" spans="2:21" x14ac:dyDescent="0.3">
      <c r="B179" s="292"/>
      <c r="C179" s="9" t="s">
        <v>202</v>
      </c>
      <c r="D179" s="86">
        <v>13.87626323781209</v>
      </c>
      <c r="E179" s="86">
        <v>4.7184841394329782</v>
      </c>
      <c r="F179" s="88">
        <v>13.611522716757504</v>
      </c>
      <c r="G179" s="88">
        <v>12.799640057009915</v>
      </c>
      <c r="H179" s="88">
        <v>12.229591657902084</v>
      </c>
      <c r="I179" s="86">
        <v>0.45351642658871044</v>
      </c>
      <c r="J179" s="86">
        <v>1.5515646695372949</v>
      </c>
      <c r="K179" s="92">
        <v>8.9481218268649307</v>
      </c>
      <c r="L179" s="86">
        <v>4.9727970350642723</v>
      </c>
      <c r="M179" s="88">
        <v>3.2253977532680098</v>
      </c>
      <c r="N179" s="86">
        <v>20.490089845588745</v>
      </c>
      <c r="O179" s="86">
        <v>2.7387357898536893</v>
      </c>
      <c r="P179" s="86">
        <v>0.21916120117705046</v>
      </c>
      <c r="Q179" s="92">
        <v>0.16511364314273744</v>
      </c>
    </row>
    <row r="180" spans="2:21" x14ac:dyDescent="0.3">
      <c r="B180" s="295"/>
      <c r="C180" s="12" t="s">
        <v>203</v>
      </c>
      <c r="D180" s="90">
        <v>16.93393913344455</v>
      </c>
      <c r="E180" s="90">
        <v>5.0522038709227761</v>
      </c>
      <c r="F180" s="91">
        <v>13.684182822440045</v>
      </c>
      <c r="G180" s="91">
        <v>9.2803699360109029</v>
      </c>
      <c r="H180" s="91">
        <v>15.195418610208936</v>
      </c>
      <c r="I180" s="90">
        <v>1.0010998222028156</v>
      </c>
      <c r="J180" s="90">
        <v>1.6921594408107483</v>
      </c>
      <c r="K180" s="94">
        <v>7.060269956069372</v>
      </c>
      <c r="L180" s="90">
        <v>6.1377459436949708</v>
      </c>
      <c r="M180" s="91">
        <v>3.5439703418997417</v>
      </c>
      <c r="N180" s="90">
        <v>18.358682929823374</v>
      </c>
      <c r="O180" s="90">
        <v>1.3404158827271118</v>
      </c>
      <c r="P180" s="90">
        <v>0.30392169683366094</v>
      </c>
      <c r="Q180" s="94">
        <v>0.41561961291118543</v>
      </c>
    </row>
    <row r="181" spans="2:21" x14ac:dyDescent="0.3">
      <c r="B181" s="291" t="s">
        <v>204</v>
      </c>
      <c r="C181" s="13" t="s">
        <v>192</v>
      </c>
      <c r="D181" s="84">
        <v>17.91785525586641</v>
      </c>
      <c r="E181" s="84">
        <v>10.853273317439923</v>
      </c>
      <c r="F181" s="89">
        <v>12.380428325468102</v>
      </c>
      <c r="G181" s="89">
        <v>9.0409861568953733</v>
      </c>
      <c r="H181" s="89">
        <v>14.518597231541349</v>
      </c>
      <c r="I181" s="84">
        <v>0.88315895871204941</v>
      </c>
      <c r="J181" s="84">
        <v>1.6303144649388559</v>
      </c>
      <c r="K181" s="93">
        <v>9.0112564447240224</v>
      </c>
      <c r="L181" s="84">
        <v>3.766639636772759</v>
      </c>
      <c r="M181" s="89">
        <v>3.0666121970021849</v>
      </c>
      <c r="N181" s="84">
        <v>14.232526908939052</v>
      </c>
      <c r="O181" s="84">
        <v>1.6490287584747538</v>
      </c>
      <c r="P181" s="84">
        <v>0.57114822532587906</v>
      </c>
      <c r="Q181" s="93">
        <v>0.47817411789804432</v>
      </c>
    </row>
    <row r="182" spans="2:21" x14ac:dyDescent="0.3">
      <c r="B182" s="295"/>
      <c r="C182" s="12" t="s">
        <v>193</v>
      </c>
      <c r="D182" s="90">
        <v>16.06722806101552</v>
      </c>
      <c r="E182" s="90">
        <v>5.438173012724441</v>
      </c>
      <c r="F182" s="91">
        <v>13.34358432676723</v>
      </c>
      <c r="G182" s="91">
        <v>9.7955042256472176</v>
      </c>
      <c r="H182" s="91">
        <v>14.750546070925651</v>
      </c>
      <c r="I182" s="90">
        <v>1.0018420789826845</v>
      </c>
      <c r="J182" s="90">
        <v>1.8684437037095591</v>
      </c>
      <c r="K182" s="94">
        <v>7.6600063044993947</v>
      </c>
      <c r="L182" s="90">
        <v>5.7775803498176161</v>
      </c>
      <c r="M182" s="91">
        <v>3.5457923251997916</v>
      </c>
      <c r="N182" s="90">
        <v>18.445642533985797</v>
      </c>
      <c r="O182" s="90">
        <v>1.7752632780090249</v>
      </c>
      <c r="P182" s="90">
        <v>0.24710967558887806</v>
      </c>
      <c r="Q182" s="94">
        <v>0.28328405312777083</v>
      </c>
    </row>
    <row r="183" spans="2:21" ht="16.5" customHeight="1" x14ac:dyDescent="0.3">
      <c r="B183" s="291" t="s">
        <v>209</v>
      </c>
      <c r="C183" s="13" t="s">
        <v>205</v>
      </c>
      <c r="D183" s="84">
        <v>12.719164488859278</v>
      </c>
      <c r="E183" s="84">
        <v>5.9388254530522397</v>
      </c>
      <c r="F183" s="89">
        <v>12.149539913825</v>
      </c>
      <c r="G183" s="89">
        <v>6.3694618466346329</v>
      </c>
      <c r="H183" s="89">
        <v>11.620851183886781</v>
      </c>
      <c r="I183" s="84">
        <v>0.50577107044372982</v>
      </c>
      <c r="J183" s="84">
        <v>2.6370146592135648</v>
      </c>
      <c r="K183" s="93">
        <v>11.9779896199971</v>
      </c>
      <c r="L183" s="84">
        <v>6.8749051454483689</v>
      </c>
      <c r="M183" s="89">
        <v>4.1566941402528501</v>
      </c>
      <c r="N183" s="84">
        <v>21.858964672516567</v>
      </c>
      <c r="O183" s="84">
        <v>2.0862047878142147</v>
      </c>
      <c r="P183" s="84">
        <v>0.85112871668101431</v>
      </c>
      <c r="Q183" s="93">
        <v>0.2534843013746757</v>
      </c>
    </row>
    <row r="184" spans="2:21" x14ac:dyDescent="0.3">
      <c r="B184" s="292"/>
      <c r="C184" s="9" t="s">
        <v>206</v>
      </c>
      <c r="D184" s="86">
        <v>14.91820559509461</v>
      </c>
      <c r="E184" s="86">
        <v>9.1063025879558079</v>
      </c>
      <c r="F184" s="88">
        <v>12.861134673921343</v>
      </c>
      <c r="G184" s="88">
        <v>10.445768637327749</v>
      </c>
      <c r="H184" s="88">
        <v>12.807999822599731</v>
      </c>
      <c r="I184" s="86">
        <v>1.1133348739406514</v>
      </c>
      <c r="J184" s="86">
        <v>1.9487962160755619</v>
      </c>
      <c r="K184" s="92">
        <v>5.6125403401056744</v>
      </c>
      <c r="L184" s="86">
        <v>4.9423880773685243</v>
      </c>
      <c r="M184" s="88">
        <v>3.5737152469201527</v>
      </c>
      <c r="N184" s="86">
        <v>19.903270554545031</v>
      </c>
      <c r="O184" s="86">
        <v>1.872198836986281</v>
      </c>
      <c r="P184" s="86">
        <v>0.44822803889103596</v>
      </c>
      <c r="Q184" s="92">
        <v>0.44611649826769206</v>
      </c>
    </row>
    <row r="185" spans="2:21" x14ac:dyDescent="0.3">
      <c r="B185" s="292"/>
      <c r="C185" s="9" t="s">
        <v>207</v>
      </c>
      <c r="D185" s="86">
        <v>20.261950413260742</v>
      </c>
      <c r="E185" s="86">
        <v>8.871436402051442</v>
      </c>
      <c r="F185" s="88">
        <v>11.998535198798461</v>
      </c>
      <c r="G185" s="88">
        <v>9.9615682245522468</v>
      </c>
      <c r="H185" s="88">
        <v>15.967057582487994</v>
      </c>
      <c r="I185" s="86">
        <v>1.0399835626164917</v>
      </c>
      <c r="J185" s="86">
        <v>1.5728402040150735</v>
      </c>
      <c r="K185" s="92">
        <v>6.3430789690766431</v>
      </c>
      <c r="L185" s="86">
        <v>4.1793205689362951</v>
      </c>
      <c r="M185" s="88">
        <v>3.0651392383832916</v>
      </c>
      <c r="N185" s="86">
        <v>14.835623753815122</v>
      </c>
      <c r="O185" s="86">
        <v>1.2412534720957575</v>
      </c>
      <c r="P185" s="86">
        <v>0.14975197105489732</v>
      </c>
      <c r="Q185" s="92">
        <v>0.51246043885543058</v>
      </c>
    </row>
    <row r="186" spans="2:21" x14ac:dyDescent="0.3">
      <c r="B186" s="293"/>
      <c r="C186" s="25" t="s">
        <v>208</v>
      </c>
      <c r="D186" s="87">
        <v>17.697987664429412</v>
      </c>
      <c r="E186" s="87">
        <v>8.7348839342056248</v>
      </c>
      <c r="F186" s="95">
        <v>13.873278443915327</v>
      </c>
      <c r="G186" s="95">
        <v>9.736247730976606</v>
      </c>
      <c r="H186" s="95">
        <v>16.028564939237679</v>
      </c>
      <c r="I186" s="87">
        <v>0.9545010529570479</v>
      </c>
      <c r="J186" s="87">
        <v>1.3091505368025045</v>
      </c>
      <c r="K186" s="96">
        <v>10.139277627502988</v>
      </c>
      <c r="L186" s="87">
        <v>3.878781775284859</v>
      </c>
      <c r="M186" s="95">
        <v>2.8695139042488145</v>
      </c>
      <c r="N186" s="87">
        <v>12.190674116645418</v>
      </c>
      <c r="O186" s="87">
        <v>1.8351001615029208</v>
      </c>
      <c r="P186" s="87">
        <v>0.4402009154564856</v>
      </c>
      <c r="Q186" s="96">
        <v>0.31183719683421057</v>
      </c>
    </row>
    <row r="187" spans="2:21" x14ac:dyDescent="0.3">
      <c r="B187" s="136"/>
    </row>
    <row r="188" spans="2:21" x14ac:dyDescent="0.3">
      <c r="B188" s="60"/>
      <c r="C188" s="9"/>
      <c r="D188" s="58"/>
      <c r="E188" s="58"/>
      <c r="F188" s="50"/>
      <c r="G188" s="58"/>
      <c r="H188" s="50"/>
      <c r="I188" s="58"/>
      <c r="J188" s="58"/>
      <c r="K188" s="58"/>
      <c r="L188" s="50"/>
      <c r="M188" s="58"/>
      <c r="N188" s="58"/>
    </row>
    <row r="189" spans="2:21" ht="17.25" customHeight="1" x14ac:dyDescent="0.3">
      <c r="B189" s="1" t="s">
        <v>488</v>
      </c>
      <c r="D189" s="59"/>
      <c r="E189" s="59"/>
      <c r="F189" s="304"/>
      <c r="G189" s="304"/>
      <c r="H189" s="304"/>
      <c r="I189" s="304"/>
      <c r="J189" s="304"/>
      <c r="K189" s="304"/>
      <c r="L189" s="304"/>
      <c r="M189" s="304"/>
      <c r="N189" s="304"/>
      <c r="O189" s="304"/>
      <c r="P189" s="304"/>
      <c r="Q189" s="304"/>
      <c r="R189" s="304"/>
      <c r="S189" s="304"/>
      <c r="T189" s="304"/>
      <c r="U189" s="304"/>
    </row>
    <row r="190" spans="2:21" ht="10.5" customHeight="1" x14ac:dyDescent="0.3"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30"/>
      <c r="P190" s="30"/>
      <c r="Q190" s="30" t="s">
        <v>157</v>
      </c>
    </row>
    <row r="191" spans="2:21" s="22" customFormat="1" ht="20.25" customHeight="1" x14ac:dyDescent="0.3">
      <c r="B191" s="307"/>
      <c r="C191" s="307"/>
      <c r="D191" s="300" t="s">
        <v>120</v>
      </c>
      <c r="E191" s="300"/>
      <c r="F191" s="300"/>
      <c r="G191" s="300"/>
      <c r="H191" s="300"/>
      <c r="I191" s="300"/>
      <c r="J191" s="301"/>
      <c r="K191" s="299" t="s">
        <v>125</v>
      </c>
      <c r="L191" s="300"/>
      <c r="M191" s="300"/>
      <c r="N191" s="300"/>
      <c r="O191" s="300"/>
      <c r="P191" s="301"/>
      <c r="Q191" s="212" t="s">
        <v>38</v>
      </c>
    </row>
    <row r="192" spans="2:21" s="22" customFormat="1" ht="27" x14ac:dyDescent="0.3">
      <c r="B192" s="300"/>
      <c r="C192" s="300"/>
      <c r="D192" s="202" t="s">
        <v>39</v>
      </c>
      <c r="E192" s="202" t="s">
        <v>40</v>
      </c>
      <c r="F192" s="202" t="s">
        <v>116</v>
      </c>
      <c r="G192" s="202" t="s">
        <v>117</v>
      </c>
      <c r="H192" s="202" t="s">
        <v>115</v>
      </c>
      <c r="I192" s="202" t="s">
        <v>119</v>
      </c>
      <c r="J192" s="202" t="s">
        <v>300</v>
      </c>
      <c r="K192" s="214" t="s">
        <v>298</v>
      </c>
      <c r="L192" s="202" t="s">
        <v>299</v>
      </c>
      <c r="M192" s="202" t="s">
        <v>121</v>
      </c>
      <c r="N192" s="202" t="s">
        <v>118</v>
      </c>
      <c r="O192" s="202" t="s">
        <v>122</v>
      </c>
      <c r="P192" s="202" t="s">
        <v>124</v>
      </c>
      <c r="Q192" s="214" t="s">
        <v>38</v>
      </c>
    </row>
    <row r="193" spans="2:17" ht="21.75" customHeight="1" x14ac:dyDescent="0.3">
      <c r="B193" s="292" t="s">
        <v>20</v>
      </c>
      <c r="C193" s="292"/>
      <c r="D193" s="86">
        <v>30.716430289611594</v>
      </c>
      <c r="E193" s="86">
        <v>24.43718625747664</v>
      </c>
      <c r="F193" s="88">
        <v>32.123311644679738</v>
      </c>
      <c r="G193" s="88">
        <v>28.848820243492085</v>
      </c>
      <c r="H193" s="88">
        <v>44.062945565699472</v>
      </c>
      <c r="I193" s="86">
        <v>5.522096929158038</v>
      </c>
      <c r="J193" s="86">
        <v>11.286456256138697</v>
      </c>
      <c r="K193" s="92">
        <v>25.566843000358926</v>
      </c>
      <c r="L193" s="86">
        <v>20.248918938686177</v>
      </c>
      <c r="M193" s="88">
        <v>21.301899208499158</v>
      </c>
      <c r="N193" s="86">
        <v>42.17214332171266</v>
      </c>
      <c r="O193" s="86">
        <v>9.4212995266085127</v>
      </c>
      <c r="P193" s="86">
        <v>2.9640377259634771</v>
      </c>
      <c r="Q193" s="92">
        <v>1.327611091913155</v>
      </c>
    </row>
    <row r="194" spans="2:17" x14ac:dyDescent="0.3">
      <c r="B194" s="296" t="s">
        <v>5</v>
      </c>
      <c r="C194" s="13" t="s">
        <v>0</v>
      </c>
      <c r="D194" s="84">
        <v>30.225467447516213</v>
      </c>
      <c r="E194" s="84">
        <v>24.838669906241311</v>
      </c>
      <c r="F194" s="89">
        <v>34.184280973145086</v>
      </c>
      <c r="G194" s="89">
        <v>30.413338917311268</v>
      </c>
      <c r="H194" s="89">
        <v>44.825880170132884</v>
      </c>
      <c r="I194" s="84">
        <v>5.6704869425736355</v>
      </c>
      <c r="J194" s="84">
        <v>11.73777595929622</v>
      </c>
      <c r="K194" s="93">
        <v>24.159407644424828</v>
      </c>
      <c r="L194" s="84">
        <v>18.862258046921966</v>
      </c>
      <c r="M194" s="89">
        <v>19.894206014619567</v>
      </c>
      <c r="N194" s="84">
        <v>44.031191157412024</v>
      </c>
      <c r="O194" s="84">
        <v>7.4217700610542376</v>
      </c>
      <c r="P194" s="84">
        <v>2.7377787474765483</v>
      </c>
      <c r="Q194" s="93">
        <v>0.99748801187330272</v>
      </c>
    </row>
    <row r="195" spans="2:17" x14ac:dyDescent="0.3">
      <c r="B195" s="295"/>
      <c r="C195" s="12" t="s">
        <v>1</v>
      </c>
      <c r="D195" s="90">
        <v>31.241806151159579</v>
      </c>
      <c r="E195" s="90">
        <v>24.007561447242825</v>
      </c>
      <c r="F195" s="91">
        <v>29.917882956950777</v>
      </c>
      <c r="G195" s="91">
        <v>27.174639886670516</v>
      </c>
      <c r="H195" s="91">
        <v>43.246534646701775</v>
      </c>
      <c r="I195" s="90">
        <v>5.3633058263312456</v>
      </c>
      <c r="J195" s="90">
        <v>10.803502236914145</v>
      </c>
      <c r="K195" s="94">
        <v>27.072929610785536</v>
      </c>
      <c r="L195" s="90">
        <v>21.732774942077722</v>
      </c>
      <c r="M195" s="91">
        <v>22.808261729486009</v>
      </c>
      <c r="N195" s="90">
        <v>40.182789393886473</v>
      </c>
      <c r="O195" s="90">
        <v>11.560981852001067</v>
      </c>
      <c r="P195" s="90">
        <v>3.2061558570387247</v>
      </c>
      <c r="Q195" s="94">
        <v>1.6808734627527948</v>
      </c>
    </row>
    <row r="196" spans="2:17" x14ac:dyDescent="0.3">
      <c r="B196" s="296" t="s">
        <v>4</v>
      </c>
      <c r="C196" s="9" t="s">
        <v>175</v>
      </c>
      <c r="D196" s="86">
        <v>50.81735610668828</v>
      </c>
      <c r="E196" s="86">
        <v>21.793423224595454</v>
      </c>
      <c r="F196" s="88">
        <v>35.3662659134107</v>
      </c>
      <c r="G196" s="88">
        <v>20.823100832542298</v>
      </c>
      <c r="H196" s="88">
        <v>34.936455864259038</v>
      </c>
      <c r="I196" s="86">
        <v>8.099854213227454</v>
      </c>
      <c r="J196" s="86">
        <v>9.9126160049125502</v>
      </c>
      <c r="K196" s="92">
        <v>50.367788827522084</v>
      </c>
      <c r="L196" s="86">
        <v>27.540328802275106</v>
      </c>
      <c r="M196" s="88">
        <v>11.508902550878833</v>
      </c>
      <c r="N196" s="86">
        <v>18.893484872439501</v>
      </c>
      <c r="O196" s="86">
        <v>2.1584123298081943</v>
      </c>
      <c r="P196" s="86">
        <v>6.1753159446237076</v>
      </c>
      <c r="Q196" s="92">
        <v>1.6066945128168111</v>
      </c>
    </row>
    <row r="197" spans="2:17" x14ac:dyDescent="0.3">
      <c r="B197" s="292"/>
      <c r="C197" s="9" t="s">
        <v>176</v>
      </c>
      <c r="D197" s="86">
        <v>33.422085466497464</v>
      </c>
      <c r="E197" s="86">
        <v>29.297438018973921</v>
      </c>
      <c r="F197" s="88">
        <v>38.24053929049078</v>
      </c>
      <c r="G197" s="88">
        <v>24.25540757874035</v>
      </c>
      <c r="H197" s="88">
        <v>36.139234635621584</v>
      </c>
      <c r="I197" s="86">
        <v>7.7467599129329923</v>
      </c>
      <c r="J197" s="86">
        <v>10.372366990984656</v>
      </c>
      <c r="K197" s="92">
        <v>41.728303653914885</v>
      </c>
      <c r="L197" s="86">
        <v>27.365030953183133</v>
      </c>
      <c r="M197" s="88">
        <v>12.877170845257297</v>
      </c>
      <c r="N197" s="86">
        <v>29.629190677257654</v>
      </c>
      <c r="O197" s="86">
        <v>3.2229534395362744</v>
      </c>
      <c r="P197" s="86">
        <v>4.9074622470851104</v>
      </c>
      <c r="Q197" s="92">
        <v>0.79605628952358087</v>
      </c>
    </row>
    <row r="198" spans="2:17" x14ac:dyDescent="0.3">
      <c r="B198" s="292"/>
      <c r="C198" s="9" t="s">
        <v>177</v>
      </c>
      <c r="D198" s="86">
        <v>30.428334337609225</v>
      </c>
      <c r="E198" s="86">
        <v>32.276632331087605</v>
      </c>
      <c r="F198" s="88">
        <v>37.681622296387836</v>
      </c>
      <c r="G198" s="88">
        <v>22.725021569840433</v>
      </c>
      <c r="H198" s="88">
        <v>43.359239768290401</v>
      </c>
      <c r="I198" s="86">
        <v>6.2483093755818135</v>
      </c>
      <c r="J198" s="86">
        <v>9.0128227193697601</v>
      </c>
      <c r="K198" s="92">
        <v>30.260761170021311</v>
      </c>
      <c r="L198" s="86">
        <v>22.182025921944962</v>
      </c>
      <c r="M198" s="88">
        <v>19.494487852643697</v>
      </c>
      <c r="N198" s="86">
        <v>37.826584892334587</v>
      </c>
      <c r="O198" s="86">
        <v>4.1095312293326574</v>
      </c>
      <c r="P198" s="86">
        <v>3.6525067801981654</v>
      </c>
      <c r="Q198" s="92">
        <v>0.74211975535782526</v>
      </c>
    </row>
    <row r="199" spans="2:17" x14ac:dyDescent="0.3">
      <c r="B199" s="292"/>
      <c r="C199" s="9" t="s">
        <v>178</v>
      </c>
      <c r="D199" s="86">
        <v>28.451212817733072</v>
      </c>
      <c r="E199" s="86">
        <v>24.18382982030419</v>
      </c>
      <c r="F199" s="88">
        <v>29.497401168472315</v>
      </c>
      <c r="G199" s="88">
        <v>24.824600186428288</v>
      </c>
      <c r="H199" s="88">
        <v>48.103632630640234</v>
      </c>
      <c r="I199" s="86">
        <v>5.6350127621480466</v>
      </c>
      <c r="J199" s="86">
        <v>9.5867545186029464</v>
      </c>
      <c r="K199" s="92">
        <v>22.582797458399316</v>
      </c>
      <c r="L199" s="86">
        <v>20.297113167334384</v>
      </c>
      <c r="M199" s="88">
        <v>26.096027893879853</v>
      </c>
      <c r="N199" s="86">
        <v>48.734535406721861</v>
      </c>
      <c r="O199" s="86">
        <v>8.4585922997434011</v>
      </c>
      <c r="P199" s="86">
        <v>2.2461869274946276</v>
      </c>
      <c r="Q199" s="92">
        <v>1.3023029420974332</v>
      </c>
    </row>
    <row r="200" spans="2:17" x14ac:dyDescent="0.3">
      <c r="B200" s="292"/>
      <c r="C200" s="9" t="s">
        <v>179</v>
      </c>
      <c r="D200" s="86">
        <v>28.099896351262377</v>
      </c>
      <c r="E200" s="86">
        <v>21.02697297041933</v>
      </c>
      <c r="F200" s="88">
        <v>29.63242688685666</v>
      </c>
      <c r="G200" s="88">
        <v>31.460412527008391</v>
      </c>
      <c r="H200" s="88">
        <v>46.314187070081822</v>
      </c>
      <c r="I200" s="86">
        <v>3.719525554000243</v>
      </c>
      <c r="J200" s="86">
        <v>12.831319273044581</v>
      </c>
      <c r="K200" s="92">
        <v>18.658972356045403</v>
      </c>
      <c r="L200" s="86">
        <v>15.780005883130437</v>
      </c>
      <c r="M200" s="88">
        <v>26.381455983662246</v>
      </c>
      <c r="N200" s="86">
        <v>50.649037808379617</v>
      </c>
      <c r="O200" s="86">
        <v>13.267529660437519</v>
      </c>
      <c r="P200" s="86">
        <v>1.156052910089713</v>
      </c>
      <c r="Q200" s="92">
        <v>1.0222047655816677</v>
      </c>
    </row>
    <row r="201" spans="2:17" x14ac:dyDescent="0.3">
      <c r="B201" s="298"/>
      <c r="C201" s="12" t="s">
        <v>180</v>
      </c>
      <c r="D201" s="90">
        <v>29.78715469029467</v>
      </c>
      <c r="E201" s="90">
        <v>18.600800638035572</v>
      </c>
      <c r="F201" s="91">
        <v>27.257938543365277</v>
      </c>
      <c r="G201" s="91">
        <v>40.33194039336653</v>
      </c>
      <c r="H201" s="91">
        <v>46.390743109907426</v>
      </c>
      <c r="I201" s="90">
        <v>4.5261278499628155</v>
      </c>
      <c r="J201" s="90">
        <v>14.132425967718055</v>
      </c>
      <c r="K201" s="94">
        <v>14.266758576784799</v>
      </c>
      <c r="L201" s="90">
        <v>16.427578517493309</v>
      </c>
      <c r="M201" s="91">
        <v>21.160370003948906</v>
      </c>
      <c r="N201" s="90">
        <v>44.69606354051497</v>
      </c>
      <c r="O201" s="90">
        <v>16.952709124759267</v>
      </c>
      <c r="P201" s="90">
        <v>2.910611027718172</v>
      </c>
      <c r="Q201" s="94">
        <v>2.5587780161298319</v>
      </c>
    </row>
    <row r="202" spans="2:17" x14ac:dyDescent="0.3">
      <c r="B202" s="292" t="s">
        <v>223</v>
      </c>
      <c r="C202" s="9" t="s">
        <v>210</v>
      </c>
      <c r="D202" s="86">
        <v>51.669261833971639</v>
      </c>
      <c r="E202" s="86">
        <v>20.816241428756172</v>
      </c>
      <c r="F202" s="88">
        <v>33.638721316722084</v>
      </c>
      <c r="G202" s="88">
        <v>19.951449318531019</v>
      </c>
      <c r="H202" s="88">
        <v>40.817661566811388</v>
      </c>
      <c r="I202" s="86">
        <v>10.389241059083396</v>
      </c>
      <c r="J202" s="86">
        <v>11.777761599414873</v>
      </c>
      <c r="K202" s="92">
        <v>41.408993424365534</v>
      </c>
      <c r="L202" s="86">
        <v>26.518053013159619</v>
      </c>
      <c r="M202" s="88">
        <v>13.651861315825345</v>
      </c>
      <c r="N202" s="86">
        <v>20.279170851489429</v>
      </c>
      <c r="O202" s="86">
        <v>0</v>
      </c>
      <c r="P202" s="86">
        <v>5.9184999464919334</v>
      </c>
      <c r="Q202" s="92">
        <v>3.1630833253775776</v>
      </c>
    </row>
    <row r="203" spans="2:17" x14ac:dyDescent="0.3">
      <c r="B203" s="292"/>
      <c r="C203" s="9" t="s">
        <v>211</v>
      </c>
      <c r="D203" s="86">
        <v>35.909755917079629</v>
      </c>
      <c r="E203" s="86">
        <v>29.05694197624516</v>
      </c>
      <c r="F203" s="88">
        <v>37.34602600172078</v>
      </c>
      <c r="G203" s="88">
        <v>27.00917834171856</v>
      </c>
      <c r="H203" s="88">
        <v>35.006165716580171</v>
      </c>
      <c r="I203" s="86">
        <v>7.7344320003903997</v>
      </c>
      <c r="J203" s="86">
        <v>11.365460383645262</v>
      </c>
      <c r="K203" s="92">
        <v>37.094059540777636</v>
      </c>
      <c r="L203" s="86">
        <v>26.19456197438927</v>
      </c>
      <c r="M203" s="88">
        <v>14.633049227560265</v>
      </c>
      <c r="N203" s="86">
        <v>30.76704175971965</v>
      </c>
      <c r="O203" s="86">
        <v>3.3525505617749132</v>
      </c>
      <c r="P203" s="86">
        <v>4.0981965061143653</v>
      </c>
      <c r="Q203" s="92">
        <v>0.43258009228362637</v>
      </c>
    </row>
    <row r="204" spans="2:17" x14ac:dyDescent="0.3">
      <c r="B204" s="292"/>
      <c r="C204" s="9" t="s">
        <v>212</v>
      </c>
      <c r="D204" s="86">
        <v>31.560435376741609</v>
      </c>
      <c r="E204" s="86">
        <v>30.368153396291291</v>
      </c>
      <c r="F204" s="88">
        <v>36.671876495298797</v>
      </c>
      <c r="G204" s="88">
        <v>24.162072081783382</v>
      </c>
      <c r="H204" s="88">
        <v>46.457833597534695</v>
      </c>
      <c r="I204" s="86">
        <v>7.2498684220234368</v>
      </c>
      <c r="J204" s="86">
        <v>11.417667272394093</v>
      </c>
      <c r="K204" s="92">
        <v>29.166153730293452</v>
      </c>
      <c r="L204" s="86">
        <v>19.588590630303219</v>
      </c>
      <c r="M204" s="88">
        <v>16.59060385958669</v>
      </c>
      <c r="N204" s="86">
        <v>37.68292182174806</v>
      </c>
      <c r="O204" s="86">
        <v>3.9630170077517555</v>
      </c>
      <c r="P204" s="86">
        <v>4.3689321497077591</v>
      </c>
      <c r="Q204" s="92">
        <v>0.7518741585424884</v>
      </c>
    </row>
    <row r="205" spans="2:17" x14ac:dyDescent="0.3">
      <c r="B205" s="292"/>
      <c r="C205" s="9" t="s">
        <v>213</v>
      </c>
      <c r="D205" s="86">
        <v>27.855146161399556</v>
      </c>
      <c r="E205" s="86">
        <v>23.555730059821236</v>
      </c>
      <c r="F205" s="88">
        <v>33.636500905925494</v>
      </c>
      <c r="G205" s="88">
        <v>27.030937733498707</v>
      </c>
      <c r="H205" s="88">
        <v>46.07823654073799</v>
      </c>
      <c r="I205" s="86">
        <v>7.1438726543025659</v>
      </c>
      <c r="J205" s="86">
        <v>10.746326710792905</v>
      </c>
      <c r="K205" s="92">
        <v>21.044929315260578</v>
      </c>
      <c r="L205" s="86">
        <v>18.460422655801757</v>
      </c>
      <c r="M205" s="88">
        <v>24.483169513232649</v>
      </c>
      <c r="N205" s="86">
        <v>50.154422505647545</v>
      </c>
      <c r="O205" s="86">
        <v>6.8556421707880828</v>
      </c>
      <c r="P205" s="86">
        <v>2.1406379403835407</v>
      </c>
      <c r="Q205" s="92">
        <v>0.81402513240839569</v>
      </c>
    </row>
    <row r="206" spans="2:17" x14ac:dyDescent="0.3">
      <c r="B206" s="292"/>
      <c r="C206" s="9" t="s">
        <v>214</v>
      </c>
      <c r="D206" s="86">
        <v>27.862374477552486</v>
      </c>
      <c r="E206" s="86">
        <v>22.101029049363756</v>
      </c>
      <c r="F206" s="88">
        <v>34.247109622539313</v>
      </c>
      <c r="G206" s="88">
        <v>32.656138600875252</v>
      </c>
      <c r="H206" s="88">
        <v>48.041505010264054</v>
      </c>
      <c r="I206" s="86">
        <v>2.195099848043073</v>
      </c>
      <c r="J206" s="86">
        <v>13.154099412584387</v>
      </c>
      <c r="K206" s="92">
        <v>18.167911754709316</v>
      </c>
      <c r="L206" s="86">
        <v>13.44997538478982</v>
      </c>
      <c r="M206" s="88">
        <v>23.747828104898772</v>
      </c>
      <c r="N206" s="86">
        <v>53.490769077074674</v>
      </c>
      <c r="O206" s="86">
        <v>9.438343292482795</v>
      </c>
      <c r="P206" s="86">
        <v>0.76601147494259514</v>
      </c>
      <c r="Q206" s="92">
        <v>0.68180488987975629</v>
      </c>
    </row>
    <row r="207" spans="2:17" x14ac:dyDescent="0.3">
      <c r="B207" s="292"/>
      <c r="C207" s="12" t="s">
        <v>215</v>
      </c>
      <c r="D207" s="90">
        <v>24.643708482771906</v>
      </c>
      <c r="E207" s="90">
        <v>21.580663312487147</v>
      </c>
      <c r="F207" s="91">
        <v>29.661545461517601</v>
      </c>
      <c r="G207" s="91">
        <v>42.639933644919751</v>
      </c>
      <c r="H207" s="91">
        <v>47.624098794441224</v>
      </c>
      <c r="I207" s="90">
        <v>3.962581959285294</v>
      </c>
      <c r="J207" s="90">
        <v>11.704497668481464</v>
      </c>
      <c r="K207" s="94">
        <v>14.88796270422813</v>
      </c>
      <c r="L207" s="90">
        <v>17.053632999112327</v>
      </c>
      <c r="M207" s="91">
        <v>19.238906768100211</v>
      </c>
      <c r="N207" s="90">
        <v>48.666682464566065</v>
      </c>
      <c r="O207" s="90">
        <v>14.103107938222315</v>
      </c>
      <c r="P207" s="90">
        <v>2.3854798154206889</v>
      </c>
      <c r="Q207" s="94">
        <v>1.8471979864455232</v>
      </c>
    </row>
    <row r="208" spans="2:17" x14ac:dyDescent="0.3">
      <c r="B208" s="292"/>
      <c r="C208" s="9" t="s">
        <v>216</v>
      </c>
      <c r="D208" s="86">
        <v>49.937915027173325</v>
      </c>
      <c r="E208" s="86">
        <v>22.802189553888354</v>
      </c>
      <c r="F208" s="88">
        <v>37.149648318723081</v>
      </c>
      <c r="G208" s="88">
        <v>21.722925923385876</v>
      </c>
      <c r="H208" s="88">
        <v>28.865157449121607</v>
      </c>
      <c r="I208" s="86">
        <v>5.7364696570896783</v>
      </c>
      <c r="J208" s="86">
        <v>7.9871850534006663</v>
      </c>
      <c r="K208" s="92">
        <v>59.616150997394833</v>
      </c>
      <c r="L208" s="86">
        <v>28.595646655822804</v>
      </c>
      <c r="M208" s="88">
        <v>9.2966789335892273</v>
      </c>
      <c r="N208" s="86">
        <v>17.463010661202013</v>
      </c>
      <c r="O208" s="86">
        <v>4.3865890030863417</v>
      </c>
      <c r="P208" s="86">
        <v>6.4404327661221838</v>
      </c>
      <c r="Q208" s="92">
        <v>0</v>
      </c>
    </row>
    <row r="209" spans="2:17" x14ac:dyDescent="0.3">
      <c r="B209" s="292"/>
      <c r="C209" s="9" t="s">
        <v>217</v>
      </c>
      <c r="D209" s="86">
        <v>30.58735050051903</v>
      </c>
      <c r="E209" s="86">
        <v>29.57148659375326</v>
      </c>
      <c r="F209" s="88">
        <v>39.259849584028878</v>
      </c>
      <c r="G209" s="88">
        <v>21.117447617734701</v>
      </c>
      <c r="H209" s="88">
        <v>37.430382377043095</v>
      </c>
      <c r="I209" s="86">
        <v>7.7608077401819102</v>
      </c>
      <c r="J209" s="86">
        <v>9.2407233024090907</v>
      </c>
      <c r="K209" s="92">
        <v>47.009089067158058</v>
      </c>
      <c r="L209" s="86">
        <v>28.698796581184116</v>
      </c>
      <c r="M209" s="88">
        <v>10.876323086200165</v>
      </c>
      <c r="N209" s="86">
        <v>28.332593594321416</v>
      </c>
      <c r="O209" s="86">
        <v>3.0752757220901854</v>
      </c>
      <c r="P209" s="86">
        <v>5.8296317780860711</v>
      </c>
      <c r="Q209" s="92">
        <v>1.2102424552899835</v>
      </c>
    </row>
    <row r="210" spans="2:17" x14ac:dyDescent="0.3">
      <c r="B210" s="292"/>
      <c r="C210" s="9" t="s">
        <v>218</v>
      </c>
      <c r="D210" s="86">
        <v>29.165088722952742</v>
      </c>
      <c r="E210" s="86">
        <v>34.40619282234308</v>
      </c>
      <c r="F210" s="88">
        <v>38.808338827026283</v>
      </c>
      <c r="G210" s="88">
        <v>21.121500599094752</v>
      </c>
      <c r="H210" s="88">
        <v>39.901699380027566</v>
      </c>
      <c r="I210" s="86">
        <v>5.1307279676480144</v>
      </c>
      <c r="J210" s="86">
        <v>6.3293967436576963</v>
      </c>
      <c r="K210" s="92">
        <v>31.482169860773968</v>
      </c>
      <c r="L210" s="86">
        <v>25.075889319131196</v>
      </c>
      <c r="M210" s="88">
        <v>22.734762874837568</v>
      </c>
      <c r="N210" s="86">
        <v>37.986890145693764</v>
      </c>
      <c r="O210" s="86">
        <v>4.2730179160322139</v>
      </c>
      <c r="P210" s="86">
        <v>2.8530894358282501</v>
      </c>
      <c r="Q210" s="92">
        <v>0.73123538495210483</v>
      </c>
    </row>
    <row r="211" spans="2:17" x14ac:dyDescent="0.3">
      <c r="B211" s="292"/>
      <c r="C211" s="9" t="s">
        <v>219</v>
      </c>
      <c r="D211" s="86">
        <v>29.14497517406091</v>
      </c>
      <c r="E211" s="86">
        <v>24.914875526705533</v>
      </c>
      <c r="F211" s="88">
        <v>24.67990037989556</v>
      </c>
      <c r="G211" s="88">
        <v>22.256642527254343</v>
      </c>
      <c r="H211" s="88">
        <v>50.46099241397566</v>
      </c>
      <c r="I211" s="86">
        <v>3.878849784355483</v>
      </c>
      <c r="J211" s="86">
        <v>8.2371277145569248</v>
      </c>
      <c r="K211" s="92">
        <v>24.372723157763364</v>
      </c>
      <c r="L211" s="86">
        <v>22.434838409279074</v>
      </c>
      <c r="M211" s="88">
        <v>27.973234777860807</v>
      </c>
      <c r="N211" s="86">
        <v>47.08192791894691</v>
      </c>
      <c r="O211" s="86">
        <v>10.32426696334627</v>
      </c>
      <c r="P211" s="86">
        <v>2.3690354600004087</v>
      </c>
      <c r="Q211" s="92">
        <v>1.870609791999265</v>
      </c>
    </row>
    <row r="212" spans="2:17" x14ac:dyDescent="0.3">
      <c r="B212" s="292"/>
      <c r="C212" s="9" t="s">
        <v>220</v>
      </c>
      <c r="D212" s="86">
        <v>28.356809870989025</v>
      </c>
      <c r="E212" s="86">
        <v>19.865229324179278</v>
      </c>
      <c r="F212" s="88">
        <v>24.640994453587979</v>
      </c>
      <c r="G212" s="88">
        <v>30.167065562924833</v>
      </c>
      <c r="H212" s="88">
        <v>44.445848273456569</v>
      </c>
      <c r="I212" s="86">
        <v>5.3684076866735566</v>
      </c>
      <c r="J212" s="86">
        <v>12.482186873355214</v>
      </c>
      <c r="K212" s="92">
        <v>19.190123889661386</v>
      </c>
      <c r="L212" s="86">
        <v>18.30026360529039</v>
      </c>
      <c r="M212" s="88">
        <v>29.230097236846024</v>
      </c>
      <c r="N212" s="86">
        <v>47.575303288881663</v>
      </c>
      <c r="O212" s="86">
        <v>17.409336611162189</v>
      </c>
      <c r="P212" s="86">
        <v>1.5779379195743322</v>
      </c>
      <c r="Q212" s="92">
        <v>1.390395403417098</v>
      </c>
    </row>
    <row r="213" spans="2:17" x14ac:dyDescent="0.3">
      <c r="B213" s="295"/>
      <c r="C213" s="9" t="s">
        <v>221</v>
      </c>
      <c r="D213" s="86">
        <v>34.421465054002574</v>
      </c>
      <c r="E213" s="86">
        <v>15.915906518905928</v>
      </c>
      <c r="F213" s="88">
        <v>25.092258180113486</v>
      </c>
      <c r="G213" s="88">
        <v>38.252409158180704</v>
      </c>
      <c r="H213" s="88">
        <v>45.279473972375811</v>
      </c>
      <c r="I213" s="86">
        <v>5.0338898554781162</v>
      </c>
      <c r="J213" s="86">
        <v>16.320020204250561</v>
      </c>
      <c r="K213" s="92">
        <v>13.707045767583375</v>
      </c>
      <c r="L213" s="86">
        <v>15.863495477571657</v>
      </c>
      <c r="M213" s="88">
        <v>22.891632785380029</v>
      </c>
      <c r="N213" s="86">
        <v>41.118485456165203</v>
      </c>
      <c r="O213" s="86">
        <v>19.520235988729883</v>
      </c>
      <c r="P213" s="86">
        <v>3.3837609200797014</v>
      </c>
      <c r="Q213" s="92">
        <v>3.1999206611817836</v>
      </c>
    </row>
    <row r="214" spans="2:17" ht="16.5" customHeight="1" x14ac:dyDescent="0.3">
      <c r="B214" s="291" t="s">
        <v>222</v>
      </c>
      <c r="C214" s="13" t="s">
        <v>226</v>
      </c>
      <c r="D214" s="84">
        <v>24.566573502965383</v>
      </c>
      <c r="E214" s="84">
        <v>20.987198946339706</v>
      </c>
      <c r="F214" s="89">
        <v>31.162361488900999</v>
      </c>
      <c r="G214" s="89">
        <v>32.374850469480187</v>
      </c>
      <c r="H214" s="89">
        <v>37.790128195846805</v>
      </c>
      <c r="I214" s="84">
        <v>6.4261003955746103</v>
      </c>
      <c r="J214" s="84">
        <v>16.063983401936845</v>
      </c>
      <c r="K214" s="93">
        <v>26.846555646360599</v>
      </c>
      <c r="L214" s="84">
        <v>18.916857942181057</v>
      </c>
      <c r="M214" s="89">
        <v>20.442815903091784</v>
      </c>
      <c r="N214" s="84">
        <v>45.824926672447326</v>
      </c>
      <c r="O214" s="84">
        <v>11.661822941876689</v>
      </c>
      <c r="P214" s="84">
        <v>4.3341922883536608</v>
      </c>
      <c r="Q214" s="93">
        <v>2.6016322046443379</v>
      </c>
    </row>
    <row r="215" spans="2:17" ht="16.5" customHeight="1" x14ac:dyDescent="0.3">
      <c r="B215" s="294"/>
      <c r="C215" s="9" t="s">
        <v>227</v>
      </c>
      <c r="D215" s="86">
        <v>28.364878496517569</v>
      </c>
      <c r="E215" s="86">
        <v>22.999715201890059</v>
      </c>
      <c r="F215" s="88">
        <v>30.090159649626752</v>
      </c>
      <c r="G215" s="88">
        <v>31.009670688975593</v>
      </c>
      <c r="H215" s="88">
        <v>43.379024162658077</v>
      </c>
      <c r="I215" s="86">
        <v>4.7116928894696954</v>
      </c>
      <c r="J215" s="86">
        <v>12.806262546957278</v>
      </c>
      <c r="K215" s="92">
        <v>24.833370609611244</v>
      </c>
      <c r="L215" s="86">
        <v>20.556716673554689</v>
      </c>
      <c r="M215" s="88">
        <v>21.878196448533263</v>
      </c>
      <c r="N215" s="86">
        <v>45.675909235878258</v>
      </c>
      <c r="O215" s="86">
        <v>9.5890403660332932</v>
      </c>
      <c r="P215" s="86">
        <v>3.0600503687870586</v>
      </c>
      <c r="Q215" s="92">
        <v>1.0453126615072159</v>
      </c>
    </row>
    <row r="216" spans="2:17" x14ac:dyDescent="0.3">
      <c r="B216" s="292"/>
      <c r="C216" s="9" t="s">
        <v>228</v>
      </c>
      <c r="D216" s="86">
        <v>31.840652911655305</v>
      </c>
      <c r="E216" s="86">
        <v>24.658397553879162</v>
      </c>
      <c r="F216" s="88">
        <v>32.797305199433154</v>
      </c>
      <c r="G216" s="88">
        <v>29.293070526577221</v>
      </c>
      <c r="H216" s="88">
        <v>46.441455423723163</v>
      </c>
      <c r="I216" s="86">
        <v>5.8740726733242692</v>
      </c>
      <c r="J216" s="86">
        <v>10.62572621309457</v>
      </c>
      <c r="K216" s="92">
        <v>24.06492653211485</v>
      </c>
      <c r="L216" s="86">
        <v>20.369978509697194</v>
      </c>
      <c r="M216" s="88">
        <v>22.391922558256059</v>
      </c>
      <c r="N216" s="86">
        <v>41.59237740619691</v>
      </c>
      <c r="O216" s="86">
        <v>7.4341923625900765</v>
      </c>
      <c r="P216" s="86">
        <v>1.926219883620063</v>
      </c>
      <c r="Q216" s="92">
        <v>0.68970224583738327</v>
      </c>
    </row>
    <row r="217" spans="2:17" x14ac:dyDescent="0.3">
      <c r="B217" s="295"/>
      <c r="C217" s="12" t="s">
        <v>229</v>
      </c>
      <c r="D217" s="90">
        <v>37.879270619187729</v>
      </c>
      <c r="E217" s="90">
        <v>28.906877329840359</v>
      </c>
      <c r="F217" s="91">
        <v>34.602697940335283</v>
      </c>
      <c r="G217" s="91">
        <v>23.01601370031824</v>
      </c>
      <c r="H217" s="91">
        <v>48.577103958178732</v>
      </c>
      <c r="I217" s="90">
        <v>5.2764915567494679</v>
      </c>
      <c r="J217" s="90">
        <v>5.8763319578896782</v>
      </c>
      <c r="K217" s="94">
        <v>26.378092551476247</v>
      </c>
      <c r="L217" s="90">
        <v>21.035813905141719</v>
      </c>
      <c r="M217" s="91">
        <v>20.603528671460801</v>
      </c>
      <c r="N217" s="90">
        <v>35.624159381966315</v>
      </c>
      <c r="O217" s="90">
        <v>8.7971086414362816</v>
      </c>
      <c r="P217" s="90">
        <v>2.4477723901418678</v>
      </c>
      <c r="Q217" s="94">
        <v>0.97873739587663344</v>
      </c>
    </row>
    <row r="218" spans="2:17" x14ac:dyDescent="0.3">
      <c r="B218" s="296" t="s">
        <v>199</v>
      </c>
      <c r="C218" s="13" t="s">
        <v>192</v>
      </c>
      <c r="D218" s="84">
        <v>33.271689737244934</v>
      </c>
      <c r="E218" s="84">
        <v>31.647124220008177</v>
      </c>
      <c r="F218" s="89">
        <v>34.344449838239711</v>
      </c>
      <c r="G218" s="89">
        <v>25.925356398208244</v>
      </c>
      <c r="H218" s="89">
        <v>43.906395724999783</v>
      </c>
      <c r="I218" s="84">
        <v>5.9532580932682135</v>
      </c>
      <c r="J218" s="84">
        <v>9.4808208407675725</v>
      </c>
      <c r="K218" s="93">
        <v>25.736091511896909</v>
      </c>
      <c r="L218" s="84">
        <v>19.334146794489332</v>
      </c>
      <c r="M218" s="89">
        <v>19.732912407994572</v>
      </c>
      <c r="N218" s="84">
        <v>38.825144648341251</v>
      </c>
      <c r="O218" s="84">
        <v>8.0944950666599205</v>
      </c>
      <c r="P218" s="84">
        <v>2.5381972410558022</v>
      </c>
      <c r="Q218" s="93">
        <v>1.2099174768218139</v>
      </c>
    </row>
    <row r="219" spans="2:17" x14ac:dyDescent="0.3">
      <c r="B219" s="292"/>
      <c r="C219" s="9" t="s">
        <v>200</v>
      </c>
      <c r="D219" s="86">
        <v>14.39026870327193</v>
      </c>
      <c r="E219" s="86">
        <v>13.824096666139496</v>
      </c>
      <c r="F219" s="88">
        <v>31.16764037164787</v>
      </c>
      <c r="G219" s="88">
        <v>35.638578640678439</v>
      </c>
      <c r="H219" s="88">
        <v>33.602130278655494</v>
      </c>
      <c r="I219" s="86">
        <v>5.672445930389693</v>
      </c>
      <c r="J219" s="86">
        <v>11.687314014069557</v>
      </c>
      <c r="K219" s="92">
        <v>26.623894265198601</v>
      </c>
      <c r="L219" s="86">
        <v>26.779152675809868</v>
      </c>
      <c r="M219" s="88">
        <v>24.489961609546391</v>
      </c>
      <c r="N219" s="86">
        <v>52.545655401751389</v>
      </c>
      <c r="O219" s="86">
        <v>17.609905616151885</v>
      </c>
      <c r="P219" s="86">
        <v>3.809495299893876</v>
      </c>
      <c r="Q219" s="92">
        <v>2.1594605267954212</v>
      </c>
    </row>
    <row r="220" spans="2:17" x14ac:dyDescent="0.3">
      <c r="B220" s="292"/>
      <c r="C220" s="9" t="s">
        <v>201</v>
      </c>
      <c r="D220" s="86">
        <v>31.287418569377156</v>
      </c>
      <c r="E220" s="86">
        <v>19.677964496889103</v>
      </c>
      <c r="F220" s="88">
        <v>27.473392835690536</v>
      </c>
      <c r="G220" s="88">
        <v>32.187759013029513</v>
      </c>
      <c r="H220" s="88">
        <v>46.038363299343004</v>
      </c>
      <c r="I220" s="86">
        <v>6.9298931098172813</v>
      </c>
      <c r="J220" s="86">
        <v>15.280497655267617</v>
      </c>
      <c r="K220" s="92">
        <v>23.60250301694262</v>
      </c>
      <c r="L220" s="86">
        <v>19.721610292205181</v>
      </c>
      <c r="M220" s="88">
        <v>20.419430209416824</v>
      </c>
      <c r="N220" s="86">
        <v>41.335697482183704</v>
      </c>
      <c r="O220" s="86">
        <v>10.87536222998135</v>
      </c>
      <c r="P220" s="86">
        <v>3.554429488859423</v>
      </c>
      <c r="Q220" s="92">
        <v>1.6156783009962545</v>
      </c>
    </row>
    <row r="221" spans="2:17" x14ac:dyDescent="0.3">
      <c r="B221" s="292"/>
      <c r="C221" s="9" t="s">
        <v>202</v>
      </c>
      <c r="D221" s="86">
        <v>22.574738196784892</v>
      </c>
      <c r="E221" s="86">
        <v>14.797789888237196</v>
      </c>
      <c r="F221" s="88">
        <v>28.525323499561267</v>
      </c>
      <c r="G221" s="88">
        <v>34.673903056365781</v>
      </c>
      <c r="H221" s="88">
        <v>42.754046444498996</v>
      </c>
      <c r="I221" s="86">
        <v>4.3779088463229892</v>
      </c>
      <c r="J221" s="86">
        <v>10.655089404764317</v>
      </c>
      <c r="K221" s="92">
        <v>26.736245919379158</v>
      </c>
      <c r="L221" s="86">
        <v>22.162309704849591</v>
      </c>
      <c r="M221" s="88">
        <v>23.502218881212979</v>
      </c>
      <c r="N221" s="86">
        <v>52.424578379418897</v>
      </c>
      <c r="O221" s="86">
        <v>12.244684953511387</v>
      </c>
      <c r="P221" s="86">
        <v>4.0119418052496174</v>
      </c>
      <c r="Q221" s="92">
        <v>0.5592210198428248</v>
      </c>
    </row>
    <row r="222" spans="2:17" x14ac:dyDescent="0.3">
      <c r="B222" s="295"/>
      <c r="C222" s="12" t="s">
        <v>203</v>
      </c>
      <c r="D222" s="90">
        <v>30.131971088812254</v>
      </c>
      <c r="E222" s="90">
        <v>14.856940089509804</v>
      </c>
      <c r="F222" s="91">
        <v>30.408111374542024</v>
      </c>
      <c r="G222" s="91">
        <v>31.009644203297075</v>
      </c>
      <c r="H222" s="91">
        <v>45.785774567206488</v>
      </c>
      <c r="I222" s="90">
        <v>4.2780716078250949</v>
      </c>
      <c r="J222" s="90">
        <v>13.92653947469471</v>
      </c>
      <c r="K222" s="94">
        <v>25.435690805759798</v>
      </c>
      <c r="L222" s="90">
        <v>20.844532292625935</v>
      </c>
      <c r="M222" s="91">
        <v>24.045098870485131</v>
      </c>
      <c r="N222" s="90">
        <v>44.970160664789042</v>
      </c>
      <c r="O222" s="90">
        <v>9.5083553126105151</v>
      </c>
      <c r="P222" s="90">
        <v>3.1855736531512178</v>
      </c>
      <c r="Q222" s="94">
        <v>1.6135359946915036</v>
      </c>
    </row>
    <row r="223" spans="2:17" x14ac:dyDescent="0.3">
      <c r="B223" s="291" t="s">
        <v>204</v>
      </c>
      <c r="C223" s="13" t="s">
        <v>192</v>
      </c>
      <c r="D223" s="84">
        <v>33.271689737244934</v>
      </c>
      <c r="E223" s="84">
        <v>31.647124220008177</v>
      </c>
      <c r="F223" s="89">
        <v>34.344449838239711</v>
      </c>
      <c r="G223" s="89">
        <v>25.925356398208244</v>
      </c>
      <c r="H223" s="89">
        <v>43.906395724999783</v>
      </c>
      <c r="I223" s="84">
        <v>5.9532580932682135</v>
      </c>
      <c r="J223" s="84">
        <v>9.4808208407675725</v>
      </c>
      <c r="K223" s="93">
        <v>25.736091511896909</v>
      </c>
      <c r="L223" s="84">
        <v>19.334146794489332</v>
      </c>
      <c r="M223" s="89">
        <v>19.732912407994572</v>
      </c>
      <c r="N223" s="84">
        <v>38.825144648341251</v>
      </c>
      <c r="O223" s="84">
        <v>8.0944950666599205</v>
      </c>
      <c r="P223" s="84">
        <v>2.5381972410558022</v>
      </c>
      <c r="Q223" s="93">
        <v>1.2099174768218139</v>
      </c>
    </row>
    <row r="224" spans="2:17" x14ac:dyDescent="0.3">
      <c r="B224" s="295"/>
      <c r="C224" s="12" t="s">
        <v>193</v>
      </c>
      <c r="D224" s="90">
        <v>27.667829615129818</v>
      </c>
      <c r="E224" s="90">
        <v>15.835233232352868</v>
      </c>
      <c r="F224" s="91">
        <v>29.473340659825269</v>
      </c>
      <c r="G224" s="91">
        <v>32.336714147498839</v>
      </c>
      <c r="H224" s="91">
        <v>44.24972031782476</v>
      </c>
      <c r="I224" s="90">
        <v>5.0076919371584934</v>
      </c>
      <c r="J224" s="90">
        <v>13.440703782849623</v>
      </c>
      <c r="K224" s="94">
        <v>25.364917858507791</v>
      </c>
      <c r="L224" s="90">
        <v>21.340305168909754</v>
      </c>
      <c r="M224" s="91">
        <v>23.173808623686657</v>
      </c>
      <c r="N224" s="90">
        <v>46.165343473102752</v>
      </c>
      <c r="O224" s="90">
        <v>11.004268714043189</v>
      </c>
      <c r="P224" s="90">
        <v>3.4720947808796234</v>
      </c>
      <c r="Q224" s="94">
        <v>1.4680276882325631</v>
      </c>
    </row>
    <row r="225" spans="2:19" ht="16.5" customHeight="1" x14ac:dyDescent="0.3">
      <c r="B225" s="291" t="s">
        <v>209</v>
      </c>
      <c r="C225" s="13" t="s">
        <v>205</v>
      </c>
      <c r="D225" s="84">
        <v>24.187355853960668</v>
      </c>
      <c r="E225" s="84">
        <v>20.300107926224349</v>
      </c>
      <c r="F225" s="89">
        <v>30.39201580407348</v>
      </c>
      <c r="G225" s="89">
        <v>26.50155172617313</v>
      </c>
      <c r="H225" s="89">
        <v>35.778119858405418</v>
      </c>
      <c r="I225" s="84">
        <v>5.3669663921541622</v>
      </c>
      <c r="J225" s="84">
        <v>11.986736372466222</v>
      </c>
      <c r="K225" s="93">
        <v>30.829735341637623</v>
      </c>
      <c r="L225" s="84">
        <v>24.258870953094252</v>
      </c>
      <c r="M225" s="89">
        <v>22.823272877229321</v>
      </c>
      <c r="N225" s="84">
        <v>51.775403592225409</v>
      </c>
      <c r="O225" s="84">
        <v>9.7562555986876021</v>
      </c>
      <c r="P225" s="84">
        <v>4.0359622202687548</v>
      </c>
      <c r="Q225" s="93">
        <v>2.0076454833996298</v>
      </c>
    </row>
    <row r="226" spans="2:19" x14ac:dyDescent="0.3">
      <c r="B226" s="292"/>
      <c r="C226" s="9" t="s">
        <v>206</v>
      </c>
      <c r="D226" s="86">
        <v>28.432567780481619</v>
      </c>
      <c r="E226" s="86">
        <v>21.78646737209769</v>
      </c>
      <c r="F226" s="88">
        <v>29.364833213125092</v>
      </c>
      <c r="G226" s="88">
        <v>32.595597444243758</v>
      </c>
      <c r="H226" s="88">
        <v>44.431309058342599</v>
      </c>
      <c r="I226" s="86">
        <v>4.9648903707284804</v>
      </c>
      <c r="J226" s="86">
        <v>15.182678972683131</v>
      </c>
      <c r="K226" s="92">
        <v>19.616945235600291</v>
      </c>
      <c r="L226" s="86">
        <v>20.565129549193067</v>
      </c>
      <c r="M226" s="88">
        <v>21.730154785532456</v>
      </c>
      <c r="N226" s="86">
        <v>44.458501372117595</v>
      </c>
      <c r="O226" s="86">
        <v>11.975522001588756</v>
      </c>
      <c r="P226" s="86">
        <v>2.8639046815713742</v>
      </c>
      <c r="Q226" s="92">
        <v>2.0314981626935595</v>
      </c>
    </row>
    <row r="227" spans="2:19" x14ac:dyDescent="0.3">
      <c r="B227" s="292"/>
      <c r="C227" s="9" t="s">
        <v>207</v>
      </c>
      <c r="D227" s="86">
        <v>33.332080616930085</v>
      </c>
      <c r="E227" s="86">
        <v>26.846152544839853</v>
      </c>
      <c r="F227" s="88">
        <v>33.075105238305532</v>
      </c>
      <c r="G227" s="88">
        <v>28.058117846557828</v>
      </c>
      <c r="H227" s="88">
        <v>45.591336778487488</v>
      </c>
      <c r="I227" s="86">
        <v>6.0733105159347636</v>
      </c>
      <c r="J227" s="86">
        <v>10.646350893098312</v>
      </c>
      <c r="K227" s="92">
        <v>24.131919790136429</v>
      </c>
      <c r="L227" s="86">
        <v>18.21751581377146</v>
      </c>
      <c r="M227" s="88">
        <v>22.39736405254477</v>
      </c>
      <c r="N227" s="86">
        <v>40.12161516411615</v>
      </c>
      <c r="O227" s="86">
        <v>8.3006462554678748</v>
      </c>
      <c r="P227" s="86">
        <v>2.2003019900909462</v>
      </c>
      <c r="Q227" s="92">
        <v>1.00818249971802</v>
      </c>
    </row>
    <row r="228" spans="2:19" x14ac:dyDescent="0.3">
      <c r="B228" s="293"/>
      <c r="C228" s="25" t="s">
        <v>208</v>
      </c>
      <c r="D228" s="87">
        <v>33.029577637614366</v>
      </c>
      <c r="E228" s="87">
        <v>25.956507392131851</v>
      </c>
      <c r="F228" s="95">
        <v>33.813791827422762</v>
      </c>
      <c r="G228" s="95">
        <v>28.463908634412633</v>
      </c>
      <c r="H228" s="95">
        <v>46.627587625867811</v>
      </c>
      <c r="I228" s="87">
        <v>5.4413805814563627</v>
      </c>
      <c r="J228" s="87">
        <v>9.1407980014570906</v>
      </c>
      <c r="K228" s="96">
        <v>27.835861152991377</v>
      </c>
      <c r="L228" s="87">
        <v>19.873421876228981</v>
      </c>
      <c r="M228" s="95">
        <v>19.285989915801448</v>
      </c>
      <c r="N228" s="87">
        <v>37.799825866588471</v>
      </c>
      <c r="O228" s="87">
        <v>8.7104179804673212</v>
      </c>
      <c r="P228" s="87">
        <v>3.175433549247201</v>
      </c>
      <c r="Q228" s="96">
        <v>0.84549795831204366</v>
      </c>
    </row>
    <row r="229" spans="2:19" x14ac:dyDescent="0.3">
      <c r="B229" s="136"/>
    </row>
    <row r="230" spans="2:19" x14ac:dyDescent="0.3">
      <c r="B230" s="60"/>
      <c r="C230" s="9"/>
      <c r="D230" s="58"/>
      <c r="E230" s="58"/>
      <c r="F230" s="50"/>
      <c r="G230" s="58"/>
      <c r="H230" s="50"/>
      <c r="I230" s="58"/>
      <c r="J230" s="58"/>
      <c r="K230" s="58"/>
      <c r="L230" s="50"/>
      <c r="M230" s="58"/>
      <c r="N230" s="58"/>
    </row>
    <row r="231" spans="2:19" x14ac:dyDescent="0.3">
      <c r="B231" s="1" t="s">
        <v>489</v>
      </c>
      <c r="D231" s="59"/>
      <c r="E231" s="304"/>
      <c r="F231" s="304"/>
      <c r="G231" s="304"/>
      <c r="H231" s="304"/>
      <c r="I231" s="304"/>
      <c r="J231" s="304"/>
      <c r="K231" s="304"/>
      <c r="L231" s="304"/>
      <c r="M231" s="304"/>
      <c r="N231" s="304"/>
      <c r="O231" s="304"/>
      <c r="P231" s="304"/>
      <c r="Q231" s="304"/>
      <c r="R231" s="304"/>
      <c r="S231" s="304"/>
    </row>
    <row r="232" spans="2:19" ht="10.5" customHeight="1" x14ac:dyDescent="0.3"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30"/>
      <c r="O232" s="30"/>
      <c r="P232" s="30" t="s">
        <v>52</v>
      </c>
    </row>
    <row r="233" spans="2:19" s="125" customFormat="1" ht="27" x14ac:dyDescent="0.3">
      <c r="B233" s="297"/>
      <c r="C233" s="297"/>
      <c r="D233" s="215" t="s">
        <v>57</v>
      </c>
      <c r="E233" s="215" t="s">
        <v>59</v>
      </c>
      <c r="F233" s="215" t="s">
        <v>126</v>
      </c>
      <c r="G233" s="215" t="s">
        <v>58</v>
      </c>
      <c r="H233" s="215" t="s">
        <v>127</v>
      </c>
      <c r="I233" s="202" t="s">
        <v>376</v>
      </c>
      <c r="J233" s="215" t="s">
        <v>60</v>
      </c>
      <c r="K233" s="215" t="s">
        <v>61</v>
      </c>
      <c r="L233" s="215" t="s">
        <v>128</v>
      </c>
      <c r="M233" s="215" t="s">
        <v>129</v>
      </c>
      <c r="N233" s="202" t="s">
        <v>377</v>
      </c>
      <c r="O233" s="215" t="s">
        <v>130</v>
      </c>
      <c r="P233" s="215" t="s">
        <v>38</v>
      </c>
      <c r="Q233" s="126"/>
    </row>
    <row r="234" spans="2:19" ht="21.75" customHeight="1" x14ac:dyDescent="0.3">
      <c r="B234" s="292" t="s">
        <v>20</v>
      </c>
      <c r="C234" s="292"/>
      <c r="D234" s="86">
        <v>13.339552598668151</v>
      </c>
      <c r="E234" s="86">
        <v>11.259183245983962</v>
      </c>
      <c r="F234" s="88">
        <v>29.865579058385606</v>
      </c>
      <c r="G234" s="86">
        <v>3.7128987168798808</v>
      </c>
      <c r="H234" s="88">
        <v>5.5658760049006606</v>
      </c>
      <c r="I234" s="86">
        <v>17.644844979292422</v>
      </c>
      <c r="J234" s="86">
        <v>3.4741577668609538</v>
      </c>
      <c r="K234" s="86">
        <v>4.064896629939482</v>
      </c>
      <c r="L234" s="88">
        <v>8.4107542901737489</v>
      </c>
      <c r="M234" s="86">
        <v>1.7077207303349096</v>
      </c>
      <c r="N234" s="86">
        <v>0.78407050166763825</v>
      </c>
      <c r="O234" s="86">
        <v>0.17046547691189706</v>
      </c>
      <c r="P234" s="86">
        <v>0</v>
      </c>
    </row>
    <row r="235" spans="2:19" x14ac:dyDescent="0.3">
      <c r="B235" s="296" t="s">
        <v>5</v>
      </c>
      <c r="C235" s="13" t="s">
        <v>0</v>
      </c>
      <c r="D235" s="84">
        <v>13.864358899871432</v>
      </c>
      <c r="E235" s="84">
        <v>10.142954849534028</v>
      </c>
      <c r="F235" s="89">
        <v>28.693968081641451</v>
      </c>
      <c r="G235" s="84">
        <v>4.0708484909830727</v>
      </c>
      <c r="H235" s="89">
        <v>5.6877591637296661</v>
      </c>
      <c r="I235" s="84">
        <v>16.035615910579313</v>
      </c>
      <c r="J235" s="84">
        <v>3.7646319546333427</v>
      </c>
      <c r="K235" s="84">
        <v>4.3598016403170083</v>
      </c>
      <c r="L235" s="89">
        <v>10.401508832007142</v>
      </c>
      <c r="M235" s="84">
        <v>2.3196612415736459</v>
      </c>
      <c r="N235" s="84">
        <v>0.45932331258721498</v>
      </c>
      <c r="O235" s="84">
        <v>0.19956762254237848</v>
      </c>
      <c r="P235" s="84">
        <v>0</v>
      </c>
    </row>
    <row r="236" spans="2:19" x14ac:dyDescent="0.3">
      <c r="B236" s="295"/>
      <c r="C236" s="12" t="s">
        <v>1</v>
      </c>
      <c r="D236" s="90">
        <v>12.777961091124274</v>
      </c>
      <c r="E236" s="90">
        <v>12.453651350670402</v>
      </c>
      <c r="F236" s="90">
        <v>31.11931167016327</v>
      </c>
      <c r="G236" s="90">
        <v>3.3298591977225747</v>
      </c>
      <c r="H236" s="90">
        <v>5.4354496995113379</v>
      </c>
      <c r="I236" s="90">
        <v>19.366869613162503</v>
      </c>
      <c r="J236" s="90">
        <v>3.1633233949418762</v>
      </c>
      <c r="K236" s="90">
        <v>3.7493208661187181</v>
      </c>
      <c r="L236" s="90">
        <v>6.2804619485328574</v>
      </c>
      <c r="M236" s="90">
        <v>1.0528875214998612</v>
      </c>
      <c r="N236" s="90">
        <v>1.1315801696502858</v>
      </c>
      <c r="O236" s="90">
        <v>0.13932347690177202</v>
      </c>
      <c r="P236" s="90">
        <v>0</v>
      </c>
    </row>
    <row r="237" spans="2:19" x14ac:dyDescent="0.3">
      <c r="B237" s="296" t="s">
        <v>4</v>
      </c>
      <c r="C237" s="9" t="s">
        <v>175</v>
      </c>
      <c r="D237" s="86">
        <v>19.078568638507679</v>
      </c>
      <c r="E237" s="86">
        <v>8.5085882274962739</v>
      </c>
      <c r="F237" s="88">
        <v>43.124816879662234</v>
      </c>
      <c r="G237" s="86">
        <v>7.1965940305521299</v>
      </c>
      <c r="H237" s="88">
        <v>5.7213135709708647</v>
      </c>
      <c r="I237" s="86">
        <v>7.8121714918268221</v>
      </c>
      <c r="J237" s="86">
        <v>1.0418985267462819</v>
      </c>
      <c r="K237" s="86">
        <v>0.46108321622542703</v>
      </c>
      <c r="L237" s="88">
        <v>4.8055207893506857</v>
      </c>
      <c r="M237" s="86">
        <v>0.72795740121517194</v>
      </c>
      <c r="N237" s="86">
        <v>1.5214872274464428</v>
      </c>
      <c r="O237" s="86">
        <v>0</v>
      </c>
      <c r="P237" s="86">
        <v>0</v>
      </c>
    </row>
    <row r="238" spans="2:19" x14ac:dyDescent="0.3">
      <c r="B238" s="292"/>
      <c r="C238" s="9" t="s">
        <v>176</v>
      </c>
      <c r="D238" s="86">
        <v>15.937562089267848</v>
      </c>
      <c r="E238" s="86">
        <v>10.669326997882909</v>
      </c>
      <c r="F238" s="88">
        <v>35.270636315719919</v>
      </c>
      <c r="G238" s="86">
        <v>6.6182833883262004</v>
      </c>
      <c r="H238" s="88">
        <v>4.4396193891392324</v>
      </c>
      <c r="I238" s="86">
        <v>11.168730748797952</v>
      </c>
      <c r="J238" s="86">
        <v>3.41570556460815</v>
      </c>
      <c r="K238" s="86">
        <v>1.9364700891076898</v>
      </c>
      <c r="L238" s="88">
        <v>7.7254483978630333</v>
      </c>
      <c r="M238" s="86">
        <v>1.4655553721163561</v>
      </c>
      <c r="N238" s="86">
        <v>1.2206289187995998</v>
      </c>
      <c r="O238" s="86">
        <v>0.13203272837100818</v>
      </c>
      <c r="P238" s="86">
        <v>0</v>
      </c>
    </row>
    <row r="239" spans="2:19" x14ac:dyDescent="0.3">
      <c r="B239" s="292"/>
      <c r="C239" s="9" t="s">
        <v>177</v>
      </c>
      <c r="D239" s="86">
        <v>13.568583349385618</v>
      </c>
      <c r="E239" s="86">
        <v>10.00230671783174</v>
      </c>
      <c r="F239" s="88">
        <v>31.578842363604149</v>
      </c>
      <c r="G239" s="86">
        <v>5.8028758305060348</v>
      </c>
      <c r="H239" s="88">
        <v>5.8155402917559194</v>
      </c>
      <c r="I239" s="86">
        <v>12.637317823890973</v>
      </c>
      <c r="J239" s="86">
        <v>5.6898552836145271</v>
      </c>
      <c r="K239" s="86">
        <v>2.1259976002359409</v>
      </c>
      <c r="L239" s="88">
        <v>9.7205837853503159</v>
      </c>
      <c r="M239" s="86">
        <v>2.234533878673584</v>
      </c>
      <c r="N239" s="86">
        <v>0.38378252260869056</v>
      </c>
      <c r="O239" s="86">
        <v>0.43978055254260345</v>
      </c>
      <c r="P239" s="86">
        <v>0</v>
      </c>
    </row>
    <row r="240" spans="2:19" x14ac:dyDescent="0.3">
      <c r="B240" s="292"/>
      <c r="C240" s="9" t="s">
        <v>178</v>
      </c>
      <c r="D240" s="86">
        <v>11.95246637987856</v>
      </c>
      <c r="E240" s="86">
        <v>11.254300827423547</v>
      </c>
      <c r="F240" s="88">
        <v>30.291870790975228</v>
      </c>
      <c r="G240" s="86">
        <v>2.5218664465751459</v>
      </c>
      <c r="H240" s="88">
        <v>5.2181067097459106</v>
      </c>
      <c r="I240" s="86">
        <v>18.706329903941675</v>
      </c>
      <c r="J240" s="86">
        <v>3.0440776928761895</v>
      </c>
      <c r="K240" s="86">
        <v>4.8338033240546006</v>
      </c>
      <c r="L240" s="88">
        <v>10.017283498277898</v>
      </c>
      <c r="M240" s="86">
        <v>1.3495787643464203</v>
      </c>
      <c r="N240" s="86">
        <v>0.68727806451544138</v>
      </c>
      <c r="O240" s="86">
        <v>0.12303759738943583</v>
      </c>
      <c r="P240" s="86">
        <v>0</v>
      </c>
    </row>
    <row r="241" spans="2:16" x14ac:dyDescent="0.3">
      <c r="B241" s="292"/>
      <c r="C241" s="9" t="s">
        <v>179</v>
      </c>
      <c r="D241" s="86">
        <v>11.260130273647949</v>
      </c>
      <c r="E241" s="86">
        <v>11.457010876332522</v>
      </c>
      <c r="F241" s="88">
        <v>25.850769157954833</v>
      </c>
      <c r="G241" s="86">
        <v>2.6630617040936229</v>
      </c>
      <c r="H241" s="88">
        <v>5.5459491674555057</v>
      </c>
      <c r="I241" s="86">
        <v>21.855491875544296</v>
      </c>
      <c r="J241" s="86">
        <v>3.7303113436104054</v>
      </c>
      <c r="K241" s="86">
        <v>5.771431700889881</v>
      </c>
      <c r="L241" s="88">
        <v>8.5642323075305011</v>
      </c>
      <c r="M241" s="86">
        <v>2.3870016578008455</v>
      </c>
      <c r="N241" s="86">
        <v>0.81243301188193895</v>
      </c>
      <c r="O241" s="86">
        <v>0.10217692325771</v>
      </c>
      <c r="P241" s="86">
        <v>0</v>
      </c>
    </row>
    <row r="242" spans="2:16" x14ac:dyDescent="0.3">
      <c r="B242" s="298"/>
      <c r="C242" s="12" t="s">
        <v>180</v>
      </c>
      <c r="D242" s="90">
        <v>13.585524538207574</v>
      </c>
      <c r="E242" s="90">
        <v>13.144581867436733</v>
      </c>
      <c r="F242" s="91">
        <v>25.469819008733889</v>
      </c>
      <c r="G242" s="90">
        <v>1.2554313717016021</v>
      </c>
      <c r="H242" s="91">
        <v>6.5851792961129769</v>
      </c>
      <c r="I242" s="90">
        <v>23.286077947949209</v>
      </c>
      <c r="J242" s="90">
        <v>2.2884556732147439</v>
      </c>
      <c r="K242" s="90">
        <v>5.4678511335090096</v>
      </c>
      <c r="L242" s="91">
        <v>6.8606120036702096</v>
      </c>
      <c r="M242" s="90">
        <v>1.2415032730813669</v>
      </c>
      <c r="N242" s="90">
        <v>0.68179335851652423</v>
      </c>
      <c r="O242" s="90">
        <v>0.13317052786599889</v>
      </c>
      <c r="P242" s="90">
        <v>0</v>
      </c>
    </row>
    <row r="243" spans="2:16" x14ac:dyDescent="0.3">
      <c r="B243" s="292" t="s">
        <v>223</v>
      </c>
      <c r="C243" s="9" t="s">
        <v>210</v>
      </c>
      <c r="D243" s="86">
        <v>22.386675639565023</v>
      </c>
      <c r="E243" s="86">
        <v>9.8508564136631485</v>
      </c>
      <c r="F243" s="88">
        <v>37.872607536774339</v>
      </c>
      <c r="G243" s="86">
        <v>7.9523995104326062</v>
      </c>
      <c r="H243" s="88">
        <v>7.5771074333959358</v>
      </c>
      <c r="I243" s="86">
        <v>7.2095951466768486</v>
      </c>
      <c r="J243" s="86">
        <v>0.60350619707232189</v>
      </c>
      <c r="K243" s="86">
        <v>0.90772988967094226</v>
      </c>
      <c r="L243" s="88">
        <v>4.2063998196199899</v>
      </c>
      <c r="M243" s="86">
        <v>1.4331224131288469</v>
      </c>
      <c r="N243" s="86">
        <v>0</v>
      </c>
      <c r="O243" s="86">
        <v>0</v>
      </c>
      <c r="P243" s="86">
        <v>0</v>
      </c>
    </row>
    <row r="244" spans="2:16" x14ac:dyDescent="0.3">
      <c r="B244" s="292"/>
      <c r="C244" s="9" t="s">
        <v>211</v>
      </c>
      <c r="D244" s="86">
        <v>16.875517107370346</v>
      </c>
      <c r="E244" s="86">
        <v>10.990138449301764</v>
      </c>
      <c r="F244" s="88">
        <v>31.965671388279048</v>
      </c>
      <c r="G244" s="86">
        <v>8.543039586497283</v>
      </c>
      <c r="H244" s="88">
        <v>3.83059324928489</v>
      </c>
      <c r="I244" s="86">
        <v>9.9420316877428299</v>
      </c>
      <c r="J244" s="86">
        <v>4.0689789864004373</v>
      </c>
      <c r="K244" s="86">
        <v>2.8099295011113088</v>
      </c>
      <c r="L244" s="88">
        <v>7.7068924943510391</v>
      </c>
      <c r="M244" s="86">
        <v>1.7468396737241432</v>
      </c>
      <c r="N244" s="86">
        <v>1.272467554714835</v>
      </c>
      <c r="O244" s="86">
        <v>0.24790032122193975</v>
      </c>
      <c r="P244" s="86">
        <v>0</v>
      </c>
    </row>
    <row r="245" spans="2:16" x14ac:dyDescent="0.3">
      <c r="B245" s="292"/>
      <c r="C245" s="9" t="s">
        <v>212</v>
      </c>
      <c r="D245" s="86">
        <v>13.500545574883791</v>
      </c>
      <c r="E245" s="86">
        <v>8.8410160986477528</v>
      </c>
      <c r="F245" s="88">
        <v>26.230238427205272</v>
      </c>
      <c r="G245" s="86">
        <v>6.0576171067153641</v>
      </c>
      <c r="H245" s="88">
        <v>5.4605011231097418</v>
      </c>
      <c r="I245" s="86">
        <v>13.061730142158126</v>
      </c>
      <c r="J245" s="86">
        <v>6.4123372379918857</v>
      </c>
      <c r="K245" s="86">
        <v>1.7730552603620628</v>
      </c>
      <c r="L245" s="88">
        <v>14.411046316122173</v>
      </c>
      <c r="M245" s="86">
        <v>3.3819230003633454</v>
      </c>
      <c r="N245" s="86">
        <v>0.21695678026503171</v>
      </c>
      <c r="O245" s="86">
        <v>0.65303293217569813</v>
      </c>
      <c r="P245" s="86">
        <v>0</v>
      </c>
    </row>
    <row r="246" spans="2:16" x14ac:dyDescent="0.3">
      <c r="B246" s="292"/>
      <c r="C246" s="9" t="s">
        <v>213</v>
      </c>
      <c r="D246" s="86">
        <v>14.433608102441664</v>
      </c>
      <c r="E246" s="86">
        <v>9.6248137785266916</v>
      </c>
      <c r="F246" s="88">
        <v>33.631851489981472</v>
      </c>
      <c r="G246" s="86">
        <v>2.8702508975358909</v>
      </c>
      <c r="H246" s="88">
        <v>5.22122910303632</v>
      </c>
      <c r="I246" s="86">
        <v>12.463141280054749</v>
      </c>
      <c r="J246" s="86">
        <v>2.681139265508981</v>
      </c>
      <c r="K246" s="86">
        <v>5.2099046954816801</v>
      </c>
      <c r="L246" s="88">
        <v>12.047825125440967</v>
      </c>
      <c r="M246" s="86">
        <v>1.6601636222812384</v>
      </c>
      <c r="N246" s="86">
        <v>0.15607263971068974</v>
      </c>
      <c r="O246" s="86">
        <v>0</v>
      </c>
      <c r="P246" s="86">
        <v>0</v>
      </c>
    </row>
    <row r="247" spans="2:16" x14ac:dyDescent="0.3">
      <c r="B247" s="292"/>
      <c r="C247" s="9" t="s">
        <v>214</v>
      </c>
      <c r="D247" s="86">
        <v>11.514681362251043</v>
      </c>
      <c r="E247" s="86">
        <v>9.5778692381230801</v>
      </c>
      <c r="F247" s="88">
        <v>26.271580982472376</v>
      </c>
      <c r="G247" s="86">
        <v>2.1057826767237566</v>
      </c>
      <c r="H247" s="88">
        <v>6.7087156163972361</v>
      </c>
      <c r="I247" s="86">
        <v>19.399062066980438</v>
      </c>
      <c r="J247" s="86">
        <v>3.9056007941361668</v>
      </c>
      <c r="K247" s="86">
        <v>5.7592515716879529</v>
      </c>
      <c r="L247" s="88">
        <v>10.402862636327983</v>
      </c>
      <c r="M247" s="86">
        <v>3.7198747233018179</v>
      </c>
      <c r="N247" s="86">
        <v>0.43807672509648365</v>
      </c>
      <c r="O247" s="86">
        <v>0.19664160650170381</v>
      </c>
      <c r="P247" s="86">
        <v>0</v>
      </c>
    </row>
    <row r="248" spans="2:16" x14ac:dyDescent="0.3">
      <c r="B248" s="292"/>
      <c r="C248" s="12" t="s">
        <v>215</v>
      </c>
      <c r="D248" s="90">
        <v>11.885768722236657</v>
      </c>
      <c r="E248" s="90">
        <v>11.945917115445498</v>
      </c>
      <c r="F248" s="91">
        <v>23.551724522461175</v>
      </c>
      <c r="G248" s="90">
        <v>1.0951682293531357</v>
      </c>
      <c r="H248" s="91">
        <v>6.3964323527281266</v>
      </c>
      <c r="I248" s="90">
        <v>26.054512067389503</v>
      </c>
      <c r="J248" s="90">
        <v>2.7382147448216787</v>
      </c>
      <c r="K248" s="90">
        <v>6.2699294558997867</v>
      </c>
      <c r="L248" s="91">
        <v>8.6128717513791067</v>
      </c>
      <c r="M248" s="90">
        <v>1.0274975235092341</v>
      </c>
      <c r="N248" s="90">
        <v>0.4219635147759912</v>
      </c>
      <c r="O248" s="90">
        <v>0</v>
      </c>
      <c r="P248" s="90">
        <v>0</v>
      </c>
    </row>
    <row r="249" spans="2:16" x14ac:dyDescent="0.3">
      <c r="B249" s="292"/>
      <c r="C249" s="9" t="s">
        <v>216</v>
      </c>
      <c r="D249" s="86">
        <v>15.663536788166505</v>
      </c>
      <c r="E249" s="86">
        <v>7.122935161862527</v>
      </c>
      <c r="F249" s="88">
        <v>48.546788473957307</v>
      </c>
      <c r="G249" s="86">
        <v>6.4163593568764448</v>
      </c>
      <c r="H249" s="88">
        <v>3.8055366188276394</v>
      </c>
      <c r="I249" s="86">
        <v>8.4342243487300657</v>
      </c>
      <c r="J249" s="86">
        <v>1.4944606017648143</v>
      </c>
      <c r="K249" s="86">
        <v>0</v>
      </c>
      <c r="L249" s="88">
        <v>5.4240065859659916</v>
      </c>
      <c r="M249" s="86">
        <v>0</v>
      </c>
      <c r="N249" s="86">
        <v>3.0921520638487023</v>
      </c>
      <c r="O249" s="86">
        <v>0</v>
      </c>
      <c r="P249" s="86">
        <v>0</v>
      </c>
    </row>
    <row r="250" spans="2:16" x14ac:dyDescent="0.3">
      <c r="B250" s="292"/>
      <c r="C250" s="9" t="s">
        <v>217</v>
      </c>
      <c r="D250" s="86">
        <v>14.868749342905904</v>
      </c>
      <c r="E250" s="86">
        <v>10.303757901457576</v>
      </c>
      <c r="F250" s="88">
        <v>39.036689668549243</v>
      </c>
      <c r="G250" s="86">
        <v>4.4249970168686774</v>
      </c>
      <c r="H250" s="88">
        <v>5.1336131186688068</v>
      </c>
      <c r="I250" s="86">
        <v>12.566571335075055</v>
      </c>
      <c r="J250" s="86">
        <v>2.6712914438930611</v>
      </c>
      <c r="K250" s="86">
        <v>0.94115098002302022</v>
      </c>
      <c r="L250" s="88">
        <v>7.7465931071626386</v>
      </c>
      <c r="M250" s="86">
        <v>1.1450280108809314</v>
      </c>
      <c r="N250" s="86">
        <v>1.1615580745150778</v>
      </c>
      <c r="O250" s="86">
        <v>0</v>
      </c>
      <c r="P250" s="86">
        <v>0</v>
      </c>
    </row>
    <row r="251" spans="2:16" x14ac:dyDescent="0.3">
      <c r="B251" s="292"/>
      <c r="C251" s="9" t="s">
        <v>218</v>
      </c>
      <c r="D251" s="86">
        <v>13.644502739351275</v>
      </c>
      <c r="E251" s="86">
        <v>11.298123284831908</v>
      </c>
      <c r="F251" s="88">
        <v>37.547037987175067</v>
      </c>
      <c r="G251" s="86">
        <v>5.5186248768190307</v>
      </c>
      <c r="H251" s="88">
        <v>6.2117078221446169</v>
      </c>
      <c r="I251" s="86">
        <v>12.163740836214982</v>
      </c>
      <c r="J251" s="86">
        <v>4.8836797489333845</v>
      </c>
      <c r="K251" s="86">
        <v>2.5198254015194332</v>
      </c>
      <c r="L251" s="88">
        <v>4.4867698253799935</v>
      </c>
      <c r="M251" s="86">
        <v>0.95422918308746207</v>
      </c>
      <c r="N251" s="86">
        <v>0.56993365236027405</v>
      </c>
      <c r="O251" s="86">
        <v>0.20182464218232668</v>
      </c>
      <c r="P251" s="86">
        <v>0</v>
      </c>
    </row>
    <row r="252" spans="2:16" x14ac:dyDescent="0.3">
      <c r="B252" s="292"/>
      <c r="C252" s="9" t="s">
        <v>219</v>
      </c>
      <c r="D252" s="86">
        <v>9.0646639679528622</v>
      </c>
      <c r="E252" s="86">
        <v>13.15086182884235</v>
      </c>
      <c r="F252" s="88">
        <v>26.404465154020475</v>
      </c>
      <c r="G252" s="86">
        <v>2.116381564912464</v>
      </c>
      <c r="H252" s="88">
        <v>5.2144725542307446</v>
      </c>
      <c r="I252" s="86">
        <v>25.972781071246924</v>
      </c>
      <c r="J252" s="86">
        <v>3.4665019568351565</v>
      </c>
      <c r="K252" s="86">
        <v>4.3960587012227919</v>
      </c>
      <c r="L252" s="88">
        <v>7.6539348208877378</v>
      </c>
      <c r="M252" s="86">
        <v>0.98808885278859304</v>
      </c>
      <c r="N252" s="86">
        <v>1.3055483926587783</v>
      </c>
      <c r="O252" s="86">
        <v>0.26624113440130742</v>
      </c>
      <c r="P252" s="86">
        <v>0</v>
      </c>
    </row>
    <row r="253" spans="2:16" x14ac:dyDescent="0.3">
      <c r="B253" s="292"/>
      <c r="C253" s="9" t="s">
        <v>220</v>
      </c>
      <c r="D253" s="86">
        <v>10.984797248096102</v>
      </c>
      <c r="E253" s="86">
        <v>13.489568487961431</v>
      </c>
      <c r="F253" s="88">
        <v>25.395601617842349</v>
      </c>
      <c r="G253" s="86">
        <v>3.2658378364777017</v>
      </c>
      <c r="H253" s="88">
        <v>4.2882527020654759</v>
      </c>
      <c r="I253" s="86">
        <v>24.512468339322751</v>
      </c>
      <c r="J253" s="86">
        <v>3.5407109964838952</v>
      </c>
      <c r="K253" s="86">
        <v>5.7846062343133262</v>
      </c>
      <c r="L253" s="88">
        <v>6.5754934100570566</v>
      </c>
      <c r="M253" s="86">
        <v>0.94531081367661263</v>
      </c>
      <c r="N253" s="86">
        <v>1.2173523137031363</v>
      </c>
      <c r="O253" s="86">
        <v>0</v>
      </c>
      <c r="P253" s="86">
        <v>0</v>
      </c>
    </row>
    <row r="254" spans="2:16" x14ac:dyDescent="0.3">
      <c r="B254" s="295"/>
      <c r="C254" s="9" t="s">
        <v>221</v>
      </c>
      <c r="D254" s="90">
        <v>15.117026118258241</v>
      </c>
      <c r="E254" s="90">
        <v>14.224594034111989</v>
      </c>
      <c r="F254" s="91">
        <v>27.198046504008062</v>
      </c>
      <c r="G254" s="90">
        <v>1.3998304985787544</v>
      </c>
      <c r="H254" s="91">
        <v>6.7552426895178073</v>
      </c>
      <c r="I254" s="90">
        <v>20.791683642395817</v>
      </c>
      <c r="J254" s="90">
        <v>1.8832170369729186</v>
      </c>
      <c r="K254" s="90">
        <v>4.7451683772424946</v>
      </c>
      <c r="L254" s="91">
        <v>5.2818037142321437</v>
      </c>
      <c r="M254" s="90">
        <v>1.4343251716918075</v>
      </c>
      <c r="N254" s="90">
        <v>0.91590334801854478</v>
      </c>
      <c r="O254" s="90">
        <v>0.25315886497103396</v>
      </c>
      <c r="P254" s="90">
        <v>0</v>
      </c>
    </row>
    <row r="255" spans="2:16" ht="16.5" customHeight="1" x14ac:dyDescent="0.3">
      <c r="B255" s="291" t="s">
        <v>222</v>
      </c>
      <c r="C255" s="13" t="s">
        <v>226</v>
      </c>
      <c r="D255" s="80">
        <v>17.068987122728412</v>
      </c>
      <c r="E255" s="80">
        <v>10.609144466816456</v>
      </c>
      <c r="F255" s="80">
        <v>24.154342799179148</v>
      </c>
      <c r="G255" s="80">
        <v>4.3689146620352428</v>
      </c>
      <c r="H255" s="80">
        <v>6.452414729952392</v>
      </c>
      <c r="I255" s="80">
        <v>15.630742290832483</v>
      </c>
      <c r="J255" s="80">
        <v>3.9808101572999686</v>
      </c>
      <c r="K255" s="80">
        <v>4.9945713709955477</v>
      </c>
      <c r="L255" s="80">
        <v>10.278316709113206</v>
      </c>
      <c r="M255" s="80">
        <v>1.3979262662844791</v>
      </c>
      <c r="N255" s="80">
        <v>0.81095806141671489</v>
      </c>
      <c r="O255" s="80">
        <v>0.25287136334591054</v>
      </c>
      <c r="P255" s="80">
        <v>0</v>
      </c>
    </row>
    <row r="256" spans="2:16" x14ac:dyDescent="0.3">
      <c r="B256" s="294"/>
      <c r="C256" s="9" t="s">
        <v>227</v>
      </c>
      <c r="D256" s="79">
        <v>12.493020863256369</v>
      </c>
      <c r="E256" s="79">
        <v>10.840851724217055</v>
      </c>
      <c r="F256" s="79">
        <v>30.387983021926207</v>
      </c>
      <c r="G256" s="79">
        <v>3.147774859723441</v>
      </c>
      <c r="H256" s="79">
        <v>5.9376905091243204</v>
      </c>
      <c r="I256" s="79">
        <v>18.240186782681629</v>
      </c>
      <c r="J256" s="79">
        <v>3.0893081642085098</v>
      </c>
      <c r="K256" s="79">
        <v>3.3098965490825938</v>
      </c>
      <c r="L256" s="79">
        <v>10.693699000351479</v>
      </c>
      <c r="M256" s="79">
        <v>1.1855830411026802</v>
      </c>
      <c r="N256" s="79">
        <v>0.67400548432572949</v>
      </c>
      <c r="O256" s="79">
        <v>0</v>
      </c>
      <c r="P256" s="79">
        <v>0</v>
      </c>
    </row>
    <row r="257" spans="2:19" x14ac:dyDescent="0.3">
      <c r="B257" s="292"/>
      <c r="C257" s="9" t="s">
        <v>228</v>
      </c>
      <c r="D257" s="79">
        <v>13.075861407108846</v>
      </c>
      <c r="E257" s="79">
        <v>11.529058157681238</v>
      </c>
      <c r="F257" s="79">
        <v>32.244729549392268</v>
      </c>
      <c r="G257" s="79">
        <v>4.3385609528640972</v>
      </c>
      <c r="H257" s="79">
        <v>5.3428176930319138</v>
      </c>
      <c r="I257" s="79">
        <v>15.844844442966115</v>
      </c>
      <c r="J257" s="79">
        <v>3.4296368335101253</v>
      </c>
      <c r="K257" s="79">
        <v>3.852271882767031</v>
      </c>
      <c r="L257" s="79">
        <v>7.6081412281542224</v>
      </c>
      <c r="M257" s="79">
        <v>1.8544421457861293</v>
      </c>
      <c r="N257" s="79">
        <v>0.59514193794859072</v>
      </c>
      <c r="O257" s="79">
        <v>0.28449376878923455</v>
      </c>
      <c r="P257" s="79">
        <v>0</v>
      </c>
    </row>
    <row r="258" spans="2:19" x14ac:dyDescent="0.3">
      <c r="B258" s="295"/>
      <c r="C258" s="12" t="s">
        <v>229</v>
      </c>
      <c r="D258" s="81">
        <v>11.060358858182203</v>
      </c>
      <c r="E258" s="81">
        <v>12.074952862749875</v>
      </c>
      <c r="F258" s="81">
        <v>32.596924455869249</v>
      </c>
      <c r="G258" s="81">
        <v>3.2150955663772693</v>
      </c>
      <c r="H258" s="81">
        <v>4.5473281334417424</v>
      </c>
      <c r="I258" s="81">
        <v>20.279372134894057</v>
      </c>
      <c r="J258" s="81">
        <v>3.4562046155434123</v>
      </c>
      <c r="K258" s="81">
        <v>4.1879169438581982</v>
      </c>
      <c r="L258" s="81">
        <v>4.9480376242048552</v>
      </c>
      <c r="M258" s="81">
        <v>2.4226445861689889</v>
      </c>
      <c r="N258" s="81">
        <v>1.0265283871544555</v>
      </c>
      <c r="O258" s="81">
        <v>0.18463583155547469</v>
      </c>
      <c r="P258" s="81">
        <v>0</v>
      </c>
    </row>
    <row r="259" spans="2:19" x14ac:dyDescent="0.3">
      <c r="B259" s="296" t="s">
        <v>199</v>
      </c>
      <c r="C259" s="13" t="s">
        <v>192</v>
      </c>
      <c r="D259" s="80">
        <v>12.855426834982165</v>
      </c>
      <c r="E259" s="80">
        <v>11.761061037377633</v>
      </c>
      <c r="F259" s="80">
        <v>29.546431861888266</v>
      </c>
      <c r="G259" s="80">
        <v>3.7548751262253828</v>
      </c>
      <c r="H259" s="80">
        <v>5.6215199293208009</v>
      </c>
      <c r="I259" s="80">
        <v>17.692346738119749</v>
      </c>
      <c r="J259" s="80">
        <v>3.7098863404452986</v>
      </c>
      <c r="K259" s="80">
        <v>3.7926174244435238</v>
      </c>
      <c r="L259" s="80">
        <v>8.2456501447018589</v>
      </c>
      <c r="M259" s="80">
        <v>1.8115864624926279</v>
      </c>
      <c r="N259" s="80">
        <v>1.0337015305007708</v>
      </c>
      <c r="O259" s="80">
        <v>0.17489656950062119</v>
      </c>
      <c r="P259" s="80">
        <v>0</v>
      </c>
    </row>
    <row r="260" spans="2:19" ht="16.5" customHeight="1" x14ac:dyDescent="0.3">
      <c r="B260" s="292"/>
      <c r="C260" s="9" t="s">
        <v>200</v>
      </c>
      <c r="D260" s="79">
        <v>14.202535050488386</v>
      </c>
      <c r="E260" s="79">
        <v>7.54656673765568</v>
      </c>
      <c r="F260" s="79">
        <v>29.781715463424479</v>
      </c>
      <c r="G260" s="79">
        <v>4.4944778604639186</v>
      </c>
      <c r="H260" s="79">
        <v>4.8505057232733577</v>
      </c>
      <c r="I260" s="79">
        <v>20.568997669612816</v>
      </c>
      <c r="J260" s="79">
        <v>5.5170225191391271</v>
      </c>
      <c r="K260" s="79">
        <v>3.2199909539508131</v>
      </c>
      <c r="L260" s="79">
        <v>7.8710166695277151</v>
      </c>
      <c r="M260" s="79">
        <v>0.68058443797742851</v>
      </c>
      <c r="N260" s="79">
        <v>0.9815457061295999</v>
      </c>
      <c r="O260" s="79">
        <v>0.28504120835665309</v>
      </c>
      <c r="P260" s="79">
        <v>0</v>
      </c>
    </row>
    <row r="261" spans="2:19" ht="16.5" customHeight="1" x14ac:dyDescent="0.3">
      <c r="B261" s="292"/>
      <c r="C261" s="9" t="s">
        <v>201</v>
      </c>
      <c r="D261" s="79">
        <v>12.312069756702337</v>
      </c>
      <c r="E261" s="79">
        <v>10.948897562999722</v>
      </c>
      <c r="F261" s="79">
        <v>26.663527733171616</v>
      </c>
      <c r="G261" s="79">
        <v>3.8255373083350106</v>
      </c>
      <c r="H261" s="79">
        <v>6.626089156342732</v>
      </c>
      <c r="I261" s="79">
        <v>21.083544187247256</v>
      </c>
      <c r="J261" s="79">
        <v>2.3441028993252977</v>
      </c>
      <c r="K261" s="79">
        <v>4.4420488167957952</v>
      </c>
      <c r="L261" s="79">
        <v>9.4030929700463535</v>
      </c>
      <c r="M261" s="79">
        <v>1.6794496824072498</v>
      </c>
      <c r="N261" s="79">
        <v>0.51692622213867634</v>
      </c>
      <c r="O261" s="79">
        <v>0.1547137044878312</v>
      </c>
      <c r="P261" s="79">
        <v>0</v>
      </c>
    </row>
    <row r="262" spans="2:19" x14ac:dyDescent="0.3">
      <c r="B262" s="292"/>
      <c r="C262" s="9" t="s">
        <v>202</v>
      </c>
      <c r="D262" s="79">
        <v>15.288599952533517</v>
      </c>
      <c r="E262" s="79">
        <v>11.609850443533416</v>
      </c>
      <c r="F262" s="79">
        <v>29.63701694369713</v>
      </c>
      <c r="G262" s="79">
        <v>3.4882019468340228</v>
      </c>
      <c r="H262" s="79">
        <v>6.2309833045599756</v>
      </c>
      <c r="I262" s="79">
        <v>13.716281584728552</v>
      </c>
      <c r="J262" s="79">
        <v>3.737172860571345</v>
      </c>
      <c r="K262" s="79">
        <v>4.265777958627436</v>
      </c>
      <c r="L262" s="79">
        <v>9.8795455761972093</v>
      </c>
      <c r="M262" s="79">
        <v>1.3568850970488497</v>
      </c>
      <c r="N262" s="79">
        <v>0.42930346151719379</v>
      </c>
      <c r="O262" s="79">
        <v>0.36038087015133002</v>
      </c>
      <c r="P262" s="79">
        <v>0</v>
      </c>
    </row>
    <row r="263" spans="2:19" x14ac:dyDescent="0.3">
      <c r="B263" s="295"/>
      <c r="C263" s="12" t="s">
        <v>203</v>
      </c>
      <c r="D263" s="81">
        <v>14.081961688368484</v>
      </c>
      <c r="E263" s="81">
        <v>10.714788610816987</v>
      </c>
      <c r="F263" s="81">
        <v>32.116642719208514</v>
      </c>
      <c r="G263" s="81">
        <v>3.5146316878384432</v>
      </c>
      <c r="H263" s="81">
        <v>4.8508330837643463</v>
      </c>
      <c r="I263" s="81">
        <v>16.943256742918152</v>
      </c>
      <c r="J263" s="81">
        <v>2.9807913502166117</v>
      </c>
      <c r="K263" s="81">
        <v>4.6073470542320543</v>
      </c>
      <c r="L263" s="81">
        <v>7.9253046361940278</v>
      </c>
      <c r="M263" s="81">
        <v>1.7746487712036099</v>
      </c>
      <c r="N263" s="81">
        <v>0.41018603276571297</v>
      </c>
      <c r="O263" s="81">
        <v>7.9607622473288647E-2</v>
      </c>
      <c r="P263" s="81">
        <v>0</v>
      </c>
    </row>
    <row r="264" spans="2:19" x14ac:dyDescent="0.3">
      <c r="B264" s="291" t="s">
        <v>204</v>
      </c>
      <c r="C264" s="13" t="s">
        <v>192</v>
      </c>
      <c r="D264" s="80">
        <v>12.855426834982165</v>
      </c>
      <c r="E264" s="80">
        <v>11.761061037377633</v>
      </c>
      <c r="F264" s="80">
        <v>29.546431861888266</v>
      </c>
      <c r="G264" s="80">
        <v>3.7548751262253828</v>
      </c>
      <c r="H264" s="80">
        <v>5.6215199293208009</v>
      </c>
      <c r="I264" s="80">
        <v>17.692346738119749</v>
      </c>
      <c r="J264" s="80">
        <v>3.7098863404452986</v>
      </c>
      <c r="K264" s="80">
        <v>3.7926174244435238</v>
      </c>
      <c r="L264" s="80">
        <v>8.2456501447018589</v>
      </c>
      <c r="M264" s="80">
        <v>1.8115864624926279</v>
      </c>
      <c r="N264" s="80">
        <v>1.0337015305007708</v>
      </c>
      <c r="O264" s="80">
        <v>0.17489656950062119</v>
      </c>
      <c r="P264" s="80">
        <v>0</v>
      </c>
    </row>
    <row r="265" spans="2:19" x14ac:dyDescent="0.3">
      <c r="B265" s="295"/>
      <c r="C265" s="12" t="s">
        <v>193</v>
      </c>
      <c r="D265" s="81">
        <v>13.91714800921417</v>
      </c>
      <c r="E265" s="81">
        <v>10.660408442600637</v>
      </c>
      <c r="F265" s="81">
        <v>30.246343665049068</v>
      </c>
      <c r="G265" s="81">
        <v>3.6628179667777752</v>
      </c>
      <c r="H265" s="81">
        <v>5.4994889671088325</v>
      </c>
      <c r="I265" s="81">
        <v>17.588172106354207</v>
      </c>
      <c r="J265" s="81">
        <v>3.1929173280125984</v>
      </c>
      <c r="K265" s="81">
        <v>4.3897444923713085</v>
      </c>
      <c r="L265" s="81">
        <v>8.6077349176054128</v>
      </c>
      <c r="M265" s="81">
        <v>1.583801751616402</v>
      </c>
      <c r="N265" s="81">
        <v>0.48624347530555073</v>
      </c>
      <c r="O265" s="81">
        <v>0.16517887798465899</v>
      </c>
      <c r="P265" s="81">
        <v>0</v>
      </c>
    </row>
    <row r="266" spans="2:19" x14ac:dyDescent="0.3">
      <c r="B266" s="291" t="s">
        <v>209</v>
      </c>
      <c r="C266" s="13" t="s">
        <v>205</v>
      </c>
      <c r="D266" s="80">
        <v>13.708190274864442</v>
      </c>
      <c r="E266" s="80">
        <v>9.6838095518266165</v>
      </c>
      <c r="F266" s="80">
        <v>28.979712583969551</v>
      </c>
      <c r="G266" s="80">
        <v>3.3286850504192897</v>
      </c>
      <c r="H266" s="80">
        <v>5.3377651687899634</v>
      </c>
      <c r="I266" s="80">
        <v>16.955232268262939</v>
      </c>
      <c r="J266" s="80">
        <v>3.9184848991915646</v>
      </c>
      <c r="K266" s="80">
        <v>4.0489609601889924</v>
      </c>
      <c r="L266" s="80">
        <v>11.113396252976635</v>
      </c>
      <c r="M266" s="80">
        <v>1.7166306414218908</v>
      </c>
      <c r="N266" s="80">
        <v>0.84364158245112975</v>
      </c>
      <c r="O266" s="80">
        <v>0.36549076563699978</v>
      </c>
      <c r="P266" s="80">
        <v>0</v>
      </c>
    </row>
    <row r="267" spans="2:19" x14ac:dyDescent="0.3">
      <c r="B267" s="292"/>
      <c r="C267" s="9" t="s">
        <v>206</v>
      </c>
      <c r="D267" s="79">
        <v>12.404464478377742</v>
      </c>
      <c r="E267" s="79">
        <v>12.270758500422879</v>
      </c>
      <c r="F267" s="79">
        <v>26.56837961093294</v>
      </c>
      <c r="G267" s="79">
        <v>2.1446439756874414</v>
      </c>
      <c r="H267" s="79">
        <v>6.6065486057320015</v>
      </c>
      <c r="I267" s="79">
        <v>18.570257352344612</v>
      </c>
      <c r="J267" s="79">
        <v>2.9974175441739206</v>
      </c>
      <c r="K267" s="79">
        <v>6.791376430856225</v>
      </c>
      <c r="L267" s="79">
        <v>9.1432065726757674</v>
      </c>
      <c r="M267" s="79">
        <v>1.262607291840609</v>
      </c>
      <c r="N267" s="79">
        <v>0.97388497544534658</v>
      </c>
      <c r="O267" s="79">
        <v>0.26645466151037395</v>
      </c>
      <c r="P267" s="79">
        <v>0</v>
      </c>
    </row>
    <row r="268" spans="2:19" x14ac:dyDescent="0.3">
      <c r="B268" s="292"/>
      <c r="C268" s="9" t="s">
        <v>207</v>
      </c>
      <c r="D268" s="79">
        <v>13.572905830728367</v>
      </c>
      <c r="E268" s="79">
        <v>11.357417451965372</v>
      </c>
      <c r="F268" s="79">
        <v>28.053098948322479</v>
      </c>
      <c r="G268" s="79">
        <v>3.7865761551680115</v>
      </c>
      <c r="H268" s="79">
        <v>5.4684527400299245</v>
      </c>
      <c r="I268" s="79">
        <v>20.160107860256655</v>
      </c>
      <c r="J268" s="79">
        <v>3.549423323749278</v>
      </c>
      <c r="K268" s="79">
        <v>3.7594058312110623</v>
      </c>
      <c r="L268" s="79">
        <v>7.9030904878420429</v>
      </c>
      <c r="M268" s="79">
        <v>1.7630050036435851</v>
      </c>
      <c r="N268" s="79">
        <v>0.51165815369210466</v>
      </c>
      <c r="O268" s="79">
        <v>0.11485821339100889</v>
      </c>
      <c r="P268" s="79">
        <v>0</v>
      </c>
    </row>
    <row r="269" spans="2:19" x14ac:dyDescent="0.3">
      <c r="B269" s="293"/>
      <c r="C269" s="25" t="s">
        <v>208</v>
      </c>
      <c r="D269" s="82">
        <v>13.512377107850309</v>
      </c>
      <c r="E269" s="82">
        <v>11.347581673458503</v>
      </c>
      <c r="F269" s="82">
        <v>33.955572610176361</v>
      </c>
      <c r="G269" s="82">
        <v>4.7942358742856035</v>
      </c>
      <c r="H269" s="82">
        <v>5.1352717076727155</v>
      </c>
      <c r="I269" s="82">
        <v>15.156494119655751</v>
      </c>
      <c r="J269" s="82">
        <v>3.4727211225673718</v>
      </c>
      <c r="K269" s="82">
        <v>2.6893889231844179</v>
      </c>
      <c r="L269" s="82">
        <v>7.0633757319437818</v>
      </c>
      <c r="M269" s="82">
        <v>1.924217295634558</v>
      </c>
      <c r="N269" s="82">
        <v>0.88464089715537086</v>
      </c>
      <c r="O269" s="82">
        <v>6.412293641513582E-2</v>
      </c>
      <c r="P269" s="82">
        <v>0</v>
      </c>
    </row>
    <row r="270" spans="2:19" x14ac:dyDescent="0.3">
      <c r="B270" s="60"/>
      <c r="C270" s="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</row>
    <row r="271" spans="2:19" x14ac:dyDescent="0.3">
      <c r="B271" s="60"/>
      <c r="C271" s="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</row>
    <row r="272" spans="2:19" x14ac:dyDescent="0.3">
      <c r="B272" s="1" t="s">
        <v>490</v>
      </c>
      <c r="D272" s="59"/>
      <c r="E272" s="304"/>
      <c r="F272" s="304"/>
      <c r="G272" s="304"/>
      <c r="H272" s="304"/>
      <c r="I272" s="304"/>
      <c r="J272" s="304"/>
      <c r="K272" s="304"/>
      <c r="L272" s="304"/>
      <c r="M272" s="304"/>
      <c r="N272" s="304"/>
      <c r="O272" s="304"/>
      <c r="P272" s="304"/>
      <c r="Q272" s="304"/>
      <c r="R272" s="304"/>
      <c r="S272" s="304"/>
    </row>
    <row r="273" spans="2:17" ht="10.5" customHeight="1" x14ac:dyDescent="0.3"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30"/>
      <c r="O273" s="30"/>
      <c r="P273" s="30" t="s">
        <v>157</v>
      </c>
    </row>
    <row r="274" spans="2:17" s="125" customFormat="1" ht="27" x14ac:dyDescent="0.3">
      <c r="B274" s="297"/>
      <c r="C274" s="297"/>
      <c r="D274" s="215" t="s">
        <v>57</v>
      </c>
      <c r="E274" s="215" t="s">
        <v>59</v>
      </c>
      <c r="F274" s="215" t="s">
        <v>126</v>
      </c>
      <c r="G274" s="215" t="s">
        <v>58</v>
      </c>
      <c r="H274" s="215" t="s">
        <v>127</v>
      </c>
      <c r="I274" s="202" t="s">
        <v>376</v>
      </c>
      <c r="J274" s="215" t="s">
        <v>60</v>
      </c>
      <c r="K274" s="215" t="s">
        <v>61</v>
      </c>
      <c r="L274" s="215" t="s">
        <v>128</v>
      </c>
      <c r="M274" s="215" t="s">
        <v>129</v>
      </c>
      <c r="N274" s="202" t="s">
        <v>377</v>
      </c>
      <c r="O274" s="215" t="s">
        <v>130</v>
      </c>
      <c r="P274" s="215" t="s">
        <v>38</v>
      </c>
      <c r="Q274" s="126"/>
    </row>
    <row r="275" spans="2:17" ht="21.75" customHeight="1" x14ac:dyDescent="0.3">
      <c r="B275" s="292" t="s">
        <v>20</v>
      </c>
      <c r="C275" s="292"/>
      <c r="D275" s="86">
        <v>27.266583727516636</v>
      </c>
      <c r="E275" s="86">
        <v>26.772656828036702</v>
      </c>
      <c r="F275" s="88">
        <v>58.89615922806847</v>
      </c>
      <c r="G275" s="86">
        <v>12.743398896529012</v>
      </c>
      <c r="H275" s="88">
        <v>19.853420553299312</v>
      </c>
      <c r="I275" s="86">
        <v>52.106249991346779</v>
      </c>
      <c r="J275" s="86">
        <v>20.766429122365761</v>
      </c>
      <c r="K275" s="86">
        <v>24.316886272637266</v>
      </c>
      <c r="L275" s="88">
        <v>38.62637367556416</v>
      </c>
      <c r="M275" s="86">
        <v>9.9164515569299603</v>
      </c>
      <c r="N275" s="86">
        <v>7.5439890994650121</v>
      </c>
      <c r="O275" s="86">
        <v>1.1346374544862496</v>
      </c>
      <c r="P275" s="86">
        <v>5.6763593753308167E-2</v>
      </c>
    </row>
    <row r="276" spans="2:17" x14ac:dyDescent="0.3">
      <c r="B276" s="296" t="s">
        <v>5</v>
      </c>
      <c r="C276" s="13" t="s">
        <v>0</v>
      </c>
      <c r="D276" s="84">
        <v>27.264082602120993</v>
      </c>
      <c r="E276" s="84">
        <v>24.90962548831736</v>
      </c>
      <c r="F276" s="89">
        <v>55.714969672095762</v>
      </c>
      <c r="G276" s="84">
        <v>13.946617205788552</v>
      </c>
      <c r="H276" s="89">
        <v>20.172079749125523</v>
      </c>
      <c r="I276" s="84">
        <v>48.906357466351622</v>
      </c>
      <c r="J276" s="84">
        <v>22.559491738506448</v>
      </c>
      <c r="K276" s="84">
        <v>26.864924148913165</v>
      </c>
      <c r="L276" s="89">
        <v>40.369894598999991</v>
      </c>
      <c r="M276" s="84">
        <v>12.309077162287073</v>
      </c>
      <c r="N276" s="84">
        <v>5.637440997560482</v>
      </c>
      <c r="O276" s="84">
        <v>1.2695085155072539</v>
      </c>
      <c r="P276" s="84">
        <v>7.5930654424944913E-2</v>
      </c>
    </row>
    <row r="277" spans="2:17" x14ac:dyDescent="0.3">
      <c r="B277" s="295"/>
      <c r="C277" s="12" t="s">
        <v>1</v>
      </c>
      <c r="D277" s="90">
        <v>27.269260164095936</v>
      </c>
      <c r="E277" s="90">
        <v>28.766273475313813</v>
      </c>
      <c r="F277" s="90">
        <v>62.300327650638302</v>
      </c>
      <c r="G277" s="90">
        <v>11.455843501991556</v>
      </c>
      <c r="H277" s="90">
        <v>19.512425603798107</v>
      </c>
      <c r="I277" s="90">
        <v>55.530432328659799</v>
      </c>
      <c r="J277" s="90">
        <v>18.847685510845899</v>
      </c>
      <c r="K277" s="90">
        <v>21.590248980104683</v>
      </c>
      <c r="L277" s="90">
        <v>36.760644278676892</v>
      </c>
      <c r="M277" s="90">
        <v>7.3561198352642352</v>
      </c>
      <c r="N277" s="90">
        <v>9.5841727258788527</v>
      </c>
      <c r="O277" s="90">
        <v>0.99031288690926678</v>
      </c>
      <c r="P277" s="90">
        <v>3.6253057822067399E-2</v>
      </c>
    </row>
    <row r="278" spans="2:17" x14ac:dyDescent="0.3">
      <c r="B278" s="296" t="s">
        <v>4</v>
      </c>
      <c r="C278" s="9" t="s">
        <v>175</v>
      </c>
      <c r="D278" s="86">
        <v>38.160792319051559</v>
      </c>
      <c r="E278" s="86">
        <v>27.724594971296572</v>
      </c>
      <c r="F278" s="88">
        <v>75.800137696007269</v>
      </c>
      <c r="G278" s="86">
        <v>28.7064339680473</v>
      </c>
      <c r="H278" s="88">
        <v>16.750189643065834</v>
      </c>
      <c r="I278" s="86">
        <v>38.049015797193782</v>
      </c>
      <c r="J278" s="86">
        <v>12.171904372220983</v>
      </c>
      <c r="K278" s="86">
        <v>13.141003879263108</v>
      </c>
      <c r="L278" s="88">
        <v>30.423340758584271</v>
      </c>
      <c r="M278" s="86">
        <v>9.1609945744996555</v>
      </c>
      <c r="N278" s="86">
        <v>9.9115920207696853</v>
      </c>
      <c r="O278" s="86">
        <v>0</v>
      </c>
      <c r="P278" s="86">
        <v>0</v>
      </c>
    </row>
    <row r="279" spans="2:17" x14ac:dyDescent="0.3">
      <c r="B279" s="292"/>
      <c r="C279" s="9" t="s">
        <v>176</v>
      </c>
      <c r="D279" s="86">
        <v>32.961194460787077</v>
      </c>
      <c r="E279" s="86">
        <v>28.818558286206503</v>
      </c>
      <c r="F279" s="88">
        <v>66.410595839270087</v>
      </c>
      <c r="G279" s="86">
        <v>18.781823492671641</v>
      </c>
      <c r="H279" s="88">
        <v>18.937564293631237</v>
      </c>
      <c r="I279" s="86">
        <v>42.16317792929425</v>
      </c>
      <c r="J279" s="86">
        <v>21.959642405746926</v>
      </c>
      <c r="K279" s="86">
        <v>15.402279972062091</v>
      </c>
      <c r="L279" s="88">
        <v>35.242904379694934</v>
      </c>
      <c r="M279" s="86">
        <v>8.3315308612753167</v>
      </c>
      <c r="N279" s="86">
        <v>9.793278725627907</v>
      </c>
      <c r="O279" s="86">
        <v>1.1974493537317157</v>
      </c>
      <c r="P279" s="86">
        <v>0</v>
      </c>
    </row>
    <row r="280" spans="2:17" x14ac:dyDescent="0.3">
      <c r="B280" s="292"/>
      <c r="C280" s="9" t="s">
        <v>177</v>
      </c>
      <c r="D280" s="86">
        <v>29.514340395340373</v>
      </c>
      <c r="E280" s="86">
        <v>26.708594323113733</v>
      </c>
      <c r="F280" s="88">
        <v>59.477342799935485</v>
      </c>
      <c r="G280" s="86">
        <v>17.182418703884284</v>
      </c>
      <c r="H280" s="88">
        <v>20.945259610014514</v>
      </c>
      <c r="I280" s="86">
        <v>44.882189974169236</v>
      </c>
      <c r="J280" s="86">
        <v>25.125616500219326</v>
      </c>
      <c r="K280" s="86">
        <v>19.108676707037517</v>
      </c>
      <c r="L280" s="88">
        <v>37.288959469010244</v>
      </c>
      <c r="M280" s="86">
        <v>11.445940950644436</v>
      </c>
      <c r="N280" s="86">
        <v>7.3467728985945753</v>
      </c>
      <c r="O280" s="86">
        <v>0.85947011565163101</v>
      </c>
      <c r="P280" s="86">
        <v>0.11441755238486095</v>
      </c>
    </row>
    <row r="281" spans="2:17" x14ac:dyDescent="0.3">
      <c r="B281" s="292"/>
      <c r="C281" s="9" t="s">
        <v>178</v>
      </c>
      <c r="D281" s="86">
        <v>23.784543107138759</v>
      </c>
      <c r="E281" s="86">
        <v>24.853699009575941</v>
      </c>
      <c r="F281" s="88">
        <v>61.280045673502784</v>
      </c>
      <c r="G281" s="86">
        <v>10.940777888966537</v>
      </c>
      <c r="H281" s="88">
        <v>19.00465143966624</v>
      </c>
      <c r="I281" s="86">
        <v>53.537058099260939</v>
      </c>
      <c r="J281" s="86">
        <v>20.755064329036031</v>
      </c>
      <c r="K281" s="86">
        <v>25.662404680934547</v>
      </c>
      <c r="L281" s="88">
        <v>41.754293017541322</v>
      </c>
      <c r="M281" s="86">
        <v>9.1655797390288942</v>
      </c>
      <c r="N281" s="86">
        <v>8.6772166217685118</v>
      </c>
      <c r="O281" s="86">
        <v>0.58466639357914341</v>
      </c>
      <c r="P281" s="86">
        <v>0</v>
      </c>
    </row>
    <row r="282" spans="2:17" x14ac:dyDescent="0.3">
      <c r="B282" s="292"/>
      <c r="C282" s="9" t="s">
        <v>179</v>
      </c>
      <c r="D282" s="86">
        <v>22.542176040658962</v>
      </c>
      <c r="E282" s="86">
        <v>25.339352729575836</v>
      </c>
      <c r="F282" s="88">
        <v>55.119519096089221</v>
      </c>
      <c r="G282" s="86">
        <v>8.9788222392644865</v>
      </c>
      <c r="H282" s="88">
        <v>19.101524501751932</v>
      </c>
      <c r="I282" s="86">
        <v>57.476703527333363</v>
      </c>
      <c r="J282" s="86">
        <v>22.557282094042417</v>
      </c>
      <c r="K282" s="86">
        <v>30.705547173003573</v>
      </c>
      <c r="L282" s="88">
        <v>39.63202959899661</v>
      </c>
      <c r="M282" s="86">
        <v>11.932327136251857</v>
      </c>
      <c r="N282" s="86">
        <v>5.4634706767468453</v>
      </c>
      <c r="O282" s="86">
        <v>1.0645533035427737</v>
      </c>
      <c r="P282" s="86">
        <v>8.6691882742243209E-2</v>
      </c>
    </row>
    <row r="283" spans="2:17" x14ac:dyDescent="0.3">
      <c r="B283" s="298"/>
      <c r="C283" s="12" t="s">
        <v>180</v>
      </c>
      <c r="D283" s="90">
        <v>27.304193294108298</v>
      </c>
      <c r="E283" s="90">
        <v>28.492267604602262</v>
      </c>
      <c r="F283" s="91">
        <v>50.828012051976714</v>
      </c>
      <c r="G283" s="90">
        <v>6.8734158154535123</v>
      </c>
      <c r="H283" s="91">
        <v>21.991592590193278</v>
      </c>
      <c r="I283" s="90">
        <v>61.593197931244333</v>
      </c>
      <c r="J283" s="90">
        <v>15.90865146215652</v>
      </c>
      <c r="K283" s="90">
        <v>29.611259631096488</v>
      </c>
      <c r="L283" s="91">
        <v>39.971399686337541</v>
      </c>
      <c r="M283" s="90">
        <v>8.5004312376169668</v>
      </c>
      <c r="N283" s="90">
        <v>6.6689179635217695</v>
      </c>
      <c r="O283" s="90">
        <v>2.1697832329655196</v>
      </c>
      <c r="P283" s="90">
        <v>8.6877498726703112E-2</v>
      </c>
    </row>
    <row r="284" spans="2:17" x14ac:dyDescent="0.3">
      <c r="B284" s="292" t="s">
        <v>223</v>
      </c>
      <c r="C284" s="9" t="s">
        <v>210</v>
      </c>
      <c r="D284" s="86">
        <v>40.598722594409288</v>
      </c>
      <c r="E284" s="86">
        <v>30.072672320019727</v>
      </c>
      <c r="F284" s="88">
        <v>71.260616788852062</v>
      </c>
      <c r="G284" s="86">
        <v>30.633082614982914</v>
      </c>
      <c r="H284" s="88">
        <v>14.006751893304447</v>
      </c>
      <c r="I284" s="86">
        <v>36.238139883670904</v>
      </c>
      <c r="J284" s="86">
        <v>14.139413795203282</v>
      </c>
      <c r="K284" s="86">
        <v>15.791148266757284</v>
      </c>
      <c r="L284" s="88">
        <v>32.998387768173373</v>
      </c>
      <c r="M284" s="86">
        <v>9.3397143601167034</v>
      </c>
      <c r="N284" s="86">
        <v>4.9213497145100247</v>
      </c>
      <c r="O284" s="86">
        <v>0</v>
      </c>
      <c r="P284" s="86">
        <v>0</v>
      </c>
    </row>
    <row r="285" spans="2:17" x14ac:dyDescent="0.3">
      <c r="B285" s="292"/>
      <c r="C285" s="9" t="s">
        <v>211</v>
      </c>
      <c r="D285" s="86">
        <v>35.515117549305629</v>
      </c>
      <c r="E285" s="86">
        <v>30.674733660433223</v>
      </c>
      <c r="F285" s="88">
        <v>62.126795310696956</v>
      </c>
      <c r="G285" s="86">
        <v>21.081637906848989</v>
      </c>
      <c r="H285" s="88">
        <v>18.556248441116885</v>
      </c>
      <c r="I285" s="86">
        <v>35.713782839285294</v>
      </c>
      <c r="J285" s="86">
        <v>23.444114598615386</v>
      </c>
      <c r="K285" s="86">
        <v>16.604590671153776</v>
      </c>
      <c r="L285" s="88">
        <v>33.881221983147178</v>
      </c>
      <c r="M285" s="86">
        <v>9.3584605462931165</v>
      </c>
      <c r="N285" s="86">
        <v>11.090068821769176</v>
      </c>
      <c r="O285" s="86">
        <v>1.9532276713340611</v>
      </c>
      <c r="P285" s="86">
        <v>0</v>
      </c>
    </row>
    <row r="286" spans="2:17" x14ac:dyDescent="0.3">
      <c r="B286" s="292"/>
      <c r="C286" s="9" t="s">
        <v>212</v>
      </c>
      <c r="D286" s="86">
        <v>28.919793758405067</v>
      </c>
      <c r="E286" s="86">
        <v>24.348816386386851</v>
      </c>
      <c r="F286" s="88">
        <v>54.35771878956038</v>
      </c>
      <c r="G286" s="86">
        <v>17.724758244103452</v>
      </c>
      <c r="H286" s="88">
        <v>21.84231031518841</v>
      </c>
      <c r="I286" s="86">
        <v>41.698787533047351</v>
      </c>
      <c r="J286" s="86">
        <v>27.432841139224617</v>
      </c>
      <c r="K286" s="86">
        <v>22.811422600946607</v>
      </c>
      <c r="L286" s="88">
        <v>40.831163612283326</v>
      </c>
      <c r="M286" s="86">
        <v>13.40956776010194</v>
      </c>
      <c r="N286" s="86">
        <v>5.3428968388816349</v>
      </c>
      <c r="O286" s="86">
        <v>1.0629662416060341</v>
      </c>
      <c r="P286" s="86">
        <v>0.21695678026503171</v>
      </c>
    </row>
    <row r="287" spans="2:17" x14ac:dyDescent="0.3">
      <c r="B287" s="292"/>
      <c r="C287" s="9" t="s">
        <v>213</v>
      </c>
      <c r="D287" s="86">
        <v>26.518894284860973</v>
      </c>
      <c r="E287" s="86">
        <v>24.256347074827282</v>
      </c>
      <c r="F287" s="88">
        <v>62.462573986485417</v>
      </c>
      <c r="G287" s="86">
        <v>12.713757862312997</v>
      </c>
      <c r="H287" s="88">
        <v>20.328872870118499</v>
      </c>
      <c r="I287" s="86">
        <v>47.689623984385534</v>
      </c>
      <c r="J287" s="86">
        <v>20.654936836332531</v>
      </c>
      <c r="K287" s="86">
        <v>25.91119344675586</v>
      </c>
      <c r="L287" s="88">
        <v>41.08220379536268</v>
      </c>
      <c r="M287" s="86">
        <v>12.412449262938404</v>
      </c>
      <c r="N287" s="86">
        <v>5.4723314206014519</v>
      </c>
      <c r="O287" s="86">
        <v>0.49681517501943367</v>
      </c>
      <c r="P287" s="86">
        <v>0</v>
      </c>
    </row>
    <row r="288" spans="2:17" x14ac:dyDescent="0.3">
      <c r="B288" s="292"/>
      <c r="C288" s="9" t="s">
        <v>214</v>
      </c>
      <c r="D288" s="86">
        <v>21.842185313512459</v>
      </c>
      <c r="E288" s="86">
        <v>21.168679525932781</v>
      </c>
      <c r="F288" s="88">
        <v>51.109363364385075</v>
      </c>
      <c r="G288" s="86">
        <v>8.8499643122692451</v>
      </c>
      <c r="H288" s="88">
        <v>18.585493942332899</v>
      </c>
      <c r="I288" s="86">
        <v>55.772175775801244</v>
      </c>
      <c r="J288" s="86">
        <v>25.628647509094556</v>
      </c>
      <c r="K288" s="86">
        <v>33.617824423825709</v>
      </c>
      <c r="L288" s="88">
        <v>42.386751860626262</v>
      </c>
      <c r="M288" s="86">
        <v>15.307519608574788</v>
      </c>
      <c r="N288" s="86">
        <v>4.0137580412341132</v>
      </c>
      <c r="O288" s="86">
        <v>1.5507959973200607</v>
      </c>
      <c r="P288" s="86">
        <v>0.1668403250907802</v>
      </c>
    </row>
    <row r="289" spans="2:16" x14ac:dyDescent="0.3">
      <c r="B289" s="292"/>
      <c r="C289" s="12" t="s">
        <v>215</v>
      </c>
      <c r="D289" s="90">
        <v>22.882947765601912</v>
      </c>
      <c r="E289" s="90">
        <v>24.476524984023122</v>
      </c>
      <c r="F289" s="91">
        <v>45.997023999204941</v>
      </c>
      <c r="G289" s="90">
        <v>7.9637811772007181</v>
      </c>
      <c r="H289" s="91">
        <v>23.227680846906487</v>
      </c>
      <c r="I289" s="90">
        <v>63.170034309651726</v>
      </c>
      <c r="J289" s="90">
        <v>17.371607128097622</v>
      </c>
      <c r="K289" s="90">
        <v>35.02760111946067</v>
      </c>
      <c r="L289" s="91">
        <v>44.114484915251658</v>
      </c>
      <c r="M289" s="90">
        <v>10.750518688506336</v>
      </c>
      <c r="N289" s="90">
        <v>3.3772342412525727</v>
      </c>
      <c r="O289" s="90">
        <v>1.6405608248419083</v>
      </c>
      <c r="P289" s="90">
        <v>0</v>
      </c>
    </row>
    <row r="290" spans="2:16" x14ac:dyDescent="0.3">
      <c r="B290" s="292"/>
      <c r="C290" s="9" t="s">
        <v>216</v>
      </c>
      <c r="D290" s="86">
        <v>35.644063103038683</v>
      </c>
      <c r="E290" s="86">
        <v>25.300622914047128</v>
      </c>
      <c r="F290" s="88">
        <v>80.486385292675052</v>
      </c>
      <c r="G290" s="86">
        <v>26.717512058447973</v>
      </c>
      <c r="H290" s="88">
        <v>19.582300965906654</v>
      </c>
      <c r="I290" s="86">
        <v>39.918422959573846</v>
      </c>
      <c r="J290" s="86">
        <v>10.140800981918497</v>
      </c>
      <c r="K290" s="86">
        <v>10.405201352802244</v>
      </c>
      <c r="L290" s="88">
        <v>27.765062912353194</v>
      </c>
      <c r="M290" s="86">
        <v>8.9764981963675989</v>
      </c>
      <c r="N290" s="86">
        <v>15.063129262869118</v>
      </c>
      <c r="O290" s="86">
        <v>0</v>
      </c>
      <c r="P290" s="86">
        <v>0</v>
      </c>
    </row>
    <row r="291" spans="2:16" x14ac:dyDescent="0.3">
      <c r="B291" s="292"/>
      <c r="C291" s="9" t="s">
        <v>217</v>
      </c>
      <c r="D291" s="86">
        <v>30.050963695394124</v>
      </c>
      <c r="E291" s="86">
        <v>26.703420714396191</v>
      </c>
      <c r="F291" s="88">
        <v>71.292045929567095</v>
      </c>
      <c r="G291" s="86">
        <v>16.161153084497499</v>
      </c>
      <c r="H291" s="88">
        <v>19.372078993900889</v>
      </c>
      <c r="I291" s="86">
        <v>49.512353044824657</v>
      </c>
      <c r="J291" s="86">
        <v>20.268065762159633</v>
      </c>
      <c r="K291" s="86">
        <v>14.032230262347678</v>
      </c>
      <c r="L291" s="88">
        <v>36.794560348092268</v>
      </c>
      <c r="M291" s="86">
        <v>7.1613302484730896</v>
      </c>
      <c r="N291" s="86">
        <v>8.3155684331709576</v>
      </c>
      <c r="O291" s="86">
        <v>0.33622948317594548</v>
      </c>
      <c r="P291" s="86">
        <v>0</v>
      </c>
    </row>
    <row r="292" spans="2:16" x14ac:dyDescent="0.3">
      <c r="B292" s="292"/>
      <c r="C292" s="9" t="s">
        <v>218</v>
      </c>
      <c r="D292" s="86">
        <v>30.177760360392924</v>
      </c>
      <c r="E292" s="86">
        <v>29.341733086432775</v>
      </c>
      <c r="F292" s="88">
        <v>65.19003306012003</v>
      </c>
      <c r="G292" s="86">
        <v>16.577253597453733</v>
      </c>
      <c r="H292" s="88">
        <v>19.944292973411233</v>
      </c>
      <c r="I292" s="86">
        <v>48.434363353071589</v>
      </c>
      <c r="J292" s="86">
        <v>22.551118901061116</v>
      </c>
      <c r="K292" s="86">
        <v>14.976998216350362</v>
      </c>
      <c r="L292" s="88">
        <v>33.33642016771509</v>
      </c>
      <c r="M292" s="86">
        <v>9.2548441579322862</v>
      </c>
      <c r="N292" s="86">
        <v>9.5827814855025331</v>
      </c>
      <c r="O292" s="86">
        <v>0.63240064055558465</v>
      </c>
      <c r="P292" s="86">
        <v>0</v>
      </c>
    </row>
    <row r="293" spans="2:16" x14ac:dyDescent="0.3">
      <c r="B293" s="292"/>
      <c r="C293" s="9" t="s">
        <v>219</v>
      </c>
      <c r="D293" s="86">
        <v>20.602030051044188</v>
      </c>
      <c r="E293" s="86">
        <v>25.54895730225978</v>
      </c>
      <c r="F293" s="88">
        <v>59.903700226023929</v>
      </c>
      <c r="G293" s="86">
        <v>8.8772053825009731</v>
      </c>
      <c r="H293" s="88">
        <v>17.463389283616131</v>
      </c>
      <c r="I293" s="86">
        <v>60.34289034453554</v>
      </c>
      <c r="J293" s="86">
        <v>20.871602780789935</v>
      </c>
      <c r="K293" s="86">
        <v>25.372839279867364</v>
      </c>
      <c r="L293" s="88">
        <v>42.536538086086814</v>
      </c>
      <c r="M293" s="86">
        <v>5.386546257350969</v>
      </c>
      <c r="N293" s="86">
        <v>12.407384523791736</v>
      </c>
      <c r="O293" s="86">
        <v>0.68691648213324497</v>
      </c>
      <c r="P293" s="86">
        <v>0</v>
      </c>
    </row>
    <row r="294" spans="2:16" x14ac:dyDescent="0.3">
      <c r="B294" s="292"/>
      <c r="C294" s="9" t="s">
        <v>220</v>
      </c>
      <c r="D294" s="86">
        <v>23.299315072438858</v>
      </c>
      <c r="E294" s="86">
        <v>29.850526019184187</v>
      </c>
      <c r="F294" s="88">
        <v>59.45707002389419</v>
      </c>
      <c r="G294" s="86">
        <v>9.1182003228571897</v>
      </c>
      <c r="H294" s="88">
        <v>19.65968457870045</v>
      </c>
      <c r="I294" s="86">
        <v>59.320391509741007</v>
      </c>
      <c r="J294" s="86">
        <v>19.235165748194969</v>
      </c>
      <c r="K294" s="86">
        <v>27.555507190401368</v>
      </c>
      <c r="L294" s="88">
        <v>36.652407633866673</v>
      </c>
      <c r="M294" s="86">
        <v>8.2815788313665397</v>
      </c>
      <c r="N294" s="86">
        <v>7.0315400505880383</v>
      </c>
      <c r="O294" s="86">
        <v>0.5386130187658914</v>
      </c>
      <c r="P294" s="86">
        <v>0</v>
      </c>
    </row>
    <row r="295" spans="2:16" x14ac:dyDescent="0.3">
      <c r="B295" s="295"/>
      <c r="C295" s="9" t="s">
        <v>221</v>
      </c>
      <c r="D295" s="90">
        <v>31.287791672815292</v>
      </c>
      <c r="E295" s="90">
        <v>32.110502712673224</v>
      </c>
      <c r="F295" s="91">
        <v>55.180793649490489</v>
      </c>
      <c r="G295" s="90">
        <v>5.8909827749790713</v>
      </c>
      <c r="H295" s="91">
        <v>20.877861370419755</v>
      </c>
      <c r="I295" s="90">
        <v>60.172448325728766</v>
      </c>
      <c r="J295" s="90">
        <v>14.590509825057232</v>
      </c>
      <c r="K295" s="90">
        <v>24.731067153104796</v>
      </c>
      <c r="L295" s="91">
        <v>36.238427270683573</v>
      </c>
      <c r="M295" s="90">
        <v>6.4730738643339363</v>
      </c>
      <c r="N295" s="90">
        <v>9.6347668074057466</v>
      </c>
      <c r="O295" s="90">
        <v>2.6466193447317083</v>
      </c>
      <c r="P295" s="90">
        <v>0.16515522857509124</v>
      </c>
    </row>
    <row r="296" spans="2:16" ht="16.5" customHeight="1" x14ac:dyDescent="0.3">
      <c r="B296" s="291" t="s">
        <v>222</v>
      </c>
      <c r="C296" s="13" t="s">
        <v>226</v>
      </c>
      <c r="D296" s="80">
        <v>30.535397060695431</v>
      </c>
      <c r="E296" s="80">
        <v>27.135053216679577</v>
      </c>
      <c r="F296" s="80">
        <v>56.59814062937869</v>
      </c>
      <c r="G296" s="80">
        <v>14.630047776036703</v>
      </c>
      <c r="H296" s="80">
        <v>20.97405476205634</v>
      </c>
      <c r="I296" s="80">
        <v>48.138160765221528</v>
      </c>
      <c r="J296" s="80">
        <v>21.536436264917093</v>
      </c>
      <c r="K296" s="80">
        <v>23.704925618826696</v>
      </c>
      <c r="L296" s="80">
        <v>40.446495187864123</v>
      </c>
      <c r="M296" s="80">
        <v>7.2705732612358105</v>
      </c>
      <c r="N296" s="80">
        <v>7.0962305684378819</v>
      </c>
      <c r="O296" s="80">
        <v>1.8524397409945099</v>
      </c>
      <c r="P296" s="80">
        <v>8.2045147655591885E-2</v>
      </c>
    </row>
    <row r="297" spans="2:16" x14ac:dyDescent="0.3">
      <c r="B297" s="294"/>
      <c r="C297" s="9" t="s">
        <v>227</v>
      </c>
      <c r="D297" s="79">
        <v>26.299788228073833</v>
      </c>
      <c r="E297" s="79">
        <v>26.658135603770567</v>
      </c>
      <c r="F297" s="79">
        <v>59.047445661068785</v>
      </c>
      <c r="G297" s="79">
        <v>13.22075712018726</v>
      </c>
      <c r="H297" s="79">
        <v>19.361059147942015</v>
      </c>
      <c r="I297" s="79">
        <v>51.811441844097473</v>
      </c>
      <c r="J297" s="79">
        <v>20.16839321298287</v>
      </c>
      <c r="K297" s="79">
        <v>22.794424707995773</v>
      </c>
      <c r="L297" s="79">
        <v>42.693524617008791</v>
      </c>
      <c r="M297" s="79">
        <v>9.4772642023038554</v>
      </c>
      <c r="N297" s="79">
        <v>7.6639197620316013</v>
      </c>
      <c r="O297" s="79">
        <v>0.7345118793915506</v>
      </c>
      <c r="P297" s="79">
        <v>6.9334013145483916E-2</v>
      </c>
    </row>
    <row r="298" spans="2:16" x14ac:dyDescent="0.3">
      <c r="B298" s="292"/>
      <c r="C298" s="9" t="s">
        <v>228</v>
      </c>
      <c r="D298" s="79">
        <v>26.336625494735742</v>
      </c>
      <c r="E298" s="79">
        <v>26.084377640248572</v>
      </c>
      <c r="F298" s="79">
        <v>60.432796380596855</v>
      </c>
      <c r="G298" s="79">
        <v>12.369655437858803</v>
      </c>
      <c r="H298" s="79">
        <v>20.757213995381214</v>
      </c>
      <c r="I298" s="79">
        <v>53.250267158306116</v>
      </c>
      <c r="J298" s="79">
        <v>20.013607369554915</v>
      </c>
      <c r="K298" s="79">
        <v>23.914040088623679</v>
      </c>
      <c r="L298" s="79">
        <v>36.375492574455222</v>
      </c>
      <c r="M298" s="79">
        <v>12.22865900682836</v>
      </c>
      <c r="N298" s="79">
        <v>6.6761342988284778</v>
      </c>
      <c r="O298" s="79">
        <v>1.4785829467523075</v>
      </c>
      <c r="P298" s="79">
        <v>8.2547607829102421E-2</v>
      </c>
    </row>
    <row r="299" spans="2:16" x14ac:dyDescent="0.3">
      <c r="B299" s="295"/>
      <c r="C299" s="12" t="s">
        <v>229</v>
      </c>
      <c r="D299" s="81">
        <v>26.063572117965634</v>
      </c>
      <c r="E299" s="81">
        <v>27.113816754690045</v>
      </c>
      <c r="F299" s="81">
        <v>59.595196122207774</v>
      </c>
      <c r="G299" s="81">
        <v>10.826526345986531</v>
      </c>
      <c r="H299" s="81">
        <v>18.635543330153897</v>
      </c>
      <c r="I299" s="81">
        <v>55.104038370333122</v>
      </c>
      <c r="J299" s="81">
        <v>21.299554611338067</v>
      </c>
      <c r="K299" s="81">
        <v>26.799817261957475</v>
      </c>
      <c r="L299" s="81">
        <v>34.479251201016524</v>
      </c>
      <c r="M299" s="81">
        <v>10.935424662280131</v>
      </c>
      <c r="N299" s="81">
        <v>8.5158538628845566</v>
      </c>
      <c r="O299" s="81">
        <v>0.63140535918557616</v>
      </c>
      <c r="P299" s="81">
        <v>0</v>
      </c>
    </row>
    <row r="300" spans="2:16" x14ac:dyDescent="0.3">
      <c r="B300" s="296" t="s">
        <v>199</v>
      </c>
      <c r="C300" s="13" t="s">
        <v>192</v>
      </c>
      <c r="D300" s="80">
        <v>27.397830025960534</v>
      </c>
      <c r="E300" s="80">
        <v>27.292818740836321</v>
      </c>
      <c r="F300" s="80">
        <v>59.36812666706841</v>
      </c>
      <c r="G300" s="80">
        <v>13.356319418975406</v>
      </c>
      <c r="H300" s="80">
        <v>19.850494028791438</v>
      </c>
      <c r="I300" s="80">
        <v>51.261152099510184</v>
      </c>
      <c r="J300" s="80">
        <v>21.488400155367298</v>
      </c>
      <c r="K300" s="80">
        <v>22.875561467011813</v>
      </c>
      <c r="L300" s="80">
        <v>37.852239945929782</v>
      </c>
      <c r="M300" s="80">
        <v>10.485382920126636</v>
      </c>
      <c r="N300" s="80">
        <v>7.6340186158532326</v>
      </c>
      <c r="O300" s="80">
        <v>1.1012734831556648</v>
      </c>
      <c r="P300" s="80">
        <v>3.6382431409705943E-2</v>
      </c>
    </row>
    <row r="301" spans="2:16" ht="16.5" customHeight="1" x14ac:dyDescent="0.3">
      <c r="B301" s="292"/>
      <c r="C301" s="9" t="s">
        <v>200</v>
      </c>
      <c r="D301" s="79">
        <v>26.669964312848922</v>
      </c>
      <c r="E301" s="79">
        <v>20.626339275350599</v>
      </c>
      <c r="F301" s="79">
        <v>61.048153928481696</v>
      </c>
      <c r="G301" s="79">
        <v>11.810168736537731</v>
      </c>
      <c r="H301" s="79">
        <v>19.952592955919389</v>
      </c>
      <c r="I301" s="79">
        <v>58.94375592355258</v>
      </c>
      <c r="J301" s="79">
        <v>20.264663909997946</v>
      </c>
      <c r="K301" s="79">
        <v>23.201487616435507</v>
      </c>
      <c r="L301" s="79">
        <v>37.07412280246686</v>
      </c>
      <c r="M301" s="79">
        <v>8.5735119436899438</v>
      </c>
      <c r="N301" s="79">
        <v>10.277198421186684</v>
      </c>
      <c r="O301" s="79">
        <v>1.5580401735320368</v>
      </c>
      <c r="P301" s="79">
        <v>0</v>
      </c>
    </row>
    <row r="302" spans="2:16" ht="16.5" customHeight="1" x14ac:dyDescent="0.3">
      <c r="B302" s="292"/>
      <c r="C302" s="9" t="s">
        <v>201</v>
      </c>
      <c r="D302" s="79">
        <v>26.233548869276689</v>
      </c>
      <c r="E302" s="79">
        <v>25.279192225176722</v>
      </c>
      <c r="F302" s="79">
        <v>53.626386016495161</v>
      </c>
      <c r="G302" s="79">
        <v>12.227873054674555</v>
      </c>
      <c r="H302" s="79">
        <v>23.057128194664333</v>
      </c>
      <c r="I302" s="79">
        <v>54.699563065306087</v>
      </c>
      <c r="J302" s="79">
        <v>19.952120189830953</v>
      </c>
      <c r="K302" s="79">
        <v>26.74510180052086</v>
      </c>
      <c r="L302" s="79">
        <v>41.385781662435541</v>
      </c>
      <c r="M302" s="79">
        <v>9.5741668090223957</v>
      </c>
      <c r="N302" s="79">
        <v>5.656102097949649</v>
      </c>
      <c r="O302" s="79">
        <v>1.3911400017489535</v>
      </c>
      <c r="P302" s="79">
        <v>0.17189601289763215</v>
      </c>
    </row>
    <row r="303" spans="2:16" x14ac:dyDescent="0.3">
      <c r="B303" s="292"/>
      <c r="C303" s="9" t="s">
        <v>202</v>
      </c>
      <c r="D303" s="79">
        <v>28.024908709058149</v>
      </c>
      <c r="E303" s="79">
        <v>30.106731931777841</v>
      </c>
      <c r="F303" s="79">
        <v>59.410951449609826</v>
      </c>
      <c r="G303" s="79">
        <v>12.32169092843781</v>
      </c>
      <c r="H303" s="79">
        <v>20.460273066901198</v>
      </c>
      <c r="I303" s="79">
        <v>49.654199734909824</v>
      </c>
      <c r="J303" s="79">
        <v>17.693101151056258</v>
      </c>
      <c r="K303" s="79">
        <v>25.948988111030197</v>
      </c>
      <c r="L303" s="79">
        <v>38.809384879228915</v>
      </c>
      <c r="M303" s="79">
        <v>9.4440544535978148</v>
      </c>
      <c r="N303" s="79">
        <v>6.628716845871323</v>
      </c>
      <c r="O303" s="79">
        <v>1.4969987385207459</v>
      </c>
      <c r="P303" s="79">
        <v>0</v>
      </c>
    </row>
    <row r="304" spans="2:16" x14ac:dyDescent="0.3">
      <c r="B304" s="295"/>
      <c r="C304" s="12" t="s">
        <v>203</v>
      </c>
      <c r="D304" s="81">
        <v>27.240267548039341</v>
      </c>
      <c r="E304" s="81">
        <v>26.041967448602708</v>
      </c>
      <c r="F304" s="81">
        <v>59.558322547076244</v>
      </c>
      <c r="G304" s="81">
        <v>11.840115559674455</v>
      </c>
      <c r="H304" s="81">
        <v>18.218645768412571</v>
      </c>
      <c r="I304" s="81">
        <v>52.683456034647151</v>
      </c>
      <c r="J304" s="81">
        <v>20.618212777137636</v>
      </c>
      <c r="K304" s="81">
        <v>26.231852632040916</v>
      </c>
      <c r="L304" s="81">
        <v>39.424492683305076</v>
      </c>
      <c r="M304" s="81">
        <v>9.1271195942066701</v>
      </c>
      <c r="N304" s="81">
        <v>8.0324896247398421</v>
      </c>
      <c r="O304" s="81">
        <v>0.89916935414476529</v>
      </c>
      <c r="P304" s="81">
        <v>8.3888427973122209E-2</v>
      </c>
    </row>
    <row r="305" spans="2:16" x14ac:dyDescent="0.3">
      <c r="B305" s="291" t="s">
        <v>204</v>
      </c>
      <c r="C305" s="13" t="s">
        <v>192</v>
      </c>
      <c r="D305" s="80">
        <v>27.397830025960534</v>
      </c>
      <c r="E305" s="80">
        <v>27.292818740836321</v>
      </c>
      <c r="F305" s="80">
        <v>59.36812666706841</v>
      </c>
      <c r="G305" s="80">
        <v>13.356319418975406</v>
      </c>
      <c r="H305" s="80">
        <v>19.850494028791438</v>
      </c>
      <c r="I305" s="80">
        <v>51.261152099510184</v>
      </c>
      <c r="J305" s="80">
        <v>21.488400155367298</v>
      </c>
      <c r="K305" s="80">
        <v>22.875561467011813</v>
      </c>
      <c r="L305" s="80">
        <v>37.852239945929782</v>
      </c>
      <c r="M305" s="80">
        <v>10.485382920126636</v>
      </c>
      <c r="N305" s="80">
        <v>7.6340186158532326</v>
      </c>
      <c r="O305" s="80">
        <v>1.1012734831556648</v>
      </c>
      <c r="P305" s="80">
        <v>3.6382431409705943E-2</v>
      </c>
    </row>
    <row r="306" spans="2:16" x14ac:dyDescent="0.3">
      <c r="B306" s="295"/>
      <c r="C306" s="12" t="s">
        <v>193</v>
      </c>
      <c r="D306" s="81">
        <v>27.109997845668289</v>
      </c>
      <c r="E306" s="81">
        <v>26.152067807352651</v>
      </c>
      <c r="F306" s="81">
        <v>58.333069537038526</v>
      </c>
      <c r="G306" s="81">
        <v>12.012142459980389</v>
      </c>
      <c r="H306" s="81">
        <v>19.856912098784868</v>
      </c>
      <c r="I306" s="81">
        <v>53.114510035328713</v>
      </c>
      <c r="J306" s="81">
        <v>19.905067909044249</v>
      </c>
      <c r="K306" s="81">
        <v>26.036486127222215</v>
      </c>
      <c r="L306" s="81">
        <v>39.549968581940171</v>
      </c>
      <c r="M306" s="81">
        <v>9.2376772198733175</v>
      </c>
      <c r="N306" s="81">
        <v>7.4365776799950654</v>
      </c>
      <c r="O306" s="81">
        <v>1.1744429723157743</v>
      </c>
      <c r="P306" s="81">
        <v>8.1079725457655571E-2</v>
      </c>
    </row>
    <row r="307" spans="2:16" x14ac:dyDescent="0.3">
      <c r="B307" s="291" t="s">
        <v>209</v>
      </c>
      <c r="C307" s="13" t="s">
        <v>205</v>
      </c>
      <c r="D307" s="80">
        <v>28.178803799667111</v>
      </c>
      <c r="E307" s="80">
        <v>24.374056202664985</v>
      </c>
      <c r="F307" s="80">
        <v>58.980548575901167</v>
      </c>
      <c r="G307" s="80">
        <v>11.493108485784269</v>
      </c>
      <c r="H307" s="80">
        <v>18.001032304385916</v>
      </c>
      <c r="I307" s="80">
        <v>50.824945250779294</v>
      </c>
      <c r="J307" s="80">
        <v>23.214573398198631</v>
      </c>
      <c r="K307" s="80">
        <v>21.888533730311408</v>
      </c>
      <c r="L307" s="80">
        <v>43.425216402246711</v>
      </c>
      <c r="M307" s="80">
        <v>9.6076163130034704</v>
      </c>
      <c r="N307" s="80">
        <v>8.5131948675050548</v>
      </c>
      <c r="O307" s="80">
        <v>1.3817902130063193</v>
      </c>
      <c r="P307" s="80">
        <v>0.11658045654578016</v>
      </c>
    </row>
    <row r="308" spans="2:16" x14ac:dyDescent="0.3">
      <c r="B308" s="292"/>
      <c r="C308" s="9" t="s">
        <v>206</v>
      </c>
      <c r="D308" s="79">
        <v>24.466536736947589</v>
      </c>
      <c r="E308" s="79">
        <v>27.220651006511016</v>
      </c>
      <c r="F308" s="79">
        <v>53.832224520113257</v>
      </c>
      <c r="G308" s="79">
        <v>10.037683876611961</v>
      </c>
      <c r="H308" s="79">
        <v>20.513683088037393</v>
      </c>
      <c r="I308" s="79">
        <v>55.197835595214507</v>
      </c>
      <c r="J308" s="79">
        <v>19.410662834160313</v>
      </c>
      <c r="K308" s="79">
        <v>28.024085253892988</v>
      </c>
      <c r="L308" s="79">
        <v>41.660067549362431</v>
      </c>
      <c r="M308" s="79">
        <v>10.19360012287202</v>
      </c>
      <c r="N308" s="79">
        <v>7.4541015559336881</v>
      </c>
      <c r="O308" s="79">
        <v>1.8908152549971924</v>
      </c>
      <c r="P308" s="79">
        <v>9.805260534526046E-2</v>
      </c>
    </row>
    <row r="309" spans="2:16" x14ac:dyDescent="0.3">
      <c r="B309" s="292"/>
      <c r="C309" s="9" t="s">
        <v>207</v>
      </c>
      <c r="D309" s="79">
        <v>27.194446168214885</v>
      </c>
      <c r="E309" s="79">
        <v>26.663508512670319</v>
      </c>
      <c r="F309" s="79">
        <v>58.597489730439676</v>
      </c>
      <c r="G309" s="79">
        <v>11.626926929283849</v>
      </c>
      <c r="H309" s="79">
        <v>20.034945800194713</v>
      </c>
      <c r="I309" s="79">
        <v>54.193848866209024</v>
      </c>
      <c r="J309" s="79">
        <v>21.470181958417381</v>
      </c>
      <c r="K309" s="79">
        <v>25.314828387792392</v>
      </c>
      <c r="L309" s="79">
        <v>37.681747316768153</v>
      </c>
      <c r="M309" s="79">
        <v>9.3264978655407038</v>
      </c>
      <c r="N309" s="79">
        <v>6.9037850421242011</v>
      </c>
      <c r="O309" s="79">
        <v>0.93333765730387341</v>
      </c>
      <c r="P309" s="79">
        <v>5.8455765040323578E-2</v>
      </c>
    </row>
    <row r="310" spans="2:16" x14ac:dyDescent="0.3">
      <c r="B310" s="293"/>
      <c r="C310" s="25" t="s">
        <v>208</v>
      </c>
      <c r="D310" s="82">
        <v>28.576923597422084</v>
      </c>
      <c r="E310" s="82">
        <v>27.80572789235616</v>
      </c>
      <c r="F310" s="82">
        <v>62.205691258252315</v>
      </c>
      <c r="G310" s="82">
        <v>16.028048693780551</v>
      </c>
      <c r="H310" s="82">
        <v>20.219820857453055</v>
      </c>
      <c r="I310" s="82">
        <v>48.983552588970802</v>
      </c>
      <c r="J310" s="82">
        <v>19.723812253349248</v>
      </c>
      <c r="K310" s="82">
        <v>22.381105495971028</v>
      </c>
      <c r="L310" s="82">
        <v>35.218098344548174</v>
      </c>
      <c r="M310" s="82">
        <v>10.436123713576713</v>
      </c>
      <c r="N310" s="82">
        <v>7.6892523994926378</v>
      </c>
      <c r="O310" s="82">
        <v>0.73184290482695369</v>
      </c>
      <c r="P310" s="82">
        <v>0</v>
      </c>
    </row>
    <row r="311" spans="2:16" x14ac:dyDescent="0.3">
      <c r="B311" s="60"/>
      <c r="C311" s="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</row>
    <row r="312" spans="2:16" x14ac:dyDescent="0.3">
      <c r="B312" s="60"/>
      <c r="C312" s="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</row>
  </sheetData>
  <mergeCells count="71">
    <mergeCell ref="B300:B304"/>
    <mergeCell ref="B305:B306"/>
    <mergeCell ref="B307:B310"/>
    <mergeCell ref="B223:B224"/>
    <mergeCell ref="B225:B228"/>
    <mergeCell ref="B264:B265"/>
    <mergeCell ref="B266:B269"/>
    <mergeCell ref="B276:B277"/>
    <mergeCell ref="B278:B283"/>
    <mergeCell ref="B284:B295"/>
    <mergeCell ref="B296:B299"/>
    <mergeCell ref="E272:S272"/>
    <mergeCell ref="B274:C274"/>
    <mergeCell ref="B275:C275"/>
    <mergeCell ref="B194:B195"/>
    <mergeCell ref="B196:B201"/>
    <mergeCell ref="B202:B213"/>
    <mergeCell ref="B214:B217"/>
    <mergeCell ref="B218:B222"/>
    <mergeCell ref="E231:S231"/>
    <mergeCell ref="B233:C233"/>
    <mergeCell ref="B234:C234"/>
    <mergeCell ref="B235:B236"/>
    <mergeCell ref="B237:B242"/>
    <mergeCell ref="B243:B254"/>
    <mergeCell ref="B255:B258"/>
    <mergeCell ref="B259:B263"/>
    <mergeCell ref="F189:U189"/>
    <mergeCell ref="B191:C192"/>
    <mergeCell ref="D191:J191"/>
    <mergeCell ref="K191:P191"/>
    <mergeCell ref="B193:C193"/>
    <mergeCell ref="B183:B186"/>
    <mergeCell ref="F147:U147"/>
    <mergeCell ref="B149:C150"/>
    <mergeCell ref="D149:J149"/>
    <mergeCell ref="K149:P149"/>
    <mergeCell ref="B151:C151"/>
    <mergeCell ref="B152:B153"/>
    <mergeCell ref="B154:B159"/>
    <mergeCell ref="B160:B171"/>
    <mergeCell ref="B172:B175"/>
    <mergeCell ref="B176:B180"/>
    <mergeCell ref="B181:B182"/>
    <mergeCell ref="B141:B144"/>
    <mergeCell ref="B98:B99"/>
    <mergeCell ref="B100:B103"/>
    <mergeCell ref="B108:C108"/>
    <mergeCell ref="B109:C109"/>
    <mergeCell ref="B110:B111"/>
    <mergeCell ref="B112:B117"/>
    <mergeCell ref="B118:B129"/>
    <mergeCell ref="B130:B133"/>
    <mergeCell ref="B134:B138"/>
    <mergeCell ref="B139:B140"/>
    <mergeCell ref="B93:B97"/>
    <mergeCell ref="B48:B51"/>
    <mergeCell ref="B52:B56"/>
    <mergeCell ref="B57:B58"/>
    <mergeCell ref="B59:B62"/>
    <mergeCell ref="B67:C67"/>
    <mergeCell ref="B68:C68"/>
    <mergeCell ref="B69:B70"/>
    <mergeCell ref="B71:B76"/>
    <mergeCell ref="B77:B88"/>
    <mergeCell ref="B89:B92"/>
    <mergeCell ref="B36:B47"/>
    <mergeCell ref="B26:C26"/>
    <mergeCell ref="B27:C27"/>
    <mergeCell ref="B28:B29"/>
    <mergeCell ref="B30:B35"/>
  </mergeCells>
  <phoneticPr fontId="2" type="noConversion"/>
  <pageMargins left="0.70866141732283472" right="0.70866141732283472" top="1.1417322834645669" bottom="0.39370078740157483" header="0.31496062992125984" footer="0.31496062992125984"/>
  <pageSetup paperSize="9" orientation="portrait" r:id="rId1"/>
  <headerFooter>
    <oddHeader>&amp;L&amp;P&amp;RKorea Fashion Index  2017상반기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652B4-71EE-4A43-8B73-6B913FC00673}">
  <sheetPr codeName="Sheet22"/>
  <dimension ref="B2:AY327"/>
  <sheetViews>
    <sheetView showGridLines="0" zoomScaleNormal="100" workbookViewId="0">
      <selection activeCell="B4" activeCellId="1" sqref="O7:AA7 B4:N4"/>
    </sheetView>
  </sheetViews>
  <sheetFormatPr defaultColWidth="9" defaultRowHeight="16.5" x14ac:dyDescent="0.3"/>
  <cols>
    <col min="1" max="1" width="3.625" style="1" customWidth="1"/>
    <col min="2" max="2" width="14.375" style="1" customWidth="1"/>
    <col min="3" max="3" width="13.125" style="1" customWidth="1"/>
    <col min="4" max="16" width="12.25" style="1" customWidth="1"/>
    <col min="17" max="20" width="10.375" style="1" customWidth="1"/>
    <col min="21" max="16384" width="9" style="1"/>
  </cols>
  <sheetData>
    <row r="2" spans="2:8" ht="17.25" x14ac:dyDescent="0.3">
      <c r="B2" s="33" t="s">
        <v>104</v>
      </c>
    </row>
    <row r="4" spans="2:8" ht="14.25" customHeight="1" x14ac:dyDescent="0.3">
      <c r="B4" s="1" t="s">
        <v>524</v>
      </c>
    </row>
    <row r="5" spans="2:8" ht="7.5" customHeight="1" x14ac:dyDescent="0.3"/>
    <row r="6" spans="2:8" x14ac:dyDescent="0.3">
      <c r="B6" s="216"/>
      <c r="C6" s="217" t="s">
        <v>21</v>
      </c>
      <c r="D6" s="218" t="s">
        <v>133</v>
      </c>
      <c r="E6" s="219" t="s">
        <v>13</v>
      </c>
      <c r="F6" s="220" t="s">
        <v>20</v>
      </c>
    </row>
    <row r="7" spans="2:8" x14ac:dyDescent="0.3">
      <c r="B7" s="221"/>
      <c r="C7" s="222"/>
      <c r="D7" s="223" t="s">
        <v>134</v>
      </c>
      <c r="E7" s="224" t="s">
        <v>55</v>
      </c>
      <c r="F7" s="225" t="s">
        <v>525</v>
      </c>
    </row>
    <row r="8" spans="2:8" x14ac:dyDescent="0.3">
      <c r="B8" s="221"/>
      <c r="C8" s="215" t="s">
        <v>24</v>
      </c>
      <c r="D8" s="223" t="s">
        <v>25</v>
      </c>
      <c r="E8" s="224" t="s">
        <v>26</v>
      </c>
      <c r="F8" s="225" t="s">
        <v>517</v>
      </c>
    </row>
    <row r="9" spans="2:8" ht="24" customHeight="1" x14ac:dyDescent="0.3">
      <c r="B9" s="35" t="str">
        <f>RIGHT(B2,LEN(B2)-4)&amp;" 전체"</f>
        <v>가방/지갑 전체</v>
      </c>
      <c r="C9" s="36"/>
      <c r="D9" s="37"/>
      <c r="E9" s="37"/>
      <c r="F9" s="190">
        <f>SUM(F10:F15)</f>
        <v>68326.404084220267</v>
      </c>
    </row>
    <row r="10" spans="2:8" x14ac:dyDescent="0.3">
      <c r="B10" s="34" t="s">
        <v>295</v>
      </c>
      <c r="C10" s="117">
        <v>13.81816038992277</v>
      </c>
      <c r="D10" s="101">
        <v>1.1118064389822546</v>
      </c>
      <c r="E10" s="97">
        <v>166951.04577125725</v>
      </c>
      <c r="F10" s="191">
        <v>5892.7239679921568</v>
      </c>
    </row>
    <row r="11" spans="2:8" x14ac:dyDescent="0.3">
      <c r="B11" s="34" t="s">
        <v>256</v>
      </c>
      <c r="C11" s="118">
        <v>48.859648530074367</v>
      </c>
      <c r="D11" s="102">
        <v>1.1553053623913661</v>
      </c>
      <c r="E11" s="98">
        <v>287878.1525018994</v>
      </c>
      <c r="F11" s="191">
        <v>35928.22570269859</v>
      </c>
    </row>
    <row r="12" spans="2:8" x14ac:dyDescent="0.3">
      <c r="B12" s="34" t="s">
        <v>248</v>
      </c>
      <c r="C12" s="117">
        <v>22.242944422737011</v>
      </c>
      <c r="D12" s="101">
        <v>1.064409530812604</v>
      </c>
      <c r="E12" s="97">
        <v>208271.80347901702</v>
      </c>
      <c r="F12" s="191">
        <v>11833.125736982021</v>
      </c>
    </row>
    <row r="13" spans="2:8" x14ac:dyDescent="0.3">
      <c r="B13" s="34" t="s">
        <v>258</v>
      </c>
      <c r="C13" s="117">
        <v>21.097439978013952</v>
      </c>
      <c r="D13" s="101">
        <v>1.0923665035167276</v>
      </c>
      <c r="E13" s="97">
        <v>145108.04153837365</v>
      </c>
      <c r="F13" s="191">
        <v>7819.841771401223</v>
      </c>
    </row>
    <row r="14" spans="2:8" x14ac:dyDescent="0.3">
      <c r="B14" s="10" t="s">
        <v>249</v>
      </c>
      <c r="C14" s="117">
        <v>14.950233421952133</v>
      </c>
      <c r="D14" s="101">
        <v>1.0434416554930408</v>
      </c>
      <c r="E14" s="97">
        <v>169340.52698434354</v>
      </c>
      <c r="F14" s="191">
        <v>6466.7430543196879</v>
      </c>
    </row>
    <row r="15" spans="2:8" x14ac:dyDescent="0.3">
      <c r="B15" s="111" t="s">
        <v>12</v>
      </c>
      <c r="C15" s="121">
        <v>1.1794766353588029</v>
      </c>
      <c r="D15" s="104">
        <v>1.2945860177377682</v>
      </c>
      <c r="E15" s="100">
        <v>128036.24964064968</v>
      </c>
      <c r="F15" s="193">
        <v>385.7438508265974</v>
      </c>
    </row>
    <row r="16" spans="2:8" x14ac:dyDescent="0.3">
      <c r="B16" s="9"/>
      <c r="C16" s="9"/>
      <c r="D16" s="9"/>
      <c r="E16" s="9"/>
      <c r="F16" s="9"/>
      <c r="G16" s="9"/>
      <c r="H16" s="9"/>
    </row>
    <row r="17" spans="2:17" x14ac:dyDescent="0.3">
      <c r="B17" s="9"/>
      <c r="C17" s="9"/>
      <c r="D17" s="9"/>
      <c r="E17" s="9"/>
      <c r="F17" s="9"/>
      <c r="G17" s="9"/>
      <c r="H17" s="9"/>
    </row>
    <row r="18" spans="2:17" ht="18.75" customHeight="1" x14ac:dyDescent="0.3">
      <c r="B18" s="1" t="s">
        <v>132</v>
      </c>
    </row>
    <row r="19" spans="2:17" ht="13.5" customHeight="1" x14ac:dyDescent="0.3">
      <c r="I19" s="30" t="s">
        <v>157</v>
      </c>
      <c r="N19" s="30"/>
      <c r="O19" s="30"/>
      <c r="Q19" s="30"/>
    </row>
    <row r="20" spans="2:17" ht="28.5" customHeight="1" x14ac:dyDescent="0.3">
      <c r="B20" s="305"/>
      <c r="C20" s="306"/>
      <c r="D20" s="226" t="s">
        <v>296</v>
      </c>
      <c r="E20" s="226" t="s">
        <v>257</v>
      </c>
      <c r="F20" s="226" t="s">
        <v>248</v>
      </c>
      <c r="G20" s="226" t="s">
        <v>259</v>
      </c>
      <c r="H20" s="226" t="s">
        <v>249</v>
      </c>
      <c r="I20" s="226" t="s">
        <v>12</v>
      </c>
      <c r="J20" s="106"/>
      <c r="K20" s="106"/>
      <c r="L20" s="106"/>
      <c r="M20" s="106"/>
      <c r="N20" s="107"/>
      <c r="O20" s="107"/>
      <c r="P20" s="107"/>
      <c r="Q20" s="107"/>
    </row>
    <row r="21" spans="2:17" x14ac:dyDescent="0.3">
      <c r="B21" s="292" t="s">
        <v>20</v>
      </c>
      <c r="C21" s="292"/>
      <c r="D21" s="86">
        <v>13.81816038992277</v>
      </c>
      <c r="E21" s="86">
        <v>48.859648530074367</v>
      </c>
      <c r="F21" s="88">
        <v>22.242944422737011</v>
      </c>
      <c r="G21" s="88">
        <v>21.097439978013952</v>
      </c>
      <c r="H21" s="86">
        <v>14.950233421952133</v>
      </c>
      <c r="I21" s="88">
        <v>1.1794766353588029</v>
      </c>
      <c r="J21" s="46"/>
      <c r="K21" s="46"/>
      <c r="L21" s="46"/>
      <c r="M21" s="105"/>
      <c r="N21" s="46"/>
      <c r="O21" s="46"/>
      <c r="P21" s="46"/>
      <c r="Q21" s="46"/>
    </row>
    <row r="22" spans="2:17" x14ac:dyDescent="0.3">
      <c r="B22" s="296" t="s">
        <v>5</v>
      </c>
      <c r="C22" s="13" t="s">
        <v>0</v>
      </c>
      <c r="D22" s="84">
        <v>18.149408494437548</v>
      </c>
      <c r="E22" s="84">
        <v>14.578664303686963</v>
      </c>
      <c r="F22" s="89">
        <v>11.271847802134186</v>
      </c>
      <c r="G22" s="89">
        <v>48.627688683002312</v>
      </c>
      <c r="H22" s="84">
        <v>34.565218898131882</v>
      </c>
      <c r="I22" s="89">
        <v>0.91287334946529941</v>
      </c>
      <c r="J22" s="46"/>
      <c r="K22" s="46"/>
      <c r="L22" s="46"/>
      <c r="M22" s="105"/>
      <c r="N22" s="46"/>
      <c r="O22" s="46"/>
      <c r="P22" s="46"/>
      <c r="Q22" s="46"/>
    </row>
    <row r="23" spans="2:17" x14ac:dyDescent="0.3">
      <c r="B23" s="295"/>
      <c r="C23" s="12" t="s">
        <v>1</v>
      </c>
      <c r="D23" s="90">
        <v>11.311110300273732</v>
      </c>
      <c r="E23" s="90">
        <v>68.702461156864075</v>
      </c>
      <c r="F23" s="90">
        <v>28.593328446584778</v>
      </c>
      <c r="G23" s="90">
        <v>5.1621458506795248</v>
      </c>
      <c r="H23" s="90">
        <v>3.5965196863518711</v>
      </c>
      <c r="I23" s="90">
        <v>1.3337942305811508</v>
      </c>
      <c r="J23" s="46"/>
      <c r="K23" s="46"/>
      <c r="L23" s="46"/>
      <c r="M23" s="46"/>
      <c r="N23" s="46"/>
      <c r="O23" s="46"/>
      <c r="P23" s="46"/>
      <c r="Q23" s="46"/>
    </row>
    <row r="24" spans="2:17" x14ac:dyDescent="0.3">
      <c r="B24" s="296" t="s">
        <v>4</v>
      </c>
      <c r="C24" s="9" t="s">
        <v>175</v>
      </c>
      <c r="D24" s="86">
        <v>8.7761254924659848</v>
      </c>
      <c r="E24" s="86">
        <v>48.981062870845484</v>
      </c>
      <c r="F24" s="88">
        <v>24.929274713418078</v>
      </c>
      <c r="G24" s="88">
        <v>14.814307507804763</v>
      </c>
      <c r="H24" s="86">
        <v>15.816306684691767</v>
      </c>
      <c r="I24" s="88">
        <v>0</v>
      </c>
      <c r="J24" s="46"/>
      <c r="K24" s="46"/>
      <c r="L24" s="46"/>
      <c r="M24" s="105"/>
      <c r="N24" s="46"/>
      <c r="O24" s="46"/>
      <c r="P24" s="46"/>
      <c r="Q24" s="46"/>
    </row>
    <row r="25" spans="2:17" x14ac:dyDescent="0.3">
      <c r="B25" s="292"/>
      <c r="C25" s="9" t="s">
        <v>176</v>
      </c>
      <c r="D25" s="86">
        <v>13.041423214620062</v>
      </c>
      <c r="E25" s="86">
        <v>52.480052084623566</v>
      </c>
      <c r="F25" s="88">
        <v>25.389919700723755</v>
      </c>
      <c r="G25" s="88">
        <v>22.468052985957986</v>
      </c>
      <c r="H25" s="86">
        <v>13.813699428805915</v>
      </c>
      <c r="I25" s="88">
        <v>0.24710688733043717</v>
      </c>
      <c r="J25" s="46"/>
      <c r="K25" s="46"/>
      <c r="L25" s="46"/>
      <c r="M25" s="105"/>
      <c r="N25" s="46"/>
      <c r="O25" s="46"/>
      <c r="P25" s="46"/>
      <c r="Q25" s="46"/>
    </row>
    <row r="26" spans="2:17" x14ac:dyDescent="0.3">
      <c r="B26" s="292"/>
      <c r="C26" s="9" t="s">
        <v>177</v>
      </c>
      <c r="D26" s="86">
        <v>16.531281589354226</v>
      </c>
      <c r="E26" s="86">
        <v>50.41163463995332</v>
      </c>
      <c r="F26" s="88">
        <v>25.952991909365362</v>
      </c>
      <c r="G26" s="88">
        <v>18.719147575794402</v>
      </c>
      <c r="H26" s="86">
        <v>14.789160339494986</v>
      </c>
      <c r="I26" s="88">
        <v>0.5689926079615677</v>
      </c>
      <c r="J26" s="46"/>
      <c r="K26" s="46"/>
      <c r="L26" s="46"/>
      <c r="M26" s="105"/>
      <c r="N26" s="46"/>
      <c r="O26" s="46"/>
      <c r="P26" s="46"/>
      <c r="Q26" s="46"/>
    </row>
    <row r="27" spans="2:17" x14ac:dyDescent="0.3">
      <c r="B27" s="292"/>
      <c r="C27" s="9" t="s">
        <v>178</v>
      </c>
      <c r="D27" s="86">
        <v>13.305804498927429</v>
      </c>
      <c r="E27" s="86">
        <v>47.121208071047128</v>
      </c>
      <c r="F27" s="88">
        <v>22.858324716626154</v>
      </c>
      <c r="G27" s="88">
        <v>24.633405915424767</v>
      </c>
      <c r="H27" s="86">
        <v>12.784347924957917</v>
      </c>
      <c r="I27" s="88">
        <v>2.891697809492344</v>
      </c>
      <c r="J27" s="46"/>
      <c r="K27" s="46"/>
      <c r="L27" s="46"/>
      <c r="M27" s="105"/>
      <c r="N27" s="46"/>
      <c r="O27" s="46"/>
      <c r="P27" s="46"/>
      <c r="Q27" s="46"/>
    </row>
    <row r="28" spans="2:17" x14ac:dyDescent="0.3">
      <c r="B28" s="292"/>
      <c r="C28" s="9" t="s">
        <v>179</v>
      </c>
      <c r="D28" s="86">
        <v>15.030405751449544</v>
      </c>
      <c r="E28" s="86">
        <v>46.193954734128845</v>
      </c>
      <c r="F28" s="88">
        <v>21.409072085417037</v>
      </c>
      <c r="G28" s="88">
        <v>19.393997912451617</v>
      </c>
      <c r="H28" s="86">
        <v>15.468172181831569</v>
      </c>
      <c r="I28" s="88">
        <v>1.3129314533216068</v>
      </c>
      <c r="J28" s="46"/>
      <c r="K28" s="46"/>
      <c r="L28" s="46"/>
      <c r="M28" s="105"/>
      <c r="N28" s="46"/>
      <c r="O28" s="46"/>
      <c r="P28" s="46"/>
      <c r="Q28" s="46"/>
    </row>
    <row r="29" spans="2:17" x14ac:dyDescent="0.3">
      <c r="B29" s="298"/>
      <c r="C29" s="12" t="s">
        <v>180</v>
      </c>
      <c r="D29" s="90">
        <v>13.079300144034237</v>
      </c>
      <c r="E29" s="90">
        <v>48.160713926095191</v>
      </c>
      <c r="F29" s="91">
        <v>12.447102308175049</v>
      </c>
      <c r="G29" s="91">
        <v>21.871211890774472</v>
      </c>
      <c r="H29" s="90">
        <v>18.874259856160837</v>
      </c>
      <c r="I29" s="91">
        <v>1.0624916783045952</v>
      </c>
      <c r="J29" s="46"/>
      <c r="K29" s="46"/>
      <c r="L29" s="46"/>
      <c r="M29" s="105"/>
      <c r="N29" s="46"/>
      <c r="O29" s="46"/>
      <c r="P29" s="46"/>
      <c r="Q29" s="46"/>
    </row>
    <row r="30" spans="2:17" x14ac:dyDescent="0.3">
      <c r="B30" s="292" t="s">
        <v>223</v>
      </c>
      <c r="C30" s="9" t="s">
        <v>210</v>
      </c>
      <c r="D30" s="86">
        <v>8.0428038466873559</v>
      </c>
      <c r="E30" s="86">
        <v>0</v>
      </c>
      <c r="F30" s="88">
        <v>1.4428155126065523</v>
      </c>
      <c r="G30" s="88">
        <v>49.3584824472766</v>
      </c>
      <c r="H30" s="86">
        <v>45.299007866599247</v>
      </c>
      <c r="I30" s="88">
        <v>0</v>
      </c>
      <c r="J30" s="46"/>
      <c r="K30" s="46"/>
      <c r="L30" s="46"/>
      <c r="M30" s="105"/>
      <c r="N30" s="46"/>
      <c r="O30" s="46"/>
      <c r="P30" s="46"/>
      <c r="Q30" s="46"/>
    </row>
    <row r="31" spans="2:17" x14ac:dyDescent="0.3">
      <c r="B31" s="292"/>
      <c r="C31" s="9" t="s">
        <v>211</v>
      </c>
      <c r="D31" s="86">
        <v>17.221726040282874</v>
      </c>
      <c r="E31" s="86">
        <v>12.331786160240235</v>
      </c>
      <c r="F31" s="88">
        <v>11.446984063453673</v>
      </c>
      <c r="G31" s="88">
        <v>55.628509106570981</v>
      </c>
      <c r="H31" s="86">
        <v>35.053732102999575</v>
      </c>
      <c r="I31" s="88">
        <v>0.71750005919021986</v>
      </c>
      <c r="J31" s="46"/>
      <c r="K31" s="46"/>
      <c r="L31" s="46"/>
      <c r="M31" s="105"/>
      <c r="N31" s="46"/>
      <c r="O31" s="46"/>
      <c r="P31" s="46"/>
      <c r="Q31" s="46"/>
    </row>
    <row r="32" spans="2:17" x14ac:dyDescent="0.3">
      <c r="B32" s="292"/>
      <c r="C32" s="9" t="s">
        <v>212</v>
      </c>
      <c r="D32" s="86">
        <v>23.485614314969588</v>
      </c>
      <c r="E32" s="86">
        <v>23.632026188308146</v>
      </c>
      <c r="F32" s="88">
        <v>12.700811156660835</v>
      </c>
      <c r="G32" s="88">
        <v>39.877300938775591</v>
      </c>
      <c r="H32" s="86">
        <v>34.197998962684075</v>
      </c>
      <c r="I32" s="88">
        <v>0.83403224567607204</v>
      </c>
      <c r="J32" s="46"/>
      <c r="K32" s="46"/>
      <c r="L32" s="46"/>
      <c r="M32" s="105"/>
      <c r="N32" s="46"/>
      <c r="O32" s="46"/>
      <c r="P32" s="46"/>
      <c r="Q32" s="46"/>
    </row>
    <row r="33" spans="2:17" x14ac:dyDescent="0.3">
      <c r="B33" s="292"/>
      <c r="C33" s="9" t="s">
        <v>213</v>
      </c>
      <c r="D33" s="86">
        <v>18.278948256760511</v>
      </c>
      <c r="E33" s="86">
        <v>13.558775467564432</v>
      </c>
      <c r="F33" s="88">
        <v>11.638314891022331</v>
      </c>
      <c r="G33" s="88">
        <v>57.547477385525603</v>
      </c>
      <c r="H33" s="86">
        <v>30.402137800528571</v>
      </c>
      <c r="I33" s="88">
        <v>0.95356360800756401</v>
      </c>
      <c r="J33" s="46"/>
      <c r="K33" s="46"/>
      <c r="L33" s="46"/>
      <c r="M33" s="105"/>
      <c r="N33" s="46"/>
      <c r="O33" s="46"/>
      <c r="P33" s="46"/>
      <c r="Q33" s="46"/>
    </row>
    <row r="34" spans="2:17" x14ac:dyDescent="0.3">
      <c r="B34" s="292"/>
      <c r="C34" s="9" t="s">
        <v>214</v>
      </c>
      <c r="D34" s="86">
        <v>17.508808270088842</v>
      </c>
      <c r="E34" s="86">
        <v>14.809388916570812</v>
      </c>
      <c r="F34" s="88">
        <v>11.433755800981169</v>
      </c>
      <c r="G34" s="88">
        <v>45.93664671967371</v>
      </c>
      <c r="H34" s="86">
        <v>31.396937722796526</v>
      </c>
      <c r="I34" s="88">
        <v>2.0615751835117111</v>
      </c>
      <c r="J34" s="46"/>
      <c r="K34" s="46"/>
      <c r="L34" s="46"/>
      <c r="M34" s="105"/>
      <c r="N34" s="46"/>
      <c r="O34" s="46"/>
      <c r="P34" s="46"/>
      <c r="Q34" s="46"/>
    </row>
    <row r="35" spans="2:17" x14ac:dyDescent="0.3">
      <c r="B35" s="292"/>
      <c r="C35" s="12" t="s">
        <v>215</v>
      </c>
      <c r="D35" s="90">
        <v>17.472703850971314</v>
      </c>
      <c r="E35" s="90">
        <v>13.322852419968656</v>
      </c>
      <c r="F35" s="91">
        <v>11.998569154945553</v>
      </c>
      <c r="G35" s="91">
        <v>41.230975989403518</v>
      </c>
      <c r="H35" s="90">
        <v>40.311291583451755</v>
      </c>
      <c r="I35" s="91">
        <v>0</v>
      </c>
      <c r="J35" s="46"/>
      <c r="K35" s="46"/>
      <c r="L35" s="46"/>
      <c r="M35" s="105"/>
      <c r="N35" s="46"/>
      <c r="O35" s="46"/>
      <c r="P35" s="46"/>
      <c r="Q35" s="46"/>
    </row>
    <row r="36" spans="2:17" x14ac:dyDescent="0.3">
      <c r="B36" s="292"/>
      <c r="C36" s="9" t="s">
        <v>216</v>
      </c>
      <c r="D36" s="86">
        <v>9.0906112887465209</v>
      </c>
      <c r="E36" s="86">
        <v>69.986645684713579</v>
      </c>
      <c r="F36" s="88">
        <v>35.001468635547745</v>
      </c>
      <c r="G36" s="88">
        <v>0</v>
      </c>
      <c r="H36" s="86">
        <v>3.1726177781020009</v>
      </c>
      <c r="I36" s="88">
        <v>0</v>
      </c>
      <c r="J36" s="46"/>
      <c r="K36" s="46"/>
      <c r="L36" s="46"/>
      <c r="M36" s="105"/>
      <c r="N36" s="46"/>
      <c r="O36" s="46"/>
      <c r="P36" s="46"/>
      <c r="Q36" s="46"/>
    </row>
    <row r="37" spans="2:17" x14ac:dyDescent="0.3">
      <c r="B37" s="292"/>
      <c r="C37" s="9" t="s">
        <v>217</v>
      </c>
      <c r="D37" s="86">
        <v>10.845427011562748</v>
      </c>
      <c r="E37" s="86">
        <v>73.570734555767686</v>
      </c>
      <c r="F37" s="88">
        <v>32.714421057647023</v>
      </c>
      <c r="G37" s="88">
        <v>5.0482059630407736</v>
      </c>
      <c r="H37" s="86">
        <v>2.6558878896509652</v>
      </c>
      <c r="I37" s="88">
        <v>0</v>
      </c>
      <c r="J37" s="46"/>
      <c r="K37" s="46"/>
      <c r="L37" s="46"/>
      <c r="M37" s="105"/>
      <c r="N37" s="46"/>
      <c r="O37" s="46"/>
      <c r="P37" s="46"/>
      <c r="Q37" s="46"/>
    </row>
    <row r="38" spans="2:17" x14ac:dyDescent="0.3">
      <c r="B38" s="292"/>
      <c r="C38" s="9" t="s">
        <v>218</v>
      </c>
      <c r="D38" s="86">
        <v>12.069930734230242</v>
      </c>
      <c r="E38" s="86">
        <v>67.591317260770396</v>
      </c>
      <c r="F38" s="88">
        <v>34.454544864340619</v>
      </c>
      <c r="G38" s="88">
        <v>5.1457467445265088</v>
      </c>
      <c r="H38" s="86">
        <v>2.3379817426488723</v>
      </c>
      <c r="I38" s="88">
        <v>0.39896410040914404</v>
      </c>
      <c r="J38" s="46"/>
      <c r="K38" s="46"/>
      <c r="L38" s="46"/>
      <c r="M38" s="105"/>
      <c r="N38" s="46"/>
      <c r="O38" s="46"/>
      <c r="P38" s="46"/>
      <c r="Q38" s="46"/>
    </row>
    <row r="39" spans="2:17" x14ac:dyDescent="0.3">
      <c r="B39" s="292"/>
      <c r="C39" s="9" t="s">
        <v>219</v>
      </c>
      <c r="D39" s="86">
        <v>10.502675995224028</v>
      </c>
      <c r="E39" s="86">
        <v>66.038781353794036</v>
      </c>
      <c r="F39" s="88">
        <v>29.182519408252126</v>
      </c>
      <c r="G39" s="88">
        <v>6.0812834746752129</v>
      </c>
      <c r="H39" s="86">
        <v>2.8540238930649653</v>
      </c>
      <c r="I39" s="88">
        <v>3.9841333972685944</v>
      </c>
      <c r="J39" s="46"/>
      <c r="K39" s="46"/>
      <c r="L39" s="46"/>
      <c r="M39" s="105"/>
      <c r="N39" s="46"/>
      <c r="O39" s="46"/>
      <c r="P39" s="46"/>
      <c r="Q39" s="46"/>
    </row>
    <row r="40" spans="2:17" x14ac:dyDescent="0.3">
      <c r="B40" s="292"/>
      <c r="C40" s="9" t="s">
        <v>220</v>
      </c>
      <c r="D40" s="86">
        <v>13.622859088515854</v>
      </c>
      <c r="E40" s="86">
        <v>64.018033168483072</v>
      </c>
      <c r="F40" s="88">
        <v>27.074303234219681</v>
      </c>
      <c r="G40" s="88">
        <v>4.3197650253180111</v>
      </c>
      <c r="H40" s="86">
        <v>6.4218285741159455</v>
      </c>
      <c r="I40" s="88">
        <v>0.887757989273536</v>
      </c>
      <c r="J40" s="46"/>
      <c r="K40" s="46"/>
      <c r="L40" s="46"/>
      <c r="M40" s="105"/>
      <c r="N40" s="46"/>
      <c r="O40" s="46"/>
      <c r="P40" s="46"/>
      <c r="Q40" s="46"/>
    </row>
    <row r="41" spans="2:17" x14ac:dyDescent="0.3">
      <c r="B41" s="295"/>
      <c r="C41" s="9" t="s">
        <v>221</v>
      </c>
      <c r="D41" s="90">
        <v>9.9333852048621267</v>
      </c>
      <c r="E41" s="90">
        <v>73.106509093491084</v>
      </c>
      <c r="F41" s="91">
        <v>12.768276332139761</v>
      </c>
      <c r="G41" s="91">
        <v>8.008572543391427</v>
      </c>
      <c r="H41" s="90">
        <v>3.5241844110325715</v>
      </c>
      <c r="I41" s="91">
        <v>1.8232932495889891</v>
      </c>
      <c r="J41" s="46"/>
      <c r="K41" s="46"/>
      <c r="L41" s="46"/>
      <c r="M41" s="105"/>
      <c r="N41" s="46"/>
      <c r="O41" s="46"/>
      <c r="P41" s="46"/>
      <c r="Q41" s="46"/>
    </row>
    <row r="42" spans="2:17" ht="16.5" customHeight="1" x14ac:dyDescent="0.3">
      <c r="B42" s="291" t="s">
        <v>222</v>
      </c>
      <c r="C42" s="13" t="s">
        <v>226</v>
      </c>
      <c r="D42" s="84">
        <v>12.207876584452936</v>
      </c>
      <c r="E42" s="84">
        <v>51.685692485382461</v>
      </c>
      <c r="F42" s="84">
        <v>22.831985352153602</v>
      </c>
      <c r="G42" s="84">
        <v>20.148069846624519</v>
      </c>
      <c r="H42" s="84">
        <v>14.474898758438362</v>
      </c>
      <c r="I42" s="84">
        <v>0.77880891932703122</v>
      </c>
      <c r="J42" s="46"/>
      <c r="K42" s="46"/>
      <c r="L42" s="46"/>
      <c r="M42" s="46"/>
      <c r="N42" s="46"/>
      <c r="O42" s="46"/>
      <c r="P42" s="46"/>
      <c r="Q42" s="46"/>
    </row>
    <row r="43" spans="2:17" x14ac:dyDescent="0.3">
      <c r="B43" s="294"/>
      <c r="C43" s="9" t="s">
        <v>227</v>
      </c>
      <c r="D43" s="86">
        <v>11.462706967609696</v>
      </c>
      <c r="E43" s="86">
        <v>49.0988756675536</v>
      </c>
      <c r="F43" s="86">
        <v>20.386808654310343</v>
      </c>
      <c r="G43" s="86">
        <v>22.489141432808328</v>
      </c>
      <c r="H43" s="86">
        <v>13.679629976017088</v>
      </c>
      <c r="I43" s="86">
        <v>1.6088299951230127</v>
      </c>
      <c r="J43" s="46"/>
      <c r="K43" s="46"/>
      <c r="L43" s="46"/>
      <c r="M43" s="46"/>
      <c r="N43" s="46"/>
      <c r="O43" s="46"/>
      <c r="P43" s="46"/>
      <c r="Q43" s="46"/>
    </row>
    <row r="44" spans="2:17" x14ac:dyDescent="0.3">
      <c r="B44" s="292"/>
      <c r="C44" s="9" t="s">
        <v>228</v>
      </c>
      <c r="D44" s="86">
        <v>16.744643960516431</v>
      </c>
      <c r="E44" s="86">
        <v>47.711509170915342</v>
      </c>
      <c r="F44" s="86">
        <v>18.652827278980546</v>
      </c>
      <c r="G44" s="86">
        <v>22.599819986574683</v>
      </c>
      <c r="H44" s="86">
        <v>14.913811178562433</v>
      </c>
      <c r="I44" s="86">
        <v>1.8737139173096475</v>
      </c>
      <c r="J44" s="46"/>
      <c r="K44" s="46"/>
      <c r="L44" s="46"/>
      <c r="M44" s="46"/>
      <c r="N44" s="46"/>
      <c r="O44" s="46"/>
      <c r="P44" s="46"/>
      <c r="Q44" s="46"/>
    </row>
    <row r="45" spans="2:17" x14ac:dyDescent="0.3">
      <c r="B45" s="295"/>
      <c r="C45" s="12" t="s">
        <v>229</v>
      </c>
      <c r="D45" s="90">
        <v>15.267972363746251</v>
      </c>
      <c r="E45" s="90">
        <v>47.00021832808973</v>
      </c>
      <c r="F45" s="90">
        <v>26.663738727732696</v>
      </c>
      <c r="G45" s="90">
        <v>19.24958622295906</v>
      </c>
      <c r="H45" s="90">
        <v>16.735806813742897</v>
      </c>
      <c r="I45" s="90">
        <v>0.51311207307244044</v>
      </c>
      <c r="J45" s="46"/>
      <c r="K45" s="46"/>
      <c r="L45" s="46"/>
      <c r="M45" s="46"/>
      <c r="N45" s="46"/>
      <c r="O45" s="46"/>
      <c r="P45" s="46"/>
      <c r="Q45" s="46"/>
    </row>
    <row r="46" spans="2:17" x14ac:dyDescent="0.3">
      <c r="B46" s="296" t="s">
        <v>199</v>
      </c>
      <c r="C46" s="13" t="s">
        <v>192</v>
      </c>
      <c r="D46" s="84">
        <v>14.785414881086778</v>
      </c>
      <c r="E46" s="84">
        <v>48.867164505039035</v>
      </c>
      <c r="F46" s="84">
        <v>22.673657975541168</v>
      </c>
      <c r="G46" s="84">
        <v>20.968143750086981</v>
      </c>
      <c r="H46" s="84">
        <v>15.432321868692044</v>
      </c>
      <c r="I46" s="84">
        <v>1.2098815078446865</v>
      </c>
      <c r="J46" s="46"/>
      <c r="K46" s="46"/>
      <c r="L46" s="46"/>
      <c r="M46" s="46"/>
      <c r="N46" s="46"/>
      <c r="O46" s="46"/>
      <c r="P46" s="46"/>
      <c r="Q46" s="46"/>
    </row>
    <row r="47" spans="2:17" ht="16.5" customHeight="1" x14ac:dyDescent="0.3">
      <c r="B47" s="292"/>
      <c r="C47" s="9" t="s">
        <v>200</v>
      </c>
      <c r="D47" s="86">
        <v>15.451544610120221</v>
      </c>
      <c r="E47" s="86">
        <v>49.390837320449762</v>
      </c>
      <c r="F47" s="86">
        <v>25.558186675949507</v>
      </c>
      <c r="G47" s="86">
        <v>14.722521911083019</v>
      </c>
      <c r="H47" s="86">
        <v>15.623184339918936</v>
      </c>
      <c r="I47" s="86">
        <v>0.6703599743879789</v>
      </c>
      <c r="J47" s="46"/>
      <c r="K47" s="46"/>
      <c r="L47" s="46"/>
      <c r="M47" s="46"/>
      <c r="N47" s="46"/>
      <c r="O47" s="46"/>
      <c r="P47" s="46"/>
      <c r="Q47" s="46"/>
    </row>
    <row r="48" spans="2:17" x14ac:dyDescent="0.3">
      <c r="B48" s="292"/>
      <c r="C48" s="9" t="s">
        <v>201</v>
      </c>
      <c r="D48" s="86">
        <v>11.333241747209538</v>
      </c>
      <c r="E48" s="86">
        <v>40.153968180213909</v>
      </c>
      <c r="F48" s="86">
        <v>15.217441773717887</v>
      </c>
      <c r="G48" s="86">
        <v>29.111447995750083</v>
      </c>
      <c r="H48" s="86">
        <v>19.659311222149171</v>
      </c>
      <c r="I48" s="86">
        <v>0.98769843322489959</v>
      </c>
      <c r="J48" s="46"/>
      <c r="K48" s="46"/>
      <c r="L48" s="46"/>
      <c r="M48" s="46"/>
      <c r="N48" s="46"/>
      <c r="O48" s="46"/>
      <c r="P48" s="46"/>
      <c r="Q48" s="46"/>
    </row>
    <row r="49" spans="2:51" x14ac:dyDescent="0.3">
      <c r="B49" s="292"/>
      <c r="C49" s="9" t="s">
        <v>202</v>
      </c>
      <c r="D49" s="86">
        <v>18.102079065805775</v>
      </c>
      <c r="E49" s="86">
        <v>50.132138238480472</v>
      </c>
      <c r="F49" s="86">
        <v>17.063012422519641</v>
      </c>
      <c r="G49" s="86">
        <v>20.630669845614744</v>
      </c>
      <c r="H49" s="86">
        <v>17.425730814933168</v>
      </c>
      <c r="I49" s="86">
        <v>0.84707952884510374</v>
      </c>
      <c r="J49" s="46"/>
      <c r="K49" s="46"/>
      <c r="L49" s="46"/>
      <c r="M49" s="46"/>
      <c r="N49" s="46"/>
      <c r="O49" s="46"/>
      <c r="P49" s="46"/>
      <c r="Q49" s="46"/>
    </row>
    <row r="50" spans="2:51" x14ac:dyDescent="0.3">
      <c r="B50" s="295"/>
      <c r="C50" s="12" t="s">
        <v>203</v>
      </c>
      <c r="D50" s="90">
        <v>10.887968640639462</v>
      </c>
      <c r="E50" s="90">
        <v>52.422581724370112</v>
      </c>
      <c r="F50" s="90">
        <v>26.016647341645367</v>
      </c>
      <c r="G50" s="90">
        <v>18.684228949333583</v>
      </c>
      <c r="H50" s="90">
        <v>10.561326149379896</v>
      </c>
      <c r="I50" s="90">
        <v>1.395296384672946</v>
      </c>
      <c r="J50" s="46"/>
      <c r="K50" s="46"/>
      <c r="L50" s="46"/>
      <c r="M50" s="46"/>
      <c r="N50" s="46"/>
      <c r="O50" s="46"/>
      <c r="P50" s="46"/>
      <c r="Q50" s="46"/>
    </row>
    <row r="51" spans="2:51" x14ac:dyDescent="0.3">
      <c r="B51" s="291" t="s">
        <v>204</v>
      </c>
      <c r="C51" s="13" t="s">
        <v>192</v>
      </c>
      <c r="D51" s="84">
        <v>14.785414881086778</v>
      </c>
      <c r="E51" s="84">
        <v>48.867164505039035</v>
      </c>
      <c r="F51" s="84">
        <v>22.673657975541168</v>
      </c>
      <c r="G51" s="84">
        <v>20.968143750086981</v>
      </c>
      <c r="H51" s="84">
        <v>15.432321868692044</v>
      </c>
      <c r="I51" s="84">
        <v>1.2098815078446865</v>
      </c>
      <c r="J51" s="46"/>
      <c r="K51" s="46"/>
      <c r="L51" s="46"/>
      <c r="M51" s="46"/>
      <c r="N51" s="46"/>
      <c r="O51" s="46"/>
      <c r="P51" s="46"/>
      <c r="Q51" s="46"/>
    </row>
    <row r="52" spans="2:51" x14ac:dyDescent="0.3">
      <c r="B52" s="295"/>
      <c r="C52" s="12" t="s">
        <v>193</v>
      </c>
      <c r="D52" s="90">
        <v>12.672098978039784</v>
      </c>
      <c r="E52" s="90">
        <v>48.850743149992304</v>
      </c>
      <c r="F52" s="90">
        <v>21.732609048796519</v>
      </c>
      <c r="G52" s="90">
        <v>21.250637940786852</v>
      </c>
      <c r="H52" s="90">
        <v>14.37902597761313</v>
      </c>
      <c r="I52" s="90">
        <v>1.1434511101142972</v>
      </c>
      <c r="J52" s="46"/>
      <c r="K52" s="46"/>
      <c r="L52" s="46"/>
      <c r="M52" s="46"/>
      <c r="N52" s="46"/>
      <c r="O52" s="46"/>
      <c r="P52" s="46"/>
      <c r="Q52" s="46"/>
    </row>
    <row r="53" spans="2:51" x14ac:dyDescent="0.3">
      <c r="B53" s="291" t="s">
        <v>209</v>
      </c>
      <c r="C53" s="13" t="s">
        <v>205</v>
      </c>
      <c r="D53" s="84">
        <v>15.480144916054778</v>
      </c>
      <c r="E53" s="84">
        <v>40.485551435263694</v>
      </c>
      <c r="F53" s="84">
        <v>21.252691373025307</v>
      </c>
      <c r="G53" s="84">
        <v>28.801244011670423</v>
      </c>
      <c r="H53" s="84">
        <v>16.228827137760003</v>
      </c>
      <c r="I53" s="84">
        <v>0.92065481589046982</v>
      </c>
      <c r="J53" s="46"/>
      <c r="K53" s="46"/>
      <c r="L53" s="46"/>
      <c r="M53" s="46"/>
      <c r="N53" s="46"/>
      <c r="O53" s="46"/>
      <c r="P53" s="46"/>
      <c r="Q53" s="46"/>
    </row>
    <row r="54" spans="2:51" x14ac:dyDescent="0.3">
      <c r="B54" s="292"/>
      <c r="C54" s="9" t="s">
        <v>206</v>
      </c>
      <c r="D54" s="86">
        <v>12.566726523722101</v>
      </c>
      <c r="E54" s="86">
        <v>58.563217041422924</v>
      </c>
      <c r="F54" s="86">
        <v>17.673124526265902</v>
      </c>
      <c r="G54" s="86">
        <v>16.636940813629646</v>
      </c>
      <c r="H54" s="86">
        <v>11.717685501093918</v>
      </c>
      <c r="I54" s="86">
        <v>2.263864903471724</v>
      </c>
      <c r="J54" s="46"/>
      <c r="K54" s="46"/>
      <c r="L54" s="46"/>
      <c r="M54" s="46"/>
      <c r="N54" s="46"/>
      <c r="O54" s="46"/>
      <c r="P54" s="46"/>
      <c r="Q54" s="46"/>
    </row>
    <row r="55" spans="2:51" x14ac:dyDescent="0.3">
      <c r="B55" s="292"/>
      <c r="C55" s="9" t="s">
        <v>207</v>
      </c>
      <c r="D55" s="86">
        <v>13.697183391180435</v>
      </c>
      <c r="E55" s="86">
        <v>46.841615316007903</v>
      </c>
      <c r="F55" s="86">
        <v>22.663102092332281</v>
      </c>
      <c r="G55" s="86">
        <v>21.64614159380206</v>
      </c>
      <c r="H55" s="86">
        <v>15.713001971438127</v>
      </c>
      <c r="I55" s="86">
        <v>1.5678337485909324</v>
      </c>
      <c r="J55" s="46"/>
      <c r="K55" s="46"/>
      <c r="L55" s="46"/>
      <c r="M55" s="46"/>
      <c r="N55" s="46"/>
      <c r="O55" s="46"/>
      <c r="P55" s="46"/>
      <c r="Q55" s="46"/>
    </row>
    <row r="56" spans="2:51" x14ac:dyDescent="0.3">
      <c r="B56" s="293"/>
      <c r="C56" s="25" t="s">
        <v>208</v>
      </c>
      <c r="D56" s="87">
        <v>13.792974269914163</v>
      </c>
      <c r="E56" s="87">
        <v>49.508286829178985</v>
      </c>
      <c r="F56" s="87">
        <v>24.30880440105371</v>
      </c>
      <c r="G56" s="87">
        <v>19.551213158738474</v>
      </c>
      <c r="H56" s="87">
        <v>15.267677840616834</v>
      </c>
      <c r="I56" s="87">
        <v>0.51422084229626286</v>
      </c>
      <c r="J56" s="46"/>
      <c r="K56" s="46"/>
      <c r="L56" s="46"/>
      <c r="M56" s="46"/>
      <c r="N56" s="46"/>
      <c r="O56" s="46"/>
      <c r="P56" s="46"/>
      <c r="Q56" s="46"/>
    </row>
    <row r="59" spans="2:51" ht="18.75" customHeight="1" x14ac:dyDescent="0.3">
      <c r="B59" s="1" t="s">
        <v>136</v>
      </c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</row>
    <row r="60" spans="2:51" ht="13.5" customHeight="1" x14ac:dyDescent="0.3">
      <c r="I60" s="30" t="s">
        <v>53</v>
      </c>
      <c r="M60" s="30"/>
      <c r="N60" s="30"/>
      <c r="P60" s="30"/>
      <c r="Q60" s="30"/>
    </row>
    <row r="61" spans="2:51" ht="28.5" customHeight="1" x14ac:dyDescent="0.3">
      <c r="B61" s="305"/>
      <c r="C61" s="306"/>
      <c r="D61" s="226" t="s">
        <v>296</v>
      </c>
      <c r="E61" s="226" t="s">
        <v>257</v>
      </c>
      <c r="F61" s="226" t="s">
        <v>248</v>
      </c>
      <c r="G61" s="226" t="s">
        <v>259</v>
      </c>
      <c r="H61" s="226" t="s">
        <v>249</v>
      </c>
      <c r="I61" s="226" t="s">
        <v>12</v>
      </c>
      <c r="J61" s="106"/>
      <c r="K61" s="106"/>
      <c r="L61" s="106"/>
      <c r="M61" s="106"/>
      <c r="N61" s="107"/>
      <c r="O61" s="107"/>
      <c r="P61" s="107"/>
      <c r="Q61" s="107"/>
    </row>
    <row r="62" spans="2:51" x14ac:dyDescent="0.3">
      <c r="B62" s="292" t="s">
        <v>20</v>
      </c>
      <c r="C62" s="292"/>
      <c r="D62" s="72">
        <v>1.1118064389822546</v>
      </c>
      <c r="E62" s="72">
        <v>1.1553053623913661</v>
      </c>
      <c r="F62" s="73">
        <v>1.064409530812604</v>
      </c>
      <c r="G62" s="72">
        <v>1.0923665035167276</v>
      </c>
      <c r="H62" s="73">
        <v>1.0434416554930408</v>
      </c>
      <c r="I62" s="72">
        <v>1.2945860177377682</v>
      </c>
      <c r="J62" s="72"/>
      <c r="K62" s="72"/>
      <c r="L62" s="108"/>
      <c r="M62" s="72"/>
      <c r="N62" s="72"/>
      <c r="O62" s="72"/>
      <c r="P62" s="72"/>
      <c r="Q62" s="72"/>
    </row>
    <row r="63" spans="2:51" x14ac:dyDescent="0.3">
      <c r="B63" s="296" t="s">
        <v>5</v>
      </c>
      <c r="C63" s="13" t="s">
        <v>0</v>
      </c>
      <c r="D63" s="74">
        <v>1.0612245192929595</v>
      </c>
      <c r="E63" s="74">
        <v>1.0974612799969568</v>
      </c>
      <c r="F63" s="75">
        <v>1.0895741201124371</v>
      </c>
      <c r="G63" s="74">
        <v>1.0978046002826549</v>
      </c>
      <c r="H63" s="75">
        <v>1.0382852984029085</v>
      </c>
      <c r="I63" s="74">
        <v>1</v>
      </c>
      <c r="J63" s="72"/>
      <c r="K63" s="72"/>
      <c r="L63" s="108"/>
      <c r="M63" s="72"/>
      <c r="N63" s="72"/>
      <c r="O63" s="72"/>
      <c r="P63" s="72"/>
      <c r="Q63" s="72"/>
    </row>
    <row r="64" spans="2:51" x14ac:dyDescent="0.3">
      <c r="B64" s="295"/>
      <c r="C64" s="12" t="s">
        <v>1</v>
      </c>
      <c r="D64" s="76">
        <v>1.1587853012639315</v>
      </c>
      <c r="E64" s="76">
        <v>1.1624102027775347</v>
      </c>
      <c r="F64" s="76">
        <v>1.0586674381166539</v>
      </c>
      <c r="G64" s="76">
        <v>1.0627147598482385</v>
      </c>
      <c r="H64" s="76">
        <v>1.0721263219644195</v>
      </c>
      <c r="I64" s="76">
        <v>1.4112894886294247</v>
      </c>
      <c r="J64" s="72"/>
      <c r="K64" s="72"/>
      <c r="L64" s="72"/>
      <c r="M64" s="72"/>
      <c r="N64" s="72"/>
      <c r="O64" s="72"/>
      <c r="P64" s="72"/>
      <c r="Q64" s="72"/>
    </row>
    <row r="65" spans="2:17" x14ac:dyDescent="0.3">
      <c r="B65" s="296" t="s">
        <v>4</v>
      </c>
      <c r="C65" s="9" t="s">
        <v>175</v>
      </c>
      <c r="D65" s="72">
        <v>1.3039645029711613</v>
      </c>
      <c r="E65" s="72">
        <v>1.3599691617403407</v>
      </c>
      <c r="F65" s="73">
        <v>1.2354854644433171</v>
      </c>
      <c r="G65" s="72">
        <v>1</v>
      </c>
      <c r="H65" s="73">
        <v>1.0685607979812211</v>
      </c>
      <c r="I65" s="72">
        <v>0</v>
      </c>
      <c r="J65" s="72"/>
      <c r="K65" s="72"/>
      <c r="L65" s="108"/>
      <c r="M65" s="72"/>
      <c r="N65" s="72"/>
      <c r="O65" s="72"/>
      <c r="P65" s="72"/>
      <c r="Q65" s="72"/>
    </row>
    <row r="66" spans="2:17" x14ac:dyDescent="0.3">
      <c r="B66" s="292"/>
      <c r="C66" s="9" t="s">
        <v>176</v>
      </c>
      <c r="D66" s="72">
        <v>1.215080838612334</v>
      </c>
      <c r="E66" s="72">
        <v>1.2412176151559338</v>
      </c>
      <c r="F66" s="73">
        <v>1.0759647330858244</v>
      </c>
      <c r="G66" s="72">
        <v>1.1735559946610432</v>
      </c>
      <c r="H66" s="73">
        <v>1.0798689977657989</v>
      </c>
      <c r="I66" s="72">
        <v>1</v>
      </c>
      <c r="J66" s="72"/>
      <c r="K66" s="72"/>
      <c r="L66" s="108"/>
      <c r="M66" s="72"/>
      <c r="N66" s="72"/>
      <c r="O66" s="72"/>
      <c r="P66" s="72"/>
      <c r="Q66" s="72"/>
    </row>
    <row r="67" spans="2:17" x14ac:dyDescent="0.3">
      <c r="B67" s="292"/>
      <c r="C67" s="9" t="s">
        <v>177</v>
      </c>
      <c r="D67" s="72">
        <v>1.0193634942401122</v>
      </c>
      <c r="E67" s="72">
        <v>1.0831519125161138</v>
      </c>
      <c r="F67" s="73">
        <v>1.0125666845392105</v>
      </c>
      <c r="G67" s="72">
        <v>1.0783601081276004</v>
      </c>
      <c r="H67" s="73">
        <v>1</v>
      </c>
      <c r="I67" s="72">
        <v>1.4271503212294259</v>
      </c>
      <c r="J67" s="72"/>
      <c r="K67" s="72"/>
      <c r="L67" s="108"/>
      <c r="M67" s="72"/>
      <c r="N67" s="72"/>
      <c r="O67" s="72"/>
      <c r="P67" s="72"/>
      <c r="Q67" s="72"/>
    </row>
    <row r="68" spans="2:17" x14ac:dyDescent="0.3">
      <c r="B68" s="292"/>
      <c r="C68" s="9" t="s">
        <v>178</v>
      </c>
      <c r="D68" s="72">
        <v>1.0724146968215185</v>
      </c>
      <c r="E68" s="72">
        <v>1.1195446479105731</v>
      </c>
      <c r="F68" s="73">
        <v>1.0375007936867156</v>
      </c>
      <c r="G68" s="72">
        <v>1.0481560512385177</v>
      </c>
      <c r="H68" s="73">
        <v>1.0125009513060781</v>
      </c>
      <c r="I68" s="72">
        <v>1.2440128184498978</v>
      </c>
      <c r="J68" s="72"/>
      <c r="K68" s="72"/>
      <c r="L68" s="108"/>
      <c r="M68" s="72"/>
      <c r="N68" s="72"/>
      <c r="O68" s="72"/>
      <c r="P68" s="72"/>
      <c r="Q68" s="72"/>
    </row>
    <row r="69" spans="2:17" x14ac:dyDescent="0.3">
      <c r="B69" s="292"/>
      <c r="C69" s="9" t="s">
        <v>179</v>
      </c>
      <c r="D69" s="72">
        <v>1.1283618867004004</v>
      </c>
      <c r="E69" s="72">
        <v>1.1493698188830301</v>
      </c>
      <c r="F69" s="73">
        <v>1.0836166105971756</v>
      </c>
      <c r="G69" s="72">
        <v>1.0994285435379803</v>
      </c>
      <c r="H69" s="73">
        <v>1.0449381980429802</v>
      </c>
      <c r="I69" s="72">
        <v>1.5779169370199511</v>
      </c>
      <c r="J69" s="72"/>
      <c r="K69" s="72"/>
      <c r="L69" s="108"/>
      <c r="M69" s="72"/>
      <c r="N69" s="72"/>
      <c r="O69" s="72"/>
      <c r="P69" s="72"/>
      <c r="Q69" s="72"/>
    </row>
    <row r="70" spans="2:17" x14ac:dyDescent="0.3">
      <c r="B70" s="298"/>
      <c r="C70" s="12" t="s">
        <v>180</v>
      </c>
      <c r="D70" s="76">
        <v>1.0656383173215249</v>
      </c>
      <c r="E70" s="76">
        <v>1.069700115389834</v>
      </c>
      <c r="F70" s="77">
        <v>1.0243764378740821</v>
      </c>
      <c r="G70" s="76">
        <v>1.0740397882339767</v>
      </c>
      <c r="H70" s="77">
        <v>1.0624310239796468</v>
      </c>
      <c r="I70" s="76">
        <v>1</v>
      </c>
      <c r="J70" s="72"/>
      <c r="K70" s="72"/>
      <c r="L70" s="108"/>
      <c r="M70" s="72"/>
      <c r="N70" s="72"/>
      <c r="O70" s="72"/>
      <c r="P70" s="72"/>
      <c r="Q70" s="72"/>
    </row>
    <row r="71" spans="2:17" x14ac:dyDescent="0.3">
      <c r="B71" s="292" t="s">
        <v>223</v>
      </c>
      <c r="C71" s="9" t="s">
        <v>210</v>
      </c>
      <c r="D71" s="72">
        <v>1</v>
      </c>
      <c r="E71" s="72">
        <v>0</v>
      </c>
      <c r="F71" s="73">
        <v>1</v>
      </c>
      <c r="G71" s="72">
        <v>1</v>
      </c>
      <c r="H71" s="73">
        <v>1.0797577133612293</v>
      </c>
      <c r="I71" s="72">
        <v>0</v>
      </c>
      <c r="J71" s="72"/>
      <c r="K71" s="72"/>
      <c r="L71" s="108"/>
      <c r="M71" s="72"/>
      <c r="N71" s="72"/>
      <c r="O71" s="72"/>
      <c r="P71" s="72"/>
      <c r="Q71" s="72"/>
    </row>
    <row r="72" spans="2:17" x14ac:dyDescent="0.3">
      <c r="B72" s="292"/>
      <c r="C72" s="9" t="s">
        <v>211</v>
      </c>
      <c r="D72" s="72">
        <v>1.0810285821881498</v>
      </c>
      <c r="E72" s="72">
        <v>1.1030800688141709</v>
      </c>
      <c r="F72" s="73">
        <v>1.1253605412941832</v>
      </c>
      <c r="G72" s="72">
        <v>1.1909270553550875</v>
      </c>
      <c r="H72" s="73">
        <v>1.0913883980292123</v>
      </c>
      <c r="I72" s="72">
        <v>1</v>
      </c>
      <c r="J72" s="72"/>
      <c r="K72" s="72"/>
      <c r="L72" s="108"/>
      <c r="M72" s="72"/>
      <c r="N72" s="72"/>
      <c r="O72" s="72"/>
      <c r="P72" s="72"/>
      <c r="Q72" s="72"/>
    </row>
    <row r="73" spans="2:17" x14ac:dyDescent="0.3">
      <c r="B73" s="292"/>
      <c r="C73" s="9" t="s">
        <v>212</v>
      </c>
      <c r="D73" s="72">
        <v>1.0348757754963487</v>
      </c>
      <c r="E73" s="72">
        <v>1.0552160828104415</v>
      </c>
      <c r="F73" s="73">
        <v>1.0657070893295471</v>
      </c>
      <c r="G73" s="72">
        <v>1.0941219427063096</v>
      </c>
      <c r="H73" s="73">
        <v>1</v>
      </c>
      <c r="I73" s="72">
        <v>1</v>
      </c>
      <c r="J73" s="72"/>
      <c r="K73" s="72"/>
      <c r="L73" s="108"/>
      <c r="M73" s="72"/>
      <c r="N73" s="72"/>
      <c r="O73" s="72"/>
      <c r="P73" s="72"/>
      <c r="Q73" s="72"/>
    </row>
    <row r="74" spans="2:17" x14ac:dyDescent="0.3">
      <c r="B74" s="292"/>
      <c r="C74" s="9" t="s">
        <v>213</v>
      </c>
      <c r="D74" s="72">
        <v>1.0295242518626215</v>
      </c>
      <c r="E74" s="72">
        <v>1.1361191162703395</v>
      </c>
      <c r="F74" s="73">
        <v>1.0945306025012851</v>
      </c>
      <c r="G74" s="72">
        <v>1.0453439158812503</v>
      </c>
      <c r="H74" s="73">
        <v>1.0145829696464399</v>
      </c>
      <c r="I74" s="72">
        <v>1</v>
      </c>
      <c r="J74" s="72"/>
      <c r="K74" s="72"/>
      <c r="L74" s="108"/>
      <c r="M74" s="72"/>
      <c r="N74" s="72"/>
      <c r="O74" s="72"/>
      <c r="P74" s="72"/>
      <c r="Q74" s="72"/>
    </row>
    <row r="75" spans="2:17" x14ac:dyDescent="0.3">
      <c r="B75" s="292"/>
      <c r="C75" s="9" t="s">
        <v>214</v>
      </c>
      <c r="D75" s="72">
        <v>1.1321427100976014</v>
      </c>
      <c r="E75" s="72">
        <v>1.1160791893428683</v>
      </c>
      <c r="F75" s="73">
        <v>1.0988471423313706</v>
      </c>
      <c r="G75" s="72">
        <v>1.108310228827174</v>
      </c>
      <c r="H75" s="73">
        <v>1.0144363048903888</v>
      </c>
      <c r="I75" s="72">
        <v>1</v>
      </c>
      <c r="J75" s="72"/>
      <c r="K75" s="72"/>
      <c r="L75" s="108"/>
      <c r="M75" s="72"/>
      <c r="N75" s="72"/>
      <c r="O75" s="72"/>
      <c r="P75" s="72"/>
      <c r="Q75" s="72"/>
    </row>
    <row r="76" spans="2:17" x14ac:dyDescent="0.3">
      <c r="B76" s="292"/>
      <c r="C76" s="12" t="s">
        <v>215</v>
      </c>
      <c r="D76" s="76">
        <v>1.035087901423998</v>
      </c>
      <c r="E76" s="76">
        <v>1.0944320451860343</v>
      </c>
      <c r="F76" s="77">
        <v>1.0606030059480784</v>
      </c>
      <c r="G76" s="76">
        <v>1.0631277497853768</v>
      </c>
      <c r="H76" s="77">
        <v>1.048095849560736</v>
      </c>
      <c r="I76" s="76">
        <v>0</v>
      </c>
      <c r="J76" s="72"/>
      <c r="K76" s="72"/>
      <c r="L76" s="108"/>
      <c r="M76" s="72"/>
      <c r="N76" s="72"/>
      <c r="O76" s="72"/>
      <c r="P76" s="72"/>
      <c r="Q76" s="72"/>
    </row>
    <row r="77" spans="2:17" x14ac:dyDescent="0.3">
      <c r="B77" s="292"/>
      <c r="C77" s="9" t="s">
        <v>216</v>
      </c>
      <c r="D77" s="72">
        <v>1.4192949006554585</v>
      </c>
      <c r="E77" s="72">
        <v>1.3599691617403407</v>
      </c>
      <c r="F77" s="73">
        <v>1.2396483567088341</v>
      </c>
      <c r="G77" s="72">
        <v>0</v>
      </c>
      <c r="H77" s="73">
        <v>1</v>
      </c>
      <c r="I77" s="72">
        <v>0</v>
      </c>
      <c r="J77" s="72"/>
      <c r="K77" s="72"/>
      <c r="L77" s="108"/>
      <c r="M77" s="72"/>
      <c r="N77" s="72"/>
      <c r="O77" s="72"/>
      <c r="P77" s="72"/>
      <c r="Q77" s="72"/>
    </row>
    <row r="78" spans="2:17" x14ac:dyDescent="0.3">
      <c r="B78" s="292"/>
      <c r="C78" s="9" t="s">
        <v>217</v>
      </c>
      <c r="D78" s="72">
        <v>1.3269030277421805</v>
      </c>
      <c r="E78" s="72">
        <v>1.2533810566860601</v>
      </c>
      <c r="F78" s="73">
        <v>1.0668851527411676</v>
      </c>
      <c r="G78" s="72">
        <v>1.0729994054549119</v>
      </c>
      <c r="H78" s="73">
        <v>1</v>
      </c>
      <c r="I78" s="72">
        <v>0</v>
      </c>
      <c r="J78" s="72"/>
      <c r="K78" s="72"/>
      <c r="L78" s="108"/>
      <c r="M78" s="72"/>
      <c r="N78" s="72"/>
      <c r="O78" s="72"/>
      <c r="P78" s="72"/>
      <c r="Q78" s="72"/>
    </row>
    <row r="79" spans="2:17" x14ac:dyDescent="0.3">
      <c r="B79" s="292"/>
      <c r="C79" s="9" t="s">
        <v>218</v>
      </c>
      <c r="D79" s="72">
        <v>1</v>
      </c>
      <c r="E79" s="72">
        <v>1.0894177992070413</v>
      </c>
      <c r="F79" s="73">
        <v>1</v>
      </c>
      <c r="G79" s="72">
        <v>1</v>
      </c>
      <c r="H79" s="73">
        <v>1</v>
      </c>
      <c r="I79" s="72">
        <v>2</v>
      </c>
      <c r="J79" s="72"/>
      <c r="K79" s="72"/>
      <c r="L79" s="108"/>
      <c r="M79" s="72"/>
      <c r="N79" s="72"/>
      <c r="O79" s="72"/>
      <c r="P79" s="72"/>
      <c r="Q79" s="72"/>
    </row>
    <row r="80" spans="2:17" x14ac:dyDescent="0.3">
      <c r="B80" s="292"/>
      <c r="C80" s="9" t="s">
        <v>219</v>
      </c>
      <c r="D80" s="72">
        <v>1.1144896635750985</v>
      </c>
      <c r="E80" s="72">
        <v>1.1176265400748318</v>
      </c>
      <c r="F80" s="73">
        <v>1.0246809942679569</v>
      </c>
      <c r="G80" s="72">
        <v>1.0631556367303663</v>
      </c>
      <c r="H80" s="73">
        <v>1</v>
      </c>
      <c r="I80" s="72">
        <v>1.2769313483870959</v>
      </c>
      <c r="J80" s="72"/>
      <c r="K80" s="72"/>
      <c r="L80" s="108"/>
      <c r="M80" s="72"/>
      <c r="N80" s="72"/>
      <c r="O80" s="72"/>
      <c r="P80" s="72"/>
      <c r="Q80" s="72"/>
    </row>
    <row r="81" spans="2:17" x14ac:dyDescent="0.3">
      <c r="B81" s="292"/>
      <c r="C81" s="9" t="s">
        <v>220</v>
      </c>
      <c r="D81" s="72">
        <v>1.1256021625494641</v>
      </c>
      <c r="E81" s="72">
        <v>1.153743506680367</v>
      </c>
      <c r="F81" s="73">
        <v>1.0799637117248453</v>
      </c>
      <c r="G81" s="72">
        <v>1.0457889466125416</v>
      </c>
      <c r="H81" s="73">
        <v>1.129630968263359</v>
      </c>
      <c r="I81" s="72">
        <v>2.3401029427642475</v>
      </c>
      <c r="J81" s="72"/>
      <c r="K81" s="72"/>
      <c r="L81" s="108"/>
      <c r="M81" s="72"/>
      <c r="N81" s="72"/>
      <c r="O81" s="72"/>
      <c r="P81" s="72"/>
      <c r="Q81" s="72"/>
    </row>
    <row r="82" spans="2:17" x14ac:dyDescent="0.3">
      <c r="B82" s="295"/>
      <c r="C82" s="9" t="s">
        <v>221</v>
      </c>
      <c r="D82" s="76">
        <v>1.1041174991611973</v>
      </c>
      <c r="E82" s="76">
        <v>1.0664727730213639</v>
      </c>
      <c r="F82" s="77">
        <v>1</v>
      </c>
      <c r="G82" s="76">
        <v>1.1142670297163999</v>
      </c>
      <c r="H82" s="77">
        <v>1.1798442261534823</v>
      </c>
      <c r="I82" s="76">
        <v>1</v>
      </c>
      <c r="J82" s="72"/>
      <c r="K82" s="72"/>
      <c r="L82" s="108"/>
      <c r="M82" s="72"/>
      <c r="N82" s="72"/>
      <c r="O82" s="72"/>
      <c r="P82" s="72"/>
      <c r="Q82" s="72"/>
    </row>
    <row r="83" spans="2:17" ht="16.5" customHeight="1" x14ac:dyDescent="0.3">
      <c r="B83" s="291" t="s">
        <v>222</v>
      </c>
      <c r="C83" s="13" t="s">
        <v>226</v>
      </c>
      <c r="D83" s="74">
        <v>1.1495902350215959</v>
      </c>
      <c r="E83" s="74">
        <v>1.2224491775504565</v>
      </c>
      <c r="F83" s="74">
        <v>1.1503687449084836</v>
      </c>
      <c r="G83" s="74">
        <v>1.1057706662781361</v>
      </c>
      <c r="H83" s="74">
        <v>1.1164692378100056</v>
      </c>
      <c r="I83" s="74">
        <v>2.0641876882608949</v>
      </c>
      <c r="J83" s="72"/>
      <c r="K83" s="72"/>
      <c r="L83" s="72"/>
      <c r="M83" s="72"/>
      <c r="N83" s="72"/>
      <c r="O83" s="72"/>
      <c r="P83" s="72"/>
      <c r="Q83" s="72"/>
    </row>
    <row r="84" spans="2:17" x14ac:dyDescent="0.3">
      <c r="B84" s="294"/>
      <c r="C84" s="9" t="s">
        <v>227</v>
      </c>
      <c r="D84" s="72">
        <v>1.0338772061612562</v>
      </c>
      <c r="E84" s="72">
        <v>1.1328990497520064</v>
      </c>
      <c r="F84" s="72">
        <v>1.0240711346693414</v>
      </c>
      <c r="G84" s="72">
        <v>1.0704119024915224</v>
      </c>
      <c r="H84" s="72">
        <v>1.0309383199165556</v>
      </c>
      <c r="I84" s="72">
        <v>1.1021669220237125</v>
      </c>
      <c r="J84" s="72"/>
      <c r="K84" s="72"/>
      <c r="L84" s="72"/>
      <c r="M84" s="72"/>
      <c r="N84" s="72"/>
      <c r="O84" s="72"/>
      <c r="P84" s="72"/>
      <c r="Q84" s="72"/>
    </row>
    <row r="85" spans="2:17" x14ac:dyDescent="0.3">
      <c r="B85" s="292"/>
      <c r="C85" s="9" t="s">
        <v>228</v>
      </c>
      <c r="D85" s="72">
        <v>1.1443607348795009</v>
      </c>
      <c r="E85" s="72">
        <v>1.116839130545664</v>
      </c>
      <c r="F85" s="72">
        <v>1.0237354905025131</v>
      </c>
      <c r="G85" s="72">
        <v>1.1594550132434907</v>
      </c>
      <c r="H85" s="72">
        <v>1.0104320314673529</v>
      </c>
      <c r="I85" s="72">
        <v>1</v>
      </c>
      <c r="J85" s="72"/>
      <c r="K85" s="72"/>
      <c r="L85" s="72"/>
      <c r="M85" s="72"/>
      <c r="N85" s="72"/>
      <c r="O85" s="72"/>
      <c r="P85" s="72"/>
      <c r="Q85" s="72"/>
    </row>
    <row r="86" spans="2:17" x14ac:dyDescent="0.3">
      <c r="B86" s="295"/>
      <c r="C86" s="12" t="s">
        <v>229</v>
      </c>
      <c r="D86" s="76">
        <v>1.114942768169249</v>
      </c>
      <c r="E86" s="76">
        <v>1.1451919571549629</v>
      </c>
      <c r="F86" s="76">
        <v>1.0533000444134968</v>
      </c>
      <c r="G86" s="76">
        <v>1.0397830269546207</v>
      </c>
      <c r="H86" s="76">
        <v>1.0212356452451705</v>
      </c>
      <c r="I86" s="76">
        <v>1.7632108170858796</v>
      </c>
      <c r="J86" s="72"/>
      <c r="K86" s="72"/>
      <c r="L86" s="72"/>
      <c r="M86" s="72"/>
      <c r="N86" s="72"/>
      <c r="O86" s="72"/>
      <c r="P86" s="72"/>
      <c r="Q86" s="72"/>
    </row>
    <row r="87" spans="2:17" x14ac:dyDescent="0.3">
      <c r="B87" s="296" t="s">
        <v>199</v>
      </c>
      <c r="C87" s="13" t="s">
        <v>192</v>
      </c>
      <c r="D87" s="74">
        <v>1.1260524302374995</v>
      </c>
      <c r="E87" s="74">
        <v>1.1460226749656734</v>
      </c>
      <c r="F87" s="74">
        <v>1.087964841608962</v>
      </c>
      <c r="G87" s="74">
        <v>1.1141587126215697</v>
      </c>
      <c r="H87" s="74">
        <v>1.0356199511071555</v>
      </c>
      <c r="I87" s="74">
        <v>1.1572349043294972</v>
      </c>
      <c r="J87" s="72"/>
      <c r="K87" s="72"/>
      <c r="L87" s="72"/>
      <c r="M87" s="72"/>
      <c r="N87" s="72"/>
      <c r="O87" s="72"/>
      <c r="P87" s="72"/>
      <c r="Q87" s="72"/>
    </row>
    <row r="88" spans="2:17" ht="16.5" customHeight="1" x14ac:dyDescent="0.3">
      <c r="B88" s="292"/>
      <c r="C88" s="9" t="s">
        <v>200</v>
      </c>
      <c r="D88" s="72">
        <v>1.0898516836624872</v>
      </c>
      <c r="E88" s="72">
        <v>1.1312724165730015</v>
      </c>
      <c r="F88" s="72">
        <v>1</v>
      </c>
      <c r="G88" s="72">
        <v>1.0724354923498596</v>
      </c>
      <c r="H88" s="72">
        <v>1.0533843476316667</v>
      </c>
      <c r="I88" s="72">
        <v>1</v>
      </c>
      <c r="J88" s="72"/>
      <c r="K88" s="72"/>
      <c r="L88" s="72"/>
      <c r="M88" s="72"/>
      <c r="N88" s="72"/>
      <c r="O88" s="72"/>
      <c r="P88" s="72"/>
      <c r="Q88" s="72"/>
    </row>
    <row r="89" spans="2:17" ht="16.5" customHeight="1" x14ac:dyDescent="0.3">
      <c r="B89" s="292"/>
      <c r="C89" s="9" t="s">
        <v>201</v>
      </c>
      <c r="D89" s="72">
        <v>1.0263072560800959</v>
      </c>
      <c r="E89" s="72">
        <v>1.1197351532021398</v>
      </c>
      <c r="F89" s="72">
        <v>1.0195924188372061</v>
      </c>
      <c r="G89" s="72">
        <v>1.0254580359951992</v>
      </c>
      <c r="H89" s="72">
        <v>1.0164163867550642</v>
      </c>
      <c r="I89" s="72">
        <v>1</v>
      </c>
      <c r="J89" s="72"/>
      <c r="K89" s="72"/>
      <c r="L89" s="72"/>
      <c r="M89" s="72"/>
      <c r="N89" s="72"/>
      <c r="O89" s="72"/>
      <c r="P89" s="72"/>
      <c r="Q89" s="72"/>
    </row>
    <row r="90" spans="2:17" ht="16.5" customHeight="1" x14ac:dyDescent="0.3">
      <c r="B90" s="292"/>
      <c r="C90" s="9" t="s">
        <v>202</v>
      </c>
      <c r="D90" s="72">
        <v>1.18316802894885</v>
      </c>
      <c r="E90" s="72">
        <v>1.2154051552272129</v>
      </c>
      <c r="F90" s="72">
        <v>1.0219191976387731</v>
      </c>
      <c r="G90" s="72">
        <v>1.0551181649042642</v>
      </c>
      <c r="H90" s="72">
        <v>1.0939505972076955</v>
      </c>
      <c r="I90" s="72">
        <v>1</v>
      </c>
      <c r="J90" s="72"/>
      <c r="K90" s="72"/>
      <c r="L90" s="72"/>
      <c r="M90" s="72"/>
      <c r="N90" s="72"/>
      <c r="O90" s="72"/>
      <c r="P90" s="72"/>
      <c r="Q90" s="72"/>
    </row>
    <row r="91" spans="2:17" x14ac:dyDescent="0.3">
      <c r="B91" s="295"/>
      <c r="C91" s="12" t="s">
        <v>203</v>
      </c>
      <c r="D91" s="76">
        <v>1.0686831300394222</v>
      </c>
      <c r="E91" s="76">
        <v>1.1704594802047803</v>
      </c>
      <c r="F91" s="76">
        <v>1.0478655137068604</v>
      </c>
      <c r="G91" s="76">
        <v>1.1017330660283995</v>
      </c>
      <c r="H91" s="76">
        <v>1.0611143575179431</v>
      </c>
      <c r="I91" s="76">
        <v>1.7611285791211173</v>
      </c>
      <c r="J91" s="72"/>
      <c r="K91" s="72"/>
      <c r="L91" s="72"/>
      <c r="M91" s="72"/>
      <c r="N91" s="72"/>
      <c r="O91" s="72"/>
      <c r="P91" s="72"/>
      <c r="Q91" s="72"/>
    </row>
    <row r="92" spans="2:17" x14ac:dyDescent="0.3">
      <c r="B92" s="291" t="s">
        <v>204</v>
      </c>
      <c r="C92" s="13" t="s">
        <v>192</v>
      </c>
      <c r="D92" s="74">
        <v>1.1260524302374995</v>
      </c>
      <c r="E92" s="74">
        <v>1.1460226749656734</v>
      </c>
      <c r="F92" s="74">
        <v>1.087964841608962</v>
      </c>
      <c r="G92" s="74">
        <v>1.1141587126215697</v>
      </c>
      <c r="H92" s="74">
        <v>1.0356199511071555</v>
      </c>
      <c r="I92" s="74">
        <v>1.1572349043294972</v>
      </c>
      <c r="J92" s="72"/>
      <c r="K92" s="72"/>
      <c r="L92" s="72"/>
      <c r="M92" s="72"/>
      <c r="N92" s="72"/>
      <c r="O92" s="72"/>
      <c r="P92" s="72"/>
      <c r="Q92" s="72"/>
    </row>
    <row r="93" spans="2:17" x14ac:dyDescent="0.3">
      <c r="B93" s="295"/>
      <c r="C93" s="12" t="s">
        <v>193</v>
      </c>
      <c r="D93" s="76">
        <v>1.0921119476894219</v>
      </c>
      <c r="E93" s="76">
        <v>1.1663077471152368</v>
      </c>
      <c r="F93" s="76">
        <v>1.0352912521725708</v>
      </c>
      <c r="G93" s="76">
        <v>1.0668890272418594</v>
      </c>
      <c r="H93" s="76">
        <v>1.0533881566535424</v>
      </c>
      <c r="I93" s="76">
        <v>1.4667826120668068</v>
      </c>
      <c r="J93" s="72"/>
      <c r="K93" s="72"/>
      <c r="L93" s="72"/>
      <c r="M93" s="72"/>
      <c r="N93" s="72"/>
      <c r="O93" s="72"/>
      <c r="P93" s="72"/>
      <c r="Q93" s="72"/>
    </row>
    <row r="94" spans="2:17" x14ac:dyDescent="0.3">
      <c r="B94" s="291" t="s">
        <v>209</v>
      </c>
      <c r="C94" s="13" t="s">
        <v>205</v>
      </c>
      <c r="D94" s="74">
        <v>1.0427058054518381</v>
      </c>
      <c r="E94" s="74">
        <v>1.078085792223217</v>
      </c>
      <c r="F94" s="74">
        <v>1.0572573862690449</v>
      </c>
      <c r="G94" s="74">
        <v>1.0648977626379288</v>
      </c>
      <c r="H94" s="74">
        <v>1</v>
      </c>
      <c r="I94" s="74">
        <v>1</v>
      </c>
      <c r="J94" s="72"/>
      <c r="K94" s="72"/>
      <c r="L94" s="72"/>
      <c r="M94" s="72"/>
      <c r="N94" s="72"/>
      <c r="O94" s="72"/>
      <c r="P94" s="72"/>
      <c r="Q94" s="72"/>
    </row>
    <row r="95" spans="2:17" x14ac:dyDescent="0.3">
      <c r="B95" s="292"/>
      <c r="C95" s="9" t="s">
        <v>206</v>
      </c>
      <c r="D95" s="72">
        <v>1.0883603012704788</v>
      </c>
      <c r="E95" s="72">
        <v>1.1519420251574899</v>
      </c>
      <c r="F95" s="72">
        <v>1.069798916054477</v>
      </c>
      <c r="G95" s="72">
        <v>1.0277203852221619</v>
      </c>
      <c r="H95" s="72">
        <v>1.05449145737299</v>
      </c>
      <c r="I95" s="72">
        <v>1.4206218092717238</v>
      </c>
      <c r="J95" s="72"/>
      <c r="K95" s="72"/>
      <c r="L95" s="72"/>
      <c r="M95" s="72"/>
      <c r="N95" s="72"/>
      <c r="O95" s="72"/>
      <c r="P95" s="72"/>
      <c r="Q95" s="72"/>
    </row>
    <row r="96" spans="2:17" x14ac:dyDescent="0.3">
      <c r="B96" s="292"/>
      <c r="C96" s="9" t="s">
        <v>207</v>
      </c>
      <c r="D96" s="72">
        <v>1.0782821507332034</v>
      </c>
      <c r="E96" s="72">
        <v>1.0938653281886306</v>
      </c>
      <c r="F96" s="72">
        <v>1.0550396869978191</v>
      </c>
      <c r="G96" s="72">
        <v>1.1415898962235047</v>
      </c>
      <c r="H96" s="72">
        <v>1.0821584601166159</v>
      </c>
      <c r="I96" s="72">
        <v>1.3220361295192062</v>
      </c>
      <c r="J96" s="72"/>
      <c r="K96" s="72"/>
      <c r="L96" s="72"/>
      <c r="M96" s="72"/>
      <c r="N96" s="72"/>
      <c r="O96" s="72"/>
      <c r="P96" s="72"/>
      <c r="Q96" s="72"/>
    </row>
    <row r="97" spans="2:51" x14ac:dyDescent="0.3">
      <c r="B97" s="293"/>
      <c r="C97" s="25" t="s">
        <v>208</v>
      </c>
      <c r="D97" s="78">
        <v>1.1774064702625593</v>
      </c>
      <c r="E97" s="78">
        <v>1.2265158019806357</v>
      </c>
      <c r="F97" s="78">
        <v>1.0718524123443838</v>
      </c>
      <c r="G97" s="78">
        <v>1.0909396072195656</v>
      </c>
      <c r="H97" s="78">
        <v>1.0277927574490602</v>
      </c>
      <c r="I97" s="78">
        <v>1.1993243055176044</v>
      </c>
      <c r="J97" s="72"/>
      <c r="K97" s="72"/>
      <c r="L97" s="72"/>
      <c r="M97" s="72"/>
      <c r="N97" s="72"/>
      <c r="O97" s="72"/>
      <c r="P97" s="72"/>
      <c r="Q97" s="72"/>
    </row>
    <row r="98" spans="2:51" x14ac:dyDescent="0.3">
      <c r="B98" s="60"/>
      <c r="C98" s="9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</row>
    <row r="99" spans="2:51" x14ac:dyDescent="0.3">
      <c r="B99" s="60"/>
      <c r="C99" s="9"/>
      <c r="D99" s="58"/>
      <c r="E99" s="58"/>
      <c r="F99" s="65"/>
      <c r="G99" s="58"/>
      <c r="H99" s="65"/>
      <c r="I99" s="58"/>
      <c r="J99" s="58"/>
      <c r="K99" s="58"/>
      <c r="L99" s="65"/>
      <c r="M99" s="58"/>
      <c r="N99" s="58"/>
    </row>
    <row r="100" spans="2:51" ht="18.75" customHeight="1" x14ac:dyDescent="0.3">
      <c r="B100" s="1" t="s">
        <v>135</v>
      </c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</row>
    <row r="101" spans="2:51" ht="13.5" customHeight="1" x14ac:dyDescent="0.3">
      <c r="I101" s="30" t="s">
        <v>225</v>
      </c>
      <c r="M101" s="30"/>
      <c r="N101" s="30"/>
      <c r="O101" s="30"/>
      <c r="P101" s="30"/>
    </row>
    <row r="102" spans="2:51" ht="28.5" customHeight="1" x14ac:dyDescent="0.3">
      <c r="B102" s="305"/>
      <c r="C102" s="306"/>
      <c r="D102" s="226" t="s">
        <v>296</v>
      </c>
      <c r="E102" s="226" t="s">
        <v>257</v>
      </c>
      <c r="F102" s="226" t="s">
        <v>248</v>
      </c>
      <c r="G102" s="226" t="s">
        <v>259</v>
      </c>
      <c r="H102" s="226" t="s">
        <v>249</v>
      </c>
      <c r="I102" s="226" t="s">
        <v>12</v>
      </c>
      <c r="J102" s="106"/>
      <c r="K102" s="106"/>
      <c r="L102" s="106"/>
      <c r="M102" s="106"/>
      <c r="N102" s="107"/>
      <c r="O102" s="107"/>
      <c r="P102" s="107"/>
      <c r="Q102" s="107"/>
    </row>
    <row r="103" spans="2:51" x14ac:dyDescent="0.3">
      <c r="B103" s="292" t="s">
        <v>20</v>
      </c>
      <c r="C103" s="292"/>
      <c r="D103" s="86">
        <v>16.695104577125726</v>
      </c>
      <c r="E103" s="86">
        <v>28.78781525018994</v>
      </c>
      <c r="F103" s="88">
        <v>20.827180347901702</v>
      </c>
      <c r="G103" s="86">
        <v>14.510804153837364</v>
      </c>
      <c r="H103" s="88">
        <v>16.934052698434353</v>
      </c>
      <c r="I103" s="86">
        <v>12.803624964064968</v>
      </c>
      <c r="J103" s="86"/>
      <c r="K103" s="86"/>
      <c r="L103" s="109"/>
      <c r="M103" s="86"/>
      <c r="N103" s="86"/>
      <c r="O103" s="86"/>
      <c r="P103" s="86"/>
      <c r="Q103" s="86"/>
    </row>
    <row r="104" spans="2:51" x14ac:dyDescent="0.3">
      <c r="B104" s="296" t="s">
        <v>5</v>
      </c>
      <c r="C104" s="13" t="s">
        <v>0</v>
      </c>
      <c r="D104" s="84">
        <v>16.389899052860255</v>
      </c>
      <c r="E104" s="84">
        <v>61.251811341246118</v>
      </c>
      <c r="F104" s="89">
        <v>27.630699262331792</v>
      </c>
      <c r="G104" s="84">
        <v>14.217809413168728</v>
      </c>
      <c r="H104" s="89">
        <v>15.666546758736477</v>
      </c>
      <c r="I104" s="84">
        <v>6.3475868007308494</v>
      </c>
      <c r="J104" s="86"/>
      <c r="K104" s="86"/>
      <c r="L104" s="109"/>
      <c r="M104" s="86"/>
      <c r="N104" s="86"/>
      <c r="O104" s="86"/>
      <c r="P104" s="86"/>
      <c r="Q104" s="86"/>
    </row>
    <row r="105" spans="2:51" x14ac:dyDescent="0.3">
      <c r="B105" s="295"/>
      <c r="C105" s="12" t="s">
        <v>1</v>
      </c>
      <c r="D105" s="90">
        <v>16.978569664654003</v>
      </c>
      <c r="E105" s="90">
        <v>24.800345815520327</v>
      </c>
      <c r="F105" s="90">
        <v>19.274743477192601</v>
      </c>
      <c r="G105" s="90">
        <v>16.108386050679478</v>
      </c>
      <c r="H105" s="90">
        <v>23.985151855298856</v>
      </c>
      <c r="I105" s="90">
        <v>15.36125505002777</v>
      </c>
      <c r="J105" s="86"/>
      <c r="K105" s="86"/>
      <c r="L105" s="86"/>
      <c r="M105" s="86"/>
      <c r="N105" s="86"/>
      <c r="O105" s="86"/>
      <c r="P105" s="86"/>
      <c r="Q105" s="86"/>
    </row>
    <row r="106" spans="2:51" x14ac:dyDescent="0.3">
      <c r="B106" s="296" t="s">
        <v>4</v>
      </c>
      <c r="C106" s="9" t="s">
        <v>175</v>
      </c>
      <c r="D106" s="86">
        <v>11.275987024964532</v>
      </c>
      <c r="E106" s="86">
        <v>7.7891923867961381</v>
      </c>
      <c r="F106" s="88">
        <v>9.9716528606980006</v>
      </c>
      <c r="G106" s="86">
        <v>8.7209408224438167</v>
      </c>
      <c r="H106" s="88">
        <v>12.056986204473823</v>
      </c>
      <c r="I106" s="86">
        <v>0</v>
      </c>
      <c r="J106" s="86"/>
      <c r="K106" s="86"/>
      <c r="L106" s="109"/>
      <c r="M106" s="86"/>
      <c r="N106" s="86"/>
      <c r="O106" s="86"/>
      <c r="P106" s="86"/>
      <c r="Q106" s="86"/>
    </row>
    <row r="107" spans="2:51" x14ac:dyDescent="0.3">
      <c r="B107" s="292"/>
      <c r="C107" s="9" t="s">
        <v>176</v>
      </c>
      <c r="D107" s="86">
        <v>16.064261183856921</v>
      </c>
      <c r="E107" s="86">
        <v>25.448977528028117</v>
      </c>
      <c r="F107" s="88">
        <v>20.785049683073701</v>
      </c>
      <c r="G107" s="86">
        <v>20.897502410006094</v>
      </c>
      <c r="H107" s="88">
        <v>22.518156332120526</v>
      </c>
      <c r="I107" s="86">
        <v>0.5</v>
      </c>
      <c r="J107" s="86"/>
      <c r="K107" s="86"/>
      <c r="L107" s="109"/>
      <c r="M107" s="86"/>
      <c r="N107" s="86"/>
      <c r="O107" s="86"/>
      <c r="P107" s="86"/>
      <c r="Q107" s="86"/>
    </row>
    <row r="108" spans="2:51" x14ac:dyDescent="0.3">
      <c r="B108" s="292"/>
      <c r="C108" s="9" t="s">
        <v>177</v>
      </c>
      <c r="D108" s="86">
        <v>13.664242772666526</v>
      </c>
      <c r="E108" s="86">
        <v>30.101995244193535</v>
      </c>
      <c r="F108" s="88">
        <v>23.490400773241984</v>
      </c>
      <c r="G108" s="86">
        <v>13.442667985690296</v>
      </c>
      <c r="H108" s="88">
        <v>18.919724731853684</v>
      </c>
      <c r="I108" s="86">
        <v>10.912288993009742</v>
      </c>
      <c r="J108" s="86"/>
      <c r="K108" s="86"/>
      <c r="L108" s="109"/>
      <c r="M108" s="86"/>
      <c r="N108" s="86"/>
      <c r="O108" s="86"/>
      <c r="P108" s="86"/>
      <c r="Q108" s="86"/>
    </row>
    <row r="109" spans="2:51" x14ac:dyDescent="0.3">
      <c r="B109" s="292"/>
      <c r="C109" s="9" t="s">
        <v>178</v>
      </c>
      <c r="D109" s="86">
        <v>17.722957734383492</v>
      </c>
      <c r="E109" s="86">
        <v>33.111927345278268</v>
      </c>
      <c r="F109" s="88">
        <v>21.882919904333324</v>
      </c>
      <c r="G109" s="86">
        <v>12.348529817453377</v>
      </c>
      <c r="H109" s="88">
        <v>18.053373905480125</v>
      </c>
      <c r="I109" s="86">
        <v>6.6081635736872473</v>
      </c>
      <c r="J109" s="86"/>
      <c r="K109" s="86"/>
      <c r="L109" s="109"/>
      <c r="M109" s="86"/>
      <c r="N109" s="86"/>
      <c r="O109" s="86"/>
      <c r="P109" s="86"/>
      <c r="Q109" s="86"/>
    </row>
    <row r="110" spans="2:51" x14ac:dyDescent="0.3">
      <c r="B110" s="292"/>
      <c r="C110" s="9" t="s">
        <v>179</v>
      </c>
      <c r="D110" s="86">
        <v>20.357544089059108</v>
      </c>
      <c r="E110" s="86">
        <v>35.910624132824005</v>
      </c>
      <c r="F110" s="88">
        <v>24.576149733484236</v>
      </c>
      <c r="G110" s="86">
        <v>13.857224750402887</v>
      </c>
      <c r="H110" s="88">
        <v>12.102288573448201</v>
      </c>
      <c r="I110" s="86">
        <v>34.889364195308971</v>
      </c>
      <c r="J110" s="86"/>
      <c r="K110" s="86"/>
      <c r="L110" s="109"/>
      <c r="M110" s="86"/>
      <c r="N110" s="86"/>
      <c r="O110" s="86"/>
      <c r="P110" s="86"/>
      <c r="Q110" s="86"/>
    </row>
    <row r="111" spans="2:51" x14ac:dyDescent="0.3">
      <c r="B111" s="298"/>
      <c r="C111" s="12" t="s">
        <v>180</v>
      </c>
      <c r="D111" s="90">
        <v>15.846223858414287</v>
      </c>
      <c r="E111" s="90">
        <v>25.764107422181766</v>
      </c>
      <c r="F111" s="91">
        <v>11.866935201587061</v>
      </c>
      <c r="G111" s="90">
        <v>11.990404502572245</v>
      </c>
      <c r="H111" s="91">
        <v>15.638039052754591</v>
      </c>
      <c r="I111" s="90">
        <v>2.6944638843437665</v>
      </c>
      <c r="J111" s="86"/>
      <c r="K111" s="86"/>
      <c r="L111" s="109"/>
      <c r="M111" s="86"/>
      <c r="N111" s="86"/>
      <c r="O111" s="86"/>
      <c r="P111" s="86"/>
      <c r="Q111" s="86"/>
    </row>
    <row r="112" spans="2:51" x14ac:dyDescent="0.3">
      <c r="B112" s="292" t="s">
        <v>223</v>
      </c>
      <c r="C112" s="9" t="s">
        <v>210</v>
      </c>
      <c r="D112" s="86">
        <v>12.519987775061125</v>
      </c>
      <c r="E112" s="86">
        <v>0</v>
      </c>
      <c r="F112" s="88">
        <v>20</v>
      </c>
      <c r="G112" s="86">
        <v>8.7209408224438167</v>
      </c>
      <c r="H112" s="88">
        <v>13.445324022075518</v>
      </c>
      <c r="I112" s="86">
        <v>0</v>
      </c>
      <c r="J112" s="86"/>
      <c r="K112" s="86"/>
      <c r="L112" s="109"/>
      <c r="M112" s="86"/>
      <c r="N112" s="86"/>
      <c r="O112" s="86"/>
      <c r="P112" s="86"/>
      <c r="Q112" s="86"/>
    </row>
    <row r="113" spans="2:17" x14ac:dyDescent="0.3">
      <c r="B113" s="292"/>
      <c r="C113" s="9" t="s">
        <v>211</v>
      </c>
      <c r="D113" s="86">
        <v>10.887353722355192</v>
      </c>
      <c r="E113" s="86">
        <v>12.494113003083424</v>
      </c>
      <c r="F113" s="88">
        <v>32.326035716348272</v>
      </c>
      <c r="G113" s="86">
        <v>20.450427785380285</v>
      </c>
      <c r="H113" s="88">
        <v>19.456473297032559</v>
      </c>
      <c r="I113" s="86">
        <v>0.5</v>
      </c>
      <c r="J113" s="86"/>
      <c r="K113" s="86"/>
      <c r="L113" s="109"/>
      <c r="M113" s="86"/>
      <c r="N113" s="86"/>
      <c r="O113" s="86"/>
      <c r="P113" s="86"/>
      <c r="Q113" s="86"/>
    </row>
    <row r="114" spans="2:17" x14ac:dyDescent="0.3">
      <c r="B114" s="292"/>
      <c r="C114" s="9" t="s">
        <v>212</v>
      </c>
      <c r="D114" s="86">
        <v>13.658141144355506</v>
      </c>
      <c r="E114" s="86">
        <v>70.11132266582716</v>
      </c>
      <c r="F114" s="88">
        <v>34.223327972337323</v>
      </c>
      <c r="G114" s="86">
        <v>13.635016019175515</v>
      </c>
      <c r="H114" s="88">
        <v>17.603529890385389</v>
      </c>
      <c r="I114" s="86">
        <v>18.899999999999999</v>
      </c>
      <c r="J114" s="86"/>
      <c r="K114" s="86"/>
      <c r="L114" s="109"/>
      <c r="M114" s="86"/>
      <c r="N114" s="86"/>
      <c r="O114" s="86"/>
      <c r="P114" s="86"/>
      <c r="Q114" s="86"/>
    </row>
    <row r="115" spans="2:17" x14ac:dyDescent="0.3">
      <c r="B115" s="292"/>
      <c r="C115" s="9" t="s">
        <v>213</v>
      </c>
      <c r="D115" s="86">
        <v>21.951469443310067</v>
      </c>
      <c r="E115" s="86">
        <v>79.190361319280186</v>
      </c>
      <c r="F115" s="88">
        <v>20.498878848720356</v>
      </c>
      <c r="G115" s="86">
        <v>11.764603240273107</v>
      </c>
      <c r="H115" s="88">
        <v>17.254006422057152</v>
      </c>
      <c r="I115" s="86">
        <v>9.6978752985896968</v>
      </c>
      <c r="J115" s="86"/>
      <c r="K115" s="86"/>
      <c r="L115" s="109"/>
      <c r="M115" s="86"/>
      <c r="N115" s="86"/>
      <c r="O115" s="86"/>
      <c r="P115" s="86"/>
      <c r="Q115" s="86"/>
    </row>
    <row r="116" spans="2:17" x14ac:dyDescent="0.3">
      <c r="B116" s="292"/>
      <c r="C116" s="9" t="s">
        <v>214</v>
      </c>
      <c r="D116" s="86">
        <v>18.628001416180723</v>
      </c>
      <c r="E116" s="86">
        <v>97.760717076926525</v>
      </c>
      <c r="F116" s="88">
        <v>37.938556871932036</v>
      </c>
      <c r="G116" s="86">
        <v>12.875940925611856</v>
      </c>
      <c r="H116" s="88">
        <v>10.515992422014104</v>
      </c>
      <c r="I116" s="86">
        <v>2.5284240622037011</v>
      </c>
      <c r="J116" s="86"/>
      <c r="K116" s="86"/>
      <c r="L116" s="109"/>
      <c r="M116" s="86"/>
      <c r="N116" s="86"/>
      <c r="O116" s="86"/>
      <c r="P116" s="86"/>
      <c r="Q116" s="86"/>
    </row>
    <row r="117" spans="2:17" x14ac:dyDescent="0.3">
      <c r="B117" s="292"/>
      <c r="C117" s="12" t="s">
        <v>215</v>
      </c>
      <c r="D117" s="90">
        <v>17.243067411621197</v>
      </c>
      <c r="E117" s="90">
        <v>24.37816660218412</v>
      </c>
      <c r="F117" s="91">
        <v>11.144320582147243</v>
      </c>
      <c r="G117" s="90">
        <v>12.888828225675367</v>
      </c>
      <c r="H117" s="91">
        <v>14.288954705923004</v>
      </c>
      <c r="I117" s="90">
        <v>0</v>
      </c>
      <c r="J117" s="86"/>
      <c r="K117" s="86"/>
      <c r="L117" s="109"/>
      <c r="M117" s="86"/>
      <c r="N117" s="86"/>
      <c r="O117" s="86"/>
      <c r="P117" s="86"/>
      <c r="Q117" s="86"/>
    </row>
    <row r="118" spans="2:17" x14ac:dyDescent="0.3">
      <c r="B118" s="292"/>
      <c r="C118" s="9" t="s">
        <v>216</v>
      </c>
      <c r="D118" s="86">
        <v>10.803987499277101</v>
      </c>
      <c r="E118" s="86">
        <v>7.7891923867961381</v>
      </c>
      <c r="F118" s="88">
        <v>9.7943725821007241</v>
      </c>
      <c r="G118" s="86">
        <v>0</v>
      </c>
      <c r="H118" s="88">
        <v>3.5559352085691893</v>
      </c>
      <c r="I118" s="86">
        <v>0</v>
      </c>
      <c r="J118" s="86"/>
      <c r="K118" s="86"/>
      <c r="L118" s="109"/>
      <c r="M118" s="86"/>
      <c r="N118" s="86"/>
      <c r="O118" s="86"/>
      <c r="P118" s="86"/>
      <c r="Q118" s="86"/>
    </row>
    <row r="119" spans="2:17" x14ac:dyDescent="0.3">
      <c r="B119" s="292"/>
      <c r="C119" s="9" t="s">
        <v>217</v>
      </c>
      <c r="D119" s="86">
        <v>20.382675067439429</v>
      </c>
      <c r="E119" s="86">
        <v>26.589693729762402</v>
      </c>
      <c r="F119" s="88">
        <v>18.66366906908187</v>
      </c>
      <c r="G119" s="86">
        <v>23.485502081689596</v>
      </c>
      <c r="H119" s="88">
        <v>43.746132606691397</v>
      </c>
      <c r="I119" s="86">
        <v>0</v>
      </c>
      <c r="J119" s="86"/>
      <c r="K119" s="86"/>
      <c r="L119" s="109"/>
      <c r="M119" s="86"/>
      <c r="N119" s="86"/>
      <c r="O119" s="86"/>
      <c r="P119" s="86"/>
      <c r="Q119" s="86"/>
    </row>
    <row r="120" spans="2:17" x14ac:dyDescent="0.3">
      <c r="B120" s="292"/>
      <c r="C120" s="9" t="s">
        <v>218</v>
      </c>
      <c r="D120" s="86">
        <v>13.671859243945244</v>
      </c>
      <c r="E120" s="86">
        <v>21.128074839985956</v>
      </c>
      <c r="F120" s="88">
        <v>20.952269744216196</v>
      </c>
      <c r="G120" s="86">
        <v>12.486407936977933</v>
      </c>
      <c r="H120" s="88">
        <v>31.270399264381492</v>
      </c>
      <c r="I120" s="86">
        <v>0.2</v>
      </c>
      <c r="J120" s="86"/>
      <c r="K120" s="86"/>
      <c r="L120" s="109"/>
      <c r="M120" s="86"/>
      <c r="N120" s="86"/>
      <c r="O120" s="86"/>
      <c r="P120" s="86"/>
      <c r="Q120" s="86"/>
    </row>
    <row r="121" spans="2:17" x14ac:dyDescent="0.3">
      <c r="B121" s="292"/>
      <c r="C121" s="9" t="s">
        <v>219</v>
      </c>
      <c r="D121" s="86">
        <v>13.574842933039934</v>
      </c>
      <c r="E121" s="86">
        <v>27.779424163532813</v>
      </c>
      <c r="F121" s="88">
        <v>22.194040160373032</v>
      </c>
      <c r="G121" s="86">
        <v>15.463122645548093</v>
      </c>
      <c r="H121" s="88">
        <v>22.852973309679228</v>
      </c>
      <c r="I121" s="86">
        <v>6.1913462582706922</v>
      </c>
      <c r="J121" s="86"/>
      <c r="K121" s="86"/>
      <c r="L121" s="109"/>
      <c r="M121" s="86"/>
      <c r="N121" s="86"/>
      <c r="O121" s="86"/>
      <c r="P121" s="86"/>
      <c r="Q121" s="86"/>
    </row>
    <row r="122" spans="2:17" x14ac:dyDescent="0.3">
      <c r="B122" s="292"/>
      <c r="C122" s="9" t="s">
        <v>220</v>
      </c>
      <c r="D122" s="86">
        <v>21.619983558712544</v>
      </c>
      <c r="E122" s="86">
        <v>27.784824155164884</v>
      </c>
      <c r="F122" s="88">
        <v>21.371302862769348</v>
      </c>
      <c r="G122" s="86">
        <v>19.783540209394463</v>
      </c>
      <c r="H122" s="88">
        <v>16.506861587417529</v>
      </c>
      <c r="I122" s="86">
        <v>77.568604276708939</v>
      </c>
      <c r="J122" s="86"/>
      <c r="K122" s="86"/>
      <c r="L122" s="109"/>
      <c r="M122" s="86"/>
      <c r="N122" s="86"/>
      <c r="O122" s="86"/>
      <c r="P122" s="86"/>
      <c r="Q122" s="86"/>
    </row>
    <row r="123" spans="2:17" x14ac:dyDescent="0.3">
      <c r="B123" s="295"/>
      <c r="C123" s="9" t="s">
        <v>221</v>
      </c>
      <c r="D123" s="90">
        <v>14.086856743226392</v>
      </c>
      <c r="E123" s="90">
        <v>25.944962922154026</v>
      </c>
      <c r="F123" s="91">
        <v>12.353174205560556</v>
      </c>
      <c r="G123" s="90">
        <v>8.6783644806234239</v>
      </c>
      <c r="H123" s="91">
        <v>26.687804373721658</v>
      </c>
      <c r="I123" s="90">
        <v>2.6944638843437665</v>
      </c>
      <c r="J123" s="86"/>
      <c r="K123" s="86"/>
      <c r="L123" s="109"/>
      <c r="M123" s="86"/>
      <c r="N123" s="86"/>
      <c r="O123" s="86"/>
      <c r="P123" s="86"/>
      <c r="Q123" s="86"/>
    </row>
    <row r="124" spans="2:17" ht="16.5" customHeight="1" x14ac:dyDescent="0.3">
      <c r="B124" s="291" t="s">
        <v>222</v>
      </c>
      <c r="C124" s="13" t="s">
        <v>226</v>
      </c>
      <c r="D124" s="80">
        <v>9.910604992737996</v>
      </c>
      <c r="E124" s="80">
        <v>10.519320739000621</v>
      </c>
      <c r="F124" s="80">
        <v>16.427887056533699</v>
      </c>
      <c r="G124" s="80">
        <v>8.3844720235261061</v>
      </c>
      <c r="H124" s="80">
        <v>6.0138386213341715</v>
      </c>
      <c r="I124" s="80">
        <v>50.663248588144455</v>
      </c>
      <c r="J124" s="79"/>
      <c r="K124" s="79"/>
      <c r="L124" s="79"/>
      <c r="M124" s="79"/>
      <c r="N124" s="79"/>
      <c r="O124" s="79"/>
      <c r="P124" s="79"/>
      <c r="Q124" s="79"/>
    </row>
    <row r="125" spans="2:17" ht="16.5" customHeight="1" x14ac:dyDescent="0.3">
      <c r="B125" s="294"/>
      <c r="C125" s="9" t="s">
        <v>227</v>
      </c>
      <c r="D125" s="79">
        <v>14.957085073307629</v>
      </c>
      <c r="E125" s="79">
        <v>21.750289642855307</v>
      </c>
      <c r="F125" s="79">
        <v>19.571574660687215</v>
      </c>
      <c r="G125" s="79">
        <v>10.630837261258588</v>
      </c>
      <c r="H125" s="79">
        <v>18.185560240799695</v>
      </c>
      <c r="I125" s="79">
        <v>3.7265766097580624</v>
      </c>
      <c r="J125" s="79"/>
      <c r="K125" s="79"/>
      <c r="L125" s="79"/>
      <c r="M125" s="79"/>
      <c r="N125" s="79"/>
      <c r="O125" s="79"/>
      <c r="P125" s="79"/>
      <c r="Q125" s="79"/>
    </row>
    <row r="126" spans="2:17" ht="16.5" customHeight="1" x14ac:dyDescent="0.3">
      <c r="B126" s="292"/>
      <c r="C126" s="9" t="s">
        <v>228</v>
      </c>
      <c r="D126" s="79">
        <v>16.958279917127271</v>
      </c>
      <c r="E126" s="79">
        <v>36.204934001098877</v>
      </c>
      <c r="F126" s="79">
        <v>19.178502298030132</v>
      </c>
      <c r="G126" s="79">
        <v>16.665138307179163</v>
      </c>
      <c r="H126" s="79">
        <v>17.713476941516316</v>
      </c>
      <c r="I126" s="79">
        <v>5.7045662320741934</v>
      </c>
      <c r="J126" s="79"/>
      <c r="K126" s="79"/>
      <c r="L126" s="79"/>
      <c r="M126" s="79"/>
      <c r="N126" s="79"/>
      <c r="O126" s="79"/>
      <c r="P126" s="79"/>
      <c r="Q126" s="79"/>
    </row>
    <row r="127" spans="2:17" ht="16.5" customHeight="1" x14ac:dyDescent="0.3">
      <c r="B127" s="295"/>
      <c r="C127" s="12" t="s">
        <v>229</v>
      </c>
      <c r="D127" s="81">
        <v>22.759277717644824</v>
      </c>
      <c r="E127" s="81">
        <v>48.415019173330094</v>
      </c>
      <c r="F127" s="81">
        <v>26.236407947825263</v>
      </c>
      <c r="G127" s="81">
        <v>22.942275006026495</v>
      </c>
      <c r="H127" s="81">
        <v>23.904804639460103</v>
      </c>
      <c r="I127" s="81">
        <v>11.816054085429396</v>
      </c>
      <c r="J127" s="79"/>
      <c r="K127" s="79"/>
      <c r="L127" s="79"/>
      <c r="M127" s="79"/>
      <c r="N127" s="79"/>
      <c r="O127" s="79"/>
      <c r="P127" s="79"/>
      <c r="Q127" s="79"/>
    </row>
    <row r="128" spans="2:17" x14ac:dyDescent="0.3">
      <c r="B128" s="296" t="s">
        <v>199</v>
      </c>
      <c r="C128" s="13" t="s">
        <v>192</v>
      </c>
      <c r="D128" s="80">
        <v>16.643307480018354</v>
      </c>
      <c r="E128" s="80">
        <v>29.247727934323297</v>
      </c>
      <c r="F128" s="80">
        <v>21.438036855083961</v>
      </c>
      <c r="G128" s="80">
        <v>14.848257784454882</v>
      </c>
      <c r="H128" s="80">
        <v>18.437234683841762</v>
      </c>
      <c r="I128" s="80">
        <v>8.0927154987662995</v>
      </c>
      <c r="J128" s="79"/>
      <c r="K128" s="79"/>
      <c r="L128" s="79"/>
      <c r="M128" s="79"/>
      <c r="N128" s="79"/>
      <c r="O128" s="79"/>
      <c r="P128" s="79"/>
      <c r="Q128" s="79"/>
    </row>
    <row r="129" spans="2:21" x14ac:dyDescent="0.3">
      <c r="B129" s="292"/>
      <c r="C129" s="9" t="s">
        <v>200</v>
      </c>
      <c r="D129" s="79">
        <v>19.428038336238778</v>
      </c>
      <c r="E129" s="79">
        <v>48.074796346516763</v>
      </c>
      <c r="F129" s="79">
        <v>18.11635746990132</v>
      </c>
      <c r="G129" s="79">
        <v>14.106414983937855</v>
      </c>
      <c r="H129" s="79">
        <v>8.3542843131184181</v>
      </c>
      <c r="I129" s="79">
        <v>0.1</v>
      </c>
      <c r="J129" s="79"/>
      <c r="K129" s="79"/>
      <c r="L129" s="79"/>
      <c r="M129" s="79"/>
      <c r="N129" s="79"/>
      <c r="O129" s="79"/>
      <c r="P129" s="79"/>
      <c r="Q129" s="79"/>
    </row>
    <row r="130" spans="2:21" x14ac:dyDescent="0.3">
      <c r="B130" s="292"/>
      <c r="C130" s="9" t="s">
        <v>201</v>
      </c>
      <c r="D130" s="79">
        <v>16.176826515661173</v>
      </c>
      <c r="E130" s="79">
        <v>30.375148993021572</v>
      </c>
      <c r="F130" s="79">
        <v>25.793074863274175</v>
      </c>
      <c r="G130" s="79">
        <v>17.059788102281903</v>
      </c>
      <c r="H130" s="79">
        <v>14.73396312365546</v>
      </c>
      <c r="I130" s="79">
        <v>3.1568582144048563</v>
      </c>
      <c r="J130" s="79"/>
      <c r="K130" s="79"/>
      <c r="L130" s="79"/>
      <c r="M130" s="79"/>
      <c r="N130" s="79"/>
      <c r="O130" s="79"/>
      <c r="P130" s="79"/>
      <c r="Q130" s="79"/>
    </row>
    <row r="131" spans="2:21" x14ac:dyDescent="0.3">
      <c r="B131" s="292"/>
      <c r="C131" s="9" t="s">
        <v>202</v>
      </c>
      <c r="D131" s="79">
        <v>17.277768207029595</v>
      </c>
      <c r="E131" s="79">
        <v>40.176275837136117</v>
      </c>
      <c r="F131" s="79">
        <v>18.0088154965072</v>
      </c>
      <c r="G131" s="79">
        <v>12.758255181654382</v>
      </c>
      <c r="H131" s="79">
        <v>18.685663317611386</v>
      </c>
      <c r="I131" s="79">
        <v>1.6965161336725794</v>
      </c>
      <c r="J131" s="79"/>
      <c r="K131" s="79"/>
      <c r="L131" s="79"/>
      <c r="M131" s="79"/>
      <c r="N131" s="79"/>
      <c r="O131" s="79"/>
      <c r="P131" s="79"/>
      <c r="Q131" s="79"/>
    </row>
    <row r="132" spans="2:21" ht="16.5" customHeight="1" x14ac:dyDescent="0.3">
      <c r="B132" s="295"/>
      <c r="C132" s="12" t="s">
        <v>203</v>
      </c>
      <c r="D132" s="81">
        <v>16.202201634134234</v>
      </c>
      <c r="E132" s="81">
        <v>20.548769154753277</v>
      </c>
      <c r="F132" s="81">
        <v>19.262767317876705</v>
      </c>
      <c r="G132" s="81">
        <v>12.4999429258368</v>
      </c>
      <c r="H132" s="81">
        <v>14.434964353102016</v>
      </c>
      <c r="I132" s="81">
        <v>29.056988508060307</v>
      </c>
      <c r="J132" s="79"/>
      <c r="K132" s="79"/>
      <c r="L132" s="79"/>
      <c r="M132" s="79"/>
      <c r="N132" s="79"/>
      <c r="O132" s="79"/>
      <c r="P132" s="79"/>
      <c r="Q132" s="79"/>
    </row>
    <row r="133" spans="2:21" x14ac:dyDescent="0.3">
      <c r="B133" s="291" t="s">
        <v>204</v>
      </c>
      <c r="C133" s="13" t="s">
        <v>192</v>
      </c>
      <c r="D133" s="80">
        <v>16.643307480018354</v>
      </c>
      <c r="E133" s="80">
        <v>29.247727934323297</v>
      </c>
      <c r="F133" s="80">
        <v>21.438036855083961</v>
      </c>
      <c r="G133" s="80">
        <v>14.848257784454882</v>
      </c>
      <c r="H133" s="80">
        <v>18.437234683841762</v>
      </c>
      <c r="I133" s="80">
        <v>8.0927154987662995</v>
      </c>
      <c r="J133" s="79"/>
      <c r="K133" s="79"/>
      <c r="L133" s="79"/>
      <c r="M133" s="79"/>
      <c r="N133" s="79"/>
      <c r="O133" s="79"/>
      <c r="P133" s="79"/>
      <c r="Q133" s="79"/>
    </row>
    <row r="134" spans="2:21" x14ac:dyDescent="0.3">
      <c r="B134" s="295"/>
      <c r="C134" s="12" t="s">
        <v>193</v>
      </c>
      <c r="D134" s="81">
        <v>16.766711912810354</v>
      </c>
      <c r="E134" s="81">
        <v>28.242699804827321</v>
      </c>
      <c r="F134" s="81">
        <v>20.072060190966198</v>
      </c>
      <c r="G134" s="81">
        <v>14.116283945878433</v>
      </c>
      <c r="H134" s="81">
        <v>15.022525411711399</v>
      </c>
      <c r="I134" s="81">
        <v>18.709675129858645</v>
      </c>
      <c r="J134" s="79"/>
      <c r="K134" s="79"/>
      <c r="L134" s="79"/>
      <c r="M134" s="79"/>
      <c r="N134" s="79"/>
      <c r="O134" s="79"/>
      <c r="P134" s="79"/>
      <c r="Q134" s="79"/>
    </row>
    <row r="135" spans="2:21" x14ac:dyDescent="0.3">
      <c r="B135" s="291" t="s">
        <v>209</v>
      </c>
      <c r="C135" s="13" t="s">
        <v>205</v>
      </c>
      <c r="D135" s="80">
        <v>22.282869116530648</v>
      </c>
      <c r="E135" s="80">
        <v>20.057424876553796</v>
      </c>
      <c r="F135" s="80">
        <v>29.365569993453651</v>
      </c>
      <c r="G135" s="80">
        <v>10.155690829941397</v>
      </c>
      <c r="H135" s="80">
        <v>14.119611556965031</v>
      </c>
      <c r="I135" s="80">
        <v>10.770022829177879</v>
      </c>
      <c r="J135" s="79"/>
      <c r="K135" s="79"/>
      <c r="L135" s="79"/>
      <c r="M135" s="79"/>
      <c r="N135" s="79"/>
      <c r="O135" s="79"/>
      <c r="P135" s="79"/>
      <c r="Q135" s="79"/>
    </row>
    <row r="136" spans="2:21" x14ac:dyDescent="0.3">
      <c r="B136" s="292"/>
      <c r="C136" s="9" t="s">
        <v>206</v>
      </c>
      <c r="D136" s="79">
        <v>16.871560028027719</v>
      </c>
      <c r="E136" s="79">
        <v>24.137053596492994</v>
      </c>
      <c r="F136" s="79">
        <v>24.671292063237107</v>
      </c>
      <c r="G136" s="79">
        <v>11.667144913428944</v>
      </c>
      <c r="H136" s="79">
        <v>15.563998017327968</v>
      </c>
      <c r="I136" s="79">
        <v>26.011667589731722</v>
      </c>
      <c r="J136" s="79"/>
      <c r="K136" s="79"/>
      <c r="L136" s="79"/>
      <c r="M136" s="79"/>
      <c r="N136" s="79"/>
      <c r="O136" s="79"/>
      <c r="P136" s="79"/>
      <c r="Q136" s="79"/>
    </row>
    <row r="137" spans="2:21" x14ac:dyDescent="0.3">
      <c r="B137" s="292"/>
      <c r="C137" s="9" t="s">
        <v>207</v>
      </c>
      <c r="D137" s="79">
        <v>14.063172443805534</v>
      </c>
      <c r="E137" s="79">
        <v>37.551615757310529</v>
      </c>
      <c r="F137" s="79">
        <v>19.990602932558964</v>
      </c>
      <c r="G137" s="79">
        <v>21.283692958241289</v>
      </c>
      <c r="H137" s="79">
        <v>18.877885816907575</v>
      </c>
      <c r="I137" s="79">
        <v>5.5946335456842258</v>
      </c>
      <c r="J137" s="79"/>
      <c r="K137" s="79"/>
      <c r="L137" s="79"/>
      <c r="M137" s="79"/>
      <c r="N137" s="79"/>
      <c r="O137" s="79"/>
      <c r="P137" s="79"/>
      <c r="Q137" s="79"/>
    </row>
    <row r="138" spans="2:21" x14ac:dyDescent="0.3">
      <c r="B138" s="293"/>
      <c r="C138" s="25" t="s">
        <v>208</v>
      </c>
      <c r="D138" s="82">
        <v>16.116336943728136</v>
      </c>
      <c r="E138" s="82">
        <v>27.712696193853589</v>
      </c>
      <c r="F138" s="82">
        <v>17.227355597637853</v>
      </c>
      <c r="G138" s="82">
        <v>12.408811376690135</v>
      </c>
      <c r="H138" s="82">
        <v>17.060513860984695</v>
      </c>
      <c r="I138" s="82">
        <v>5.6681767656986271</v>
      </c>
      <c r="J138" s="79"/>
      <c r="K138" s="79"/>
      <c r="L138" s="79"/>
      <c r="M138" s="79"/>
      <c r="N138" s="79"/>
      <c r="O138" s="79"/>
      <c r="P138" s="79"/>
      <c r="Q138" s="79"/>
    </row>
    <row r="139" spans="2:21" x14ac:dyDescent="0.3">
      <c r="B139" s="60"/>
      <c r="C139" s="9"/>
      <c r="D139" s="58"/>
      <c r="E139" s="58"/>
      <c r="F139" s="50"/>
      <c r="G139" s="58"/>
      <c r="H139" s="50"/>
      <c r="I139" s="58"/>
      <c r="J139" s="58"/>
      <c r="K139" s="58"/>
      <c r="L139" s="50"/>
      <c r="M139" s="58"/>
      <c r="N139" s="58"/>
    </row>
    <row r="140" spans="2:21" x14ac:dyDescent="0.3">
      <c r="B140" s="60"/>
      <c r="C140" s="9"/>
      <c r="D140" s="58"/>
      <c r="E140" s="58"/>
      <c r="F140" s="50"/>
      <c r="G140" s="58"/>
      <c r="H140" s="50"/>
      <c r="I140" s="58"/>
      <c r="J140" s="58"/>
      <c r="K140" s="58"/>
      <c r="L140" s="50"/>
      <c r="M140" s="58"/>
      <c r="N140" s="58"/>
    </row>
    <row r="141" spans="2:21" ht="17.25" customHeight="1" x14ac:dyDescent="0.3">
      <c r="B141" s="1" t="s">
        <v>487</v>
      </c>
      <c r="D141" s="59"/>
      <c r="E141" s="59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</row>
    <row r="142" spans="2:21" ht="10.5" customHeight="1" x14ac:dyDescent="0.3"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30"/>
      <c r="P142" s="30"/>
      <c r="Q142" s="30" t="s">
        <v>52</v>
      </c>
    </row>
    <row r="143" spans="2:21" s="22" customFormat="1" ht="20.25" customHeight="1" x14ac:dyDescent="0.3">
      <c r="B143" s="307"/>
      <c r="C143" s="307"/>
      <c r="D143" s="300" t="s">
        <v>120</v>
      </c>
      <c r="E143" s="300"/>
      <c r="F143" s="300"/>
      <c r="G143" s="300"/>
      <c r="H143" s="300"/>
      <c r="I143" s="300"/>
      <c r="J143" s="301"/>
      <c r="K143" s="299" t="s">
        <v>125</v>
      </c>
      <c r="L143" s="300"/>
      <c r="M143" s="300"/>
      <c r="N143" s="300"/>
      <c r="O143" s="300"/>
      <c r="P143" s="301"/>
      <c r="Q143" s="212" t="s">
        <v>38</v>
      </c>
    </row>
    <row r="144" spans="2:21" s="22" customFormat="1" ht="27" x14ac:dyDescent="0.3">
      <c r="B144" s="300"/>
      <c r="C144" s="300"/>
      <c r="D144" s="202" t="s">
        <v>39</v>
      </c>
      <c r="E144" s="202" t="s">
        <v>40</v>
      </c>
      <c r="F144" s="202" t="s">
        <v>116</v>
      </c>
      <c r="G144" s="202" t="s">
        <v>117</v>
      </c>
      <c r="H144" s="202" t="s">
        <v>115</v>
      </c>
      <c r="I144" s="202" t="s">
        <v>119</v>
      </c>
      <c r="J144" s="202" t="s">
        <v>300</v>
      </c>
      <c r="K144" s="214" t="s">
        <v>298</v>
      </c>
      <c r="L144" s="202" t="s">
        <v>299</v>
      </c>
      <c r="M144" s="202" t="s">
        <v>121</v>
      </c>
      <c r="N144" s="202" t="s">
        <v>118</v>
      </c>
      <c r="O144" s="202" t="s">
        <v>122</v>
      </c>
      <c r="P144" s="202" t="s">
        <v>124</v>
      </c>
      <c r="Q144" s="214" t="s">
        <v>38</v>
      </c>
    </row>
    <row r="145" spans="2:17" ht="21.75" customHeight="1" x14ac:dyDescent="0.3">
      <c r="B145" s="292" t="s">
        <v>20</v>
      </c>
      <c r="C145" s="292"/>
      <c r="D145" s="86">
        <v>24.465584451955223</v>
      </c>
      <c r="E145" s="86">
        <v>6.3083916454689328</v>
      </c>
      <c r="F145" s="88">
        <v>11.578848237484895</v>
      </c>
      <c r="G145" s="88">
        <v>7.5423402594582036</v>
      </c>
      <c r="H145" s="88">
        <v>8.1505873414081105</v>
      </c>
      <c r="I145" s="86">
        <v>3.1594000586434476</v>
      </c>
      <c r="J145" s="86">
        <v>1.8799220759711983</v>
      </c>
      <c r="K145" s="92">
        <v>12.819469046832326</v>
      </c>
      <c r="L145" s="86">
        <v>4.4545132711492883</v>
      </c>
      <c r="M145" s="88">
        <v>3.5328666581551684</v>
      </c>
      <c r="N145" s="86">
        <v>12.664808651271207</v>
      </c>
      <c r="O145" s="86">
        <v>1.9957263106682142</v>
      </c>
      <c r="P145" s="86">
        <v>0.75249418759465725</v>
      </c>
      <c r="Q145" s="92">
        <v>0.69504780393902799</v>
      </c>
    </row>
    <row r="146" spans="2:17" x14ac:dyDescent="0.3">
      <c r="B146" s="296" t="s">
        <v>5</v>
      </c>
      <c r="C146" s="13" t="s">
        <v>0</v>
      </c>
      <c r="D146" s="84">
        <v>21.670294550458387</v>
      </c>
      <c r="E146" s="84">
        <v>7.5626181785539091</v>
      </c>
      <c r="F146" s="89">
        <v>13.625086720311222</v>
      </c>
      <c r="G146" s="89">
        <v>11.154974051109425</v>
      </c>
      <c r="H146" s="89">
        <v>7.3172789732635062</v>
      </c>
      <c r="I146" s="84">
        <v>3.5422329428997283</v>
      </c>
      <c r="J146" s="84">
        <v>2.0225657766671721</v>
      </c>
      <c r="K146" s="93">
        <v>8.2588643668624719</v>
      </c>
      <c r="L146" s="84">
        <v>3.7320152385011385</v>
      </c>
      <c r="M146" s="89">
        <v>2.8155440865813315</v>
      </c>
      <c r="N146" s="84">
        <v>15.94050031129127</v>
      </c>
      <c r="O146" s="84">
        <v>0.96429557159502732</v>
      </c>
      <c r="P146" s="84">
        <v>0.75128225188163356</v>
      </c>
      <c r="Q146" s="93">
        <v>0.64244698002381317</v>
      </c>
    </row>
    <row r="147" spans="2:17" x14ac:dyDescent="0.3">
      <c r="B147" s="295"/>
      <c r="C147" s="12" t="s">
        <v>1</v>
      </c>
      <c r="D147" s="90">
        <v>26.03801223198688</v>
      </c>
      <c r="E147" s="90">
        <v>5.6028545768380171</v>
      </c>
      <c r="F147" s="91">
        <v>10.427782570470136</v>
      </c>
      <c r="G147" s="91">
        <v>5.5101339648510983</v>
      </c>
      <c r="H147" s="91">
        <v>8.6193463158177881</v>
      </c>
      <c r="I147" s="90">
        <v>2.9440459867842486</v>
      </c>
      <c r="J147" s="90">
        <v>1.7996810542793964</v>
      </c>
      <c r="K147" s="94">
        <v>15.384935150611707</v>
      </c>
      <c r="L147" s="90">
        <v>4.8609383710810725</v>
      </c>
      <c r="M147" s="91">
        <v>3.9363804182780244</v>
      </c>
      <c r="N147" s="90">
        <v>10.822141612594633</v>
      </c>
      <c r="O147" s="90">
        <v>2.5759345911863769</v>
      </c>
      <c r="P147" s="90">
        <v>0.75317593490886081</v>
      </c>
      <c r="Q147" s="94">
        <v>0.72463722031138467</v>
      </c>
    </row>
    <row r="148" spans="2:17" x14ac:dyDescent="0.3">
      <c r="B148" s="296" t="s">
        <v>4</v>
      </c>
      <c r="C148" s="9" t="s">
        <v>175</v>
      </c>
      <c r="D148" s="86">
        <v>29.375959702346982</v>
      </c>
      <c r="E148" s="86">
        <v>3.2572247044689799</v>
      </c>
      <c r="F148" s="88">
        <v>8.033770662383116</v>
      </c>
      <c r="G148" s="88">
        <v>6.5092642845253454</v>
      </c>
      <c r="H148" s="88">
        <v>2.4294850106582659</v>
      </c>
      <c r="I148" s="86">
        <v>2.2700637833373856</v>
      </c>
      <c r="J148" s="86">
        <v>0</v>
      </c>
      <c r="K148" s="92">
        <v>34.174784653977127</v>
      </c>
      <c r="L148" s="86">
        <v>6.2063686592869933</v>
      </c>
      <c r="M148" s="88">
        <v>2.5749177645391867</v>
      </c>
      <c r="N148" s="86">
        <v>4.3826407809398118</v>
      </c>
      <c r="O148" s="86">
        <v>0</v>
      </c>
      <c r="P148" s="86">
        <v>0</v>
      </c>
      <c r="Q148" s="92">
        <v>0.78551999353678303</v>
      </c>
    </row>
    <row r="149" spans="2:17" x14ac:dyDescent="0.3">
      <c r="B149" s="292"/>
      <c r="C149" s="9" t="s">
        <v>176</v>
      </c>
      <c r="D149" s="86">
        <v>20.206855534480649</v>
      </c>
      <c r="E149" s="86">
        <v>5.9454097212413277</v>
      </c>
      <c r="F149" s="88">
        <v>16.933692294622549</v>
      </c>
      <c r="G149" s="88">
        <v>5.5370526645122737</v>
      </c>
      <c r="H149" s="88">
        <v>6.032647277565955</v>
      </c>
      <c r="I149" s="86">
        <v>3.5348834024280267</v>
      </c>
      <c r="J149" s="86">
        <v>1.9421167412405589</v>
      </c>
      <c r="K149" s="92">
        <v>23.171876661262289</v>
      </c>
      <c r="L149" s="86">
        <v>5.2948774189893086</v>
      </c>
      <c r="M149" s="88">
        <v>3.0709169094296311</v>
      </c>
      <c r="N149" s="86">
        <v>5.3232493770893399</v>
      </c>
      <c r="O149" s="86">
        <v>1.2620785184864047</v>
      </c>
      <c r="P149" s="86">
        <v>0.86534491530783886</v>
      </c>
      <c r="Q149" s="92">
        <v>0.87899856334385584</v>
      </c>
    </row>
    <row r="150" spans="2:17" x14ac:dyDescent="0.3">
      <c r="B150" s="292"/>
      <c r="C150" s="9" t="s">
        <v>177</v>
      </c>
      <c r="D150" s="86">
        <v>25.940449026430663</v>
      </c>
      <c r="E150" s="86">
        <v>8.0332963189018258</v>
      </c>
      <c r="F150" s="88">
        <v>17.163523722758896</v>
      </c>
      <c r="G150" s="88">
        <v>4.0167990152139526</v>
      </c>
      <c r="H150" s="88">
        <v>5.4582028351914698</v>
      </c>
      <c r="I150" s="86">
        <v>2.9202438891367835</v>
      </c>
      <c r="J150" s="86">
        <v>2.2503904949754174</v>
      </c>
      <c r="K150" s="92">
        <v>11.733497300201735</v>
      </c>
      <c r="L150" s="86">
        <v>5.3820649845784674</v>
      </c>
      <c r="M150" s="88">
        <v>4.2965227489263365</v>
      </c>
      <c r="N150" s="86">
        <v>11.016001617937388</v>
      </c>
      <c r="O150" s="86">
        <v>0</v>
      </c>
      <c r="P150" s="86">
        <v>0.95826408702680921</v>
      </c>
      <c r="Q150" s="92">
        <v>0.83074395872015339</v>
      </c>
    </row>
    <row r="151" spans="2:17" x14ac:dyDescent="0.3">
      <c r="B151" s="292"/>
      <c r="C151" s="9" t="s">
        <v>178</v>
      </c>
      <c r="D151" s="86">
        <v>24.874143348110337</v>
      </c>
      <c r="E151" s="86">
        <v>5.9023907298241776</v>
      </c>
      <c r="F151" s="88">
        <v>7.9206430273097608</v>
      </c>
      <c r="G151" s="88">
        <v>11.064241558208749</v>
      </c>
      <c r="H151" s="88">
        <v>8.9083142575207841</v>
      </c>
      <c r="I151" s="86">
        <v>3.8682365676726831</v>
      </c>
      <c r="J151" s="86">
        <v>1.3031639691920442</v>
      </c>
      <c r="K151" s="92">
        <v>9.7582810936213633</v>
      </c>
      <c r="L151" s="86">
        <v>2.8390969394768955</v>
      </c>
      <c r="M151" s="88">
        <v>3.060662271312351</v>
      </c>
      <c r="N151" s="86">
        <v>17.148651236328803</v>
      </c>
      <c r="O151" s="86">
        <v>2.0039299557907961</v>
      </c>
      <c r="P151" s="86">
        <v>1.0760617204011755</v>
      </c>
      <c r="Q151" s="92">
        <v>0.27218332522994926</v>
      </c>
    </row>
    <row r="152" spans="2:17" x14ac:dyDescent="0.3">
      <c r="B152" s="292"/>
      <c r="C152" s="9" t="s">
        <v>179</v>
      </c>
      <c r="D152" s="86">
        <v>24.981826498221924</v>
      </c>
      <c r="E152" s="86">
        <v>6.5672111975115239</v>
      </c>
      <c r="F152" s="88">
        <v>8.0397401196744127</v>
      </c>
      <c r="G152" s="88">
        <v>8.7017927306247476</v>
      </c>
      <c r="H152" s="88">
        <v>10.840868715502527</v>
      </c>
      <c r="I152" s="86">
        <v>3.3108858754129771</v>
      </c>
      <c r="J152" s="86">
        <v>2.5491827914575849</v>
      </c>
      <c r="K152" s="92">
        <v>3.9682594383858163</v>
      </c>
      <c r="L152" s="86">
        <v>4.2966081061807468</v>
      </c>
      <c r="M152" s="88">
        <v>5.2693212926598152</v>
      </c>
      <c r="N152" s="86">
        <v>16.92235379004325</v>
      </c>
      <c r="O152" s="86">
        <v>3.6883923929399298</v>
      </c>
      <c r="P152" s="86">
        <v>0.25951673122724067</v>
      </c>
      <c r="Q152" s="92">
        <v>0.60404032015755704</v>
      </c>
    </row>
    <row r="153" spans="2:17" x14ac:dyDescent="0.3">
      <c r="B153" s="298"/>
      <c r="C153" s="12" t="s">
        <v>180</v>
      </c>
      <c r="D153" s="90">
        <v>26.024099664292478</v>
      </c>
      <c r="E153" s="90">
        <v>6.4639704062948891</v>
      </c>
      <c r="F153" s="91">
        <v>7.2724491174519512</v>
      </c>
      <c r="G153" s="91">
        <v>9.3559654690004255</v>
      </c>
      <c r="H153" s="91">
        <v>13.080690633911104</v>
      </c>
      <c r="I153" s="90">
        <v>2.1244901381227232</v>
      </c>
      <c r="J153" s="90">
        <v>2.1320491124507193</v>
      </c>
      <c r="K153" s="94">
        <v>2.7225770576026131</v>
      </c>
      <c r="L153" s="90">
        <v>3.4984556085466889</v>
      </c>
      <c r="M153" s="91">
        <v>2.2074325867998681</v>
      </c>
      <c r="N153" s="90">
        <v>19.007867576757949</v>
      </c>
      <c r="O153" s="90">
        <v>4.3582265142368266</v>
      </c>
      <c r="P153" s="90">
        <v>0.88046706520486728</v>
      </c>
      <c r="Q153" s="94">
        <v>0.87125904932689457</v>
      </c>
    </row>
    <row r="154" spans="2:17" x14ac:dyDescent="0.3">
      <c r="B154" s="292" t="s">
        <v>223</v>
      </c>
      <c r="C154" s="9" t="s">
        <v>210</v>
      </c>
      <c r="D154" s="86">
        <v>35.14387341248402</v>
      </c>
      <c r="E154" s="86">
        <v>4.3637958520695586</v>
      </c>
      <c r="F154" s="88">
        <v>4.9516405023940262</v>
      </c>
      <c r="G154" s="88">
        <v>4.0931143078155401</v>
      </c>
      <c r="H154" s="88">
        <v>3.3690824508743553</v>
      </c>
      <c r="I154" s="86">
        <v>3.454997887006638</v>
      </c>
      <c r="J154" s="86">
        <v>0</v>
      </c>
      <c r="K154" s="92">
        <v>20.47781170136286</v>
      </c>
      <c r="L154" s="86">
        <v>4.3637958520695586</v>
      </c>
      <c r="M154" s="88">
        <v>8.2427254983536127</v>
      </c>
      <c r="N154" s="86">
        <v>11.539162535569814</v>
      </c>
      <c r="O154" s="86">
        <v>0</v>
      </c>
      <c r="P154" s="86">
        <v>0</v>
      </c>
      <c r="Q154" s="92">
        <v>0</v>
      </c>
    </row>
    <row r="155" spans="2:17" x14ac:dyDescent="0.3">
      <c r="B155" s="292"/>
      <c r="C155" s="9" t="s">
        <v>211</v>
      </c>
      <c r="D155" s="86">
        <v>19.245783408352874</v>
      </c>
      <c r="E155" s="86">
        <v>5.7083333143506412</v>
      </c>
      <c r="F155" s="88">
        <v>19.835912184177669</v>
      </c>
      <c r="G155" s="88">
        <v>7.8899465352070246</v>
      </c>
      <c r="H155" s="88">
        <v>6.3811401014025932</v>
      </c>
      <c r="I155" s="86">
        <v>4.6742919699044014</v>
      </c>
      <c r="J155" s="86">
        <v>2.5200443634410803</v>
      </c>
      <c r="K155" s="92">
        <v>17.834156713439629</v>
      </c>
      <c r="L155" s="86">
        <v>5.1927553878538752</v>
      </c>
      <c r="M155" s="88">
        <v>1.8361445298814523</v>
      </c>
      <c r="N155" s="86">
        <v>3.3898301570294174</v>
      </c>
      <c r="O155" s="86">
        <v>1.7869042079600519</v>
      </c>
      <c r="P155" s="86">
        <v>1.7906463904396626</v>
      </c>
      <c r="Q155" s="92">
        <v>1.9141107365595937</v>
      </c>
    </row>
    <row r="156" spans="2:17" x14ac:dyDescent="0.3">
      <c r="B156" s="292"/>
      <c r="C156" s="9" t="s">
        <v>212</v>
      </c>
      <c r="D156" s="86">
        <v>24.249769760423067</v>
      </c>
      <c r="E156" s="86">
        <v>9.2083187596263514</v>
      </c>
      <c r="F156" s="88">
        <v>25.140958540254644</v>
      </c>
      <c r="G156" s="88">
        <v>5.6567812416660717</v>
      </c>
      <c r="H156" s="88">
        <v>3.6587837763853424</v>
      </c>
      <c r="I156" s="86">
        <v>4.4415335311215989</v>
      </c>
      <c r="J156" s="86">
        <v>2.681408730408128</v>
      </c>
      <c r="K156" s="92">
        <v>5.7621496797108271</v>
      </c>
      <c r="L156" s="86">
        <v>3.7607072269970523</v>
      </c>
      <c r="M156" s="88">
        <v>3.6306789180382748</v>
      </c>
      <c r="N156" s="86">
        <v>9.5998737283739093</v>
      </c>
      <c r="O156" s="86">
        <v>0</v>
      </c>
      <c r="P156" s="86">
        <v>1.0273995005444372</v>
      </c>
      <c r="Q156" s="92">
        <v>1.1816366064502766</v>
      </c>
    </row>
    <row r="157" spans="2:17" x14ac:dyDescent="0.3">
      <c r="B157" s="292"/>
      <c r="C157" s="9" t="s">
        <v>213</v>
      </c>
      <c r="D157" s="86">
        <v>22.883698919693877</v>
      </c>
      <c r="E157" s="86">
        <v>6.3936995952988669</v>
      </c>
      <c r="F157" s="88">
        <v>8.2923363368119318</v>
      </c>
      <c r="G157" s="88">
        <v>15.766664541696324</v>
      </c>
      <c r="H157" s="88">
        <v>6.9989266453472574</v>
      </c>
      <c r="I157" s="86">
        <v>2.7087279221005742</v>
      </c>
      <c r="J157" s="86">
        <v>0.71143810490285386</v>
      </c>
      <c r="K157" s="92">
        <v>7.4262465727427234</v>
      </c>
      <c r="L157" s="86">
        <v>1.5084579031754517</v>
      </c>
      <c r="M157" s="88">
        <v>1.5705504832238408</v>
      </c>
      <c r="N157" s="86">
        <v>23.150974715006388</v>
      </c>
      <c r="O157" s="86">
        <v>1.7661015900759733</v>
      </c>
      <c r="P157" s="86">
        <v>0.82217666992401595</v>
      </c>
      <c r="Q157" s="92">
        <v>0</v>
      </c>
    </row>
    <row r="158" spans="2:17" x14ac:dyDescent="0.3">
      <c r="B158" s="292"/>
      <c r="C158" s="9" t="s">
        <v>214</v>
      </c>
      <c r="D158" s="86">
        <v>16.453723880709131</v>
      </c>
      <c r="E158" s="86">
        <v>7.6712347304640343</v>
      </c>
      <c r="F158" s="88">
        <v>11.001813472981627</v>
      </c>
      <c r="G158" s="88">
        <v>16.79517399363932</v>
      </c>
      <c r="H158" s="88">
        <v>9.6709015492656523</v>
      </c>
      <c r="I158" s="86">
        <v>1.6117244799567756</v>
      </c>
      <c r="J158" s="86">
        <v>3.6550393840708226</v>
      </c>
      <c r="K158" s="92">
        <v>1.6748131797758352</v>
      </c>
      <c r="L158" s="86">
        <v>2.8161602859204335</v>
      </c>
      <c r="M158" s="88">
        <v>3.1519774189120415</v>
      </c>
      <c r="N158" s="86">
        <v>24.336681612585927</v>
      </c>
      <c r="O158" s="86">
        <v>1.1607560117183506</v>
      </c>
      <c r="P158" s="86">
        <v>0</v>
      </c>
      <c r="Q158" s="92">
        <v>0</v>
      </c>
    </row>
    <row r="159" spans="2:17" x14ac:dyDescent="0.3">
      <c r="B159" s="292"/>
      <c r="C159" s="12" t="s">
        <v>215</v>
      </c>
      <c r="D159" s="90">
        <v>21.544868854197365</v>
      </c>
      <c r="E159" s="90">
        <v>10.902147342979729</v>
      </c>
      <c r="F159" s="91">
        <v>4.9826550779560419</v>
      </c>
      <c r="G159" s="91">
        <v>12.442654486103924</v>
      </c>
      <c r="H159" s="91">
        <v>11.898787993680386</v>
      </c>
      <c r="I159" s="90">
        <v>4.1584249145210261</v>
      </c>
      <c r="J159" s="90">
        <v>1.1717073659396724</v>
      </c>
      <c r="K159" s="94">
        <v>1.2289153619866384</v>
      </c>
      <c r="L159" s="90">
        <v>5.1733791834050056</v>
      </c>
      <c r="M159" s="91">
        <v>2.4723599135960868</v>
      </c>
      <c r="N159" s="90">
        <v>24.024099505634158</v>
      </c>
      <c r="O159" s="90">
        <v>0</v>
      </c>
      <c r="P159" s="90">
        <v>0</v>
      </c>
      <c r="Q159" s="94">
        <v>0</v>
      </c>
    </row>
    <row r="160" spans="2:17" x14ac:dyDescent="0.3">
      <c r="B160" s="292"/>
      <c r="C160" s="9" t="s">
        <v>216</v>
      </c>
      <c r="D160" s="86">
        <v>26.755563215014895</v>
      </c>
      <c r="E160" s="86">
        <v>2.7545030456724038</v>
      </c>
      <c r="F160" s="88">
        <v>9.4340001822078516</v>
      </c>
      <c r="G160" s="88">
        <v>7.60693516346217</v>
      </c>
      <c r="H160" s="88">
        <v>2.0026204707950348</v>
      </c>
      <c r="I160" s="86">
        <v>1.7317413813364813</v>
      </c>
      <c r="J160" s="86">
        <v>0</v>
      </c>
      <c r="K160" s="92">
        <v>40.397398516773691</v>
      </c>
      <c r="L160" s="86">
        <v>7.0434601197921252</v>
      </c>
      <c r="M160" s="88">
        <v>0</v>
      </c>
      <c r="N160" s="86">
        <v>1.1313916448110699</v>
      </c>
      <c r="O160" s="86">
        <v>0</v>
      </c>
      <c r="P160" s="86">
        <v>0</v>
      </c>
      <c r="Q160" s="92">
        <v>1.1423862601342436</v>
      </c>
    </row>
    <row r="161" spans="2:17" x14ac:dyDescent="0.3">
      <c r="B161" s="292"/>
      <c r="C161" s="9" t="s">
        <v>217</v>
      </c>
      <c r="D161" s="86">
        <v>20.724828402707686</v>
      </c>
      <c r="E161" s="86">
        <v>6.0731828020827097</v>
      </c>
      <c r="F161" s="88">
        <v>15.36953168736904</v>
      </c>
      <c r="G161" s="88">
        <v>4.2689530560594138</v>
      </c>
      <c r="H161" s="88">
        <v>5.8448259657082291</v>
      </c>
      <c r="I161" s="86">
        <v>2.9207955439484645</v>
      </c>
      <c r="J161" s="86">
        <v>1.6306408176749216</v>
      </c>
      <c r="K161" s="92">
        <v>26.048657743558294</v>
      </c>
      <c r="L161" s="86">
        <v>5.349916411317083</v>
      </c>
      <c r="M161" s="88">
        <v>3.7364013966543319</v>
      </c>
      <c r="N161" s="86">
        <v>6.365271793174454</v>
      </c>
      <c r="O161" s="86">
        <v>0.97922204985570527</v>
      </c>
      <c r="P161" s="86">
        <v>0.3666507528001825</v>
      </c>
      <c r="Q161" s="92">
        <v>0.32112157708944511</v>
      </c>
    </row>
    <row r="162" spans="2:17" x14ac:dyDescent="0.3">
      <c r="B162" s="292"/>
      <c r="C162" s="9" t="s">
        <v>218</v>
      </c>
      <c r="D162" s="86">
        <v>26.897639151105235</v>
      </c>
      <c r="E162" s="86">
        <v>7.3680489836172622</v>
      </c>
      <c r="F162" s="88">
        <v>12.647042104354112</v>
      </c>
      <c r="G162" s="88">
        <v>3.088311381064067</v>
      </c>
      <c r="H162" s="88">
        <v>6.4769567691103589</v>
      </c>
      <c r="I162" s="86">
        <v>2.0589549082196181</v>
      </c>
      <c r="J162" s="86">
        <v>2.0063664468867142</v>
      </c>
      <c r="K162" s="92">
        <v>15.114218344252709</v>
      </c>
      <c r="L162" s="86">
        <v>6.3000082428442097</v>
      </c>
      <c r="M162" s="88">
        <v>4.6734949826998848</v>
      </c>
      <c r="N162" s="86">
        <v>11.817752522688982</v>
      </c>
      <c r="O162" s="86">
        <v>0</v>
      </c>
      <c r="P162" s="86">
        <v>0.91912257957777865</v>
      </c>
      <c r="Q162" s="92">
        <v>0.63208358357916528</v>
      </c>
    </row>
    <row r="163" spans="2:17" x14ac:dyDescent="0.3">
      <c r="B163" s="292"/>
      <c r="C163" s="9" t="s">
        <v>219</v>
      </c>
      <c r="D163" s="86">
        <v>26.056700303107483</v>
      </c>
      <c r="E163" s="86">
        <v>5.6104957602263426</v>
      </c>
      <c r="F163" s="88">
        <v>7.6998136979386675</v>
      </c>
      <c r="G163" s="88">
        <v>8.2704519275756194</v>
      </c>
      <c r="H163" s="88">
        <v>10.042713976661661</v>
      </c>
      <c r="I163" s="86">
        <v>4.5571204137248227</v>
      </c>
      <c r="J163" s="86">
        <v>1.654718389037646</v>
      </c>
      <c r="K163" s="92">
        <v>11.143782543743443</v>
      </c>
      <c r="L163" s="86">
        <v>3.6296522669726765</v>
      </c>
      <c r="M163" s="88">
        <v>3.9459630782930093</v>
      </c>
      <c r="N163" s="86">
        <v>13.582568569303763</v>
      </c>
      <c r="O163" s="86">
        <v>2.1452278408040528</v>
      </c>
      <c r="P163" s="86">
        <v>1.226899155461052</v>
      </c>
      <c r="Q163" s="92">
        <v>0.43389207714973421</v>
      </c>
    </row>
    <row r="164" spans="2:17" x14ac:dyDescent="0.3">
      <c r="B164" s="292"/>
      <c r="C164" s="9" t="s">
        <v>220</v>
      </c>
      <c r="D164" s="86">
        <v>29.45594404010118</v>
      </c>
      <c r="E164" s="86">
        <v>5.9880048632341945</v>
      </c>
      <c r="F164" s="88">
        <v>6.4857409542386781</v>
      </c>
      <c r="G164" s="88">
        <v>4.4557440248304827</v>
      </c>
      <c r="H164" s="88">
        <v>11.454671205535151</v>
      </c>
      <c r="I164" s="86">
        <v>4.2023207170016725</v>
      </c>
      <c r="J164" s="86">
        <v>1.9690147749924165</v>
      </c>
      <c r="K164" s="92">
        <v>5.1714752763299625</v>
      </c>
      <c r="L164" s="86">
        <v>5.0732987558525222</v>
      </c>
      <c r="M164" s="88">
        <v>6.3801481427345124</v>
      </c>
      <c r="N164" s="86">
        <v>13.032558408833705</v>
      </c>
      <c r="O164" s="86">
        <v>5.0144719184714805</v>
      </c>
      <c r="P164" s="86">
        <v>0.39566757411351056</v>
      </c>
      <c r="Q164" s="92">
        <v>0.92093934373045827</v>
      </c>
    </row>
    <row r="165" spans="2:17" x14ac:dyDescent="0.3">
      <c r="B165" s="295"/>
      <c r="C165" s="9" t="s">
        <v>221</v>
      </c>
      <c r="D165" s="86">
        <v>29.012819362061322</v>
      </c>
      <c r="E165" s="86">
        <v>3.5026434742336132</v>
      </c>
      <c r="F165" s="88">
        <v>8.8002901329788532</v>
      </c>
      <c r="G165" s="88">
        <v>7.2964046521047159</v>
      </c>
      <c r="H165" s="88">
        <v>13.869302753148505</v>
      </c>
      <c r="I165" s="86">
        <v>0.76736852775641839</v>
      </c>
      <c r="J165" s="86">
        <v>2.7728270531450381</v>
      </c>
      <c r="K165" s="92">
        <v>3.7192071311029937</v>
      </c>
      <c r="L165" s="86">
        <v>2.3808804505185783</v>
      </c>
      <c r="M165" s="88">
        <v>2.0306626114084279</v>
      </c>
      <c r="N165" s="86">
        <v>15.660839524392218</v>
      </c>
      <c r="O165" s="86">
        <v>7.2662073669050145</v>
      </c>
      <c r="P165" s="86">
        <v>1.467949463987221</v>
      </c>
      <c r="Q165" s="92">
        <v>1.4525974962571044</v>
      </c>
    </row>
    <row r="166" spans="2:17" ht="16.5" customHeight="1" x14ac:dyDescent="0.3">
      <c r="B166" s="291" t="s">
        <v>222</v>
      </c>
      <c r="C166" s="13" t="s">
        <v>226</v>
      </c>
      <c r="D166" s="84">
        <v>18.137161767970795</v>
      </c>
      <c r="E166" s="84">
        <v>5.8060838713095482</v>
      </c>
      <c r="F166" s="89">
        <v>12.083748039563034</v>
      </c>
      <c r="G166" s="89">
        <v>8.3243412473528817</v>
      </c>
      <c r="H166" s="89">
        <v>7.2424981952605068</v>
      </c>
      <c r="I166" s="84">
        <v>2.32263009967251</v>
      </c>
      <c r="J166" s="84">
        <v>2.1548153038816986</v>
      </c>
      <c r="K166" s="93">
        <v>14.582535511685391</v>
      </c>
      <c r="L166" s="84">
        <v>5.2653487985991312</v>
      </c>
      <c r="M166" s="89">
        <v>3.6244546434570495</v>
      </c>
      <c r="N166" s="84">
        <v>16.161756518185904</v>
      </c>
      <c r="O166" s="84">
        <v>2.7512827504578548</v>
      </c>
      <c r="P166" s="84">
        <v>1.0654793916212353</v>
      </c>
      <c r="Q166" s="93">
        <v>0.47786386098247957</v>
      </c>
    </row>
    <row r="167" spans="2:17" ht="16.5" customHeight="1" x14ac:dyDescent="0.3">
      <c r="B167" s="294"/>
      <c r="C167" s="9" t="s">
        <v>227</v>
      </c>
      <c r="D167" s="86">
        <v>20.409758263779175</v>
      </c>
      <c r="E167" s="86">
        <v>7.6910922039237173</v>
      </c>
      <c r="F167" s="88">
        <v>10.40743392079604</v>
      </c>
      <c r="G167" s="88">
        <v>9.1288015519899002</v>
      </c>
      <c r="H167" s="88">
        <v>8.850897341586565</v>
      </c>
      <c r="I167" s="86">
        <v>3.332975059117254</v>
      </c>
      <c r="J167" s="86">
        <v>1.2229061425802628</v>
      </c>
      <c r="K167" s="92">
        <v>11.93181126843341</v>
      </c>
      <c r="L167" s="86">
        <v>3.0553237090426029</v>
      </c>
      <c r="M167" s="88">
        <v>4.2439301686041908</v>
      </c>
      <c r="N167" s="86">
        <v>15.686579637781087</v>
      </c>
      <c r="O167" s="86">
        <v>2.9736678005173376</v>
      </c>
      <c r="P167" s="86">
        <v>0.40714686003238476</v>
      </c>
      <c r="Q167" s="92">
        <v>0.65767607181615628</v>
      </c>
    </row>
    <row r="168" spans="2:17" x14ac:dyDescent="0.3">
      <c r="B168" s="292"/>
      <c r="C168" s="9" t="s">
        <v>228</v>
      </c>
      <c r="D168" s="86">
        <v>24.97741328581758</v>
      </c>
      <c r="E168" s="86">
        <v>8.0917164588686088</v>
      </c>
      <c r="F168" s="88">
        <v>11.700811318334676</v>
      </c>
      <c r="G168" s="88">
        <v>8.2957852336230857</v>
      </c>
      <c r="H168" s="88">
        <v>6.8123993529404432</v>
      </c>
      <c r="I168" s="86">
        <v>3.6841929417320278</v>
      </c>
      <c r="J168" s="86">
        <v>3.1965381965571296</v>
      </c>
      <c r="K168" s="92">
        <v>12.209440057378067</v>
      </c>
      <c r="L168" s="86">
        <v>3.3753640380629073</v>
      </c>
      <c r="M168" s="88">
        <v>3.2474141948239228</v>
      </c>
      <c r="N168" s="86">
        <v>11.682031287275805</v>
      </c>
      <c r="O168" s="86">
        <v>0.58277299903993196</v>
      </c>
      <c r="P168" s="86">
        <v>0.93725582031714449</v>
      </c>
      <c r="Q168" s="92">
        <v>1.2068648152286774</v>
      </c>
    </row>
    <row r="169" spans="2:17" x14ac:dyDescent="0.3">
      <c r="B169" s="295"/>
      <c r="C169" s="12" t="s">
        <v>229</v>
      </c>
      <c r="D169" s="90">
        <v>34.314139411630038</v>
      </c>
      <c r="E169" s="90">
        <v>3.811895379698</v>
      </c>
      <c r="F169" s="91">
        <v>12.175927091410168</v>
      </c>
      <c r="G169" s="91">
        <v>4.49660559689955</v>
      </c>
      <c r="H169" s="91">
        <v>9.5000786378586497</v>
      </c>
      <c r="I169" s="90">
        <v>3.3334754213245557</v>
      </c>
      <c r="J169" s="90">
        <v>1.1215003134320176</v>
      </c>
      <c r="K169" s="94">
        <v>12.548225788875625</v>
      </c>
      <c r="L169" s="90">
        <v>6.0462390702737334</v>
      </c>
      <c r="M169" s="91">
        <v>2.9695717644113757</v>
      </c>
      <c r="N169" s="90">
        <v>7.0432826749615058</v>
      </c>
      <c r="O169" s="90">
        <v>1.5086138320883984</v>
      </c>
      <c r="P169" s="90">
        <v>0.63748008974260639</v>
      </c>
      <c r="Q169" s="94">
        <v>0.49296492739377956</v>
      </c>
    </row>
    <row r="170" spans="2:17" x14ac:dyDescent="0.3">
      <c r="B170" s="296" t="s">
        <v>199</v>
      </c>
      <c r="C170" s="13" t="s">
        <v>192</v>
      </c>
      <c r="D170" s="84">
        <v>24.794973948036347</v>
      </c>
      <c r="E170" s="84">
        <v>8.5314874511051375</v>
      </c>
      <c r="F170" s="89">
        <v>11.61959210629365</v>
      </c>
      <c r="G170" s="89">
        <v>7.6683568531496382</v>
      </c>
      <c r="H170" s="89">
        <v>7.5467669803897284</v>
      </c>
      <c r="I170" s="84">
        <v>3.1027967876796727</v>
      </c>
      <c r="J170" s="84">
        <v>1.9833199680032547</v>
      </c>
      <c r="K170" s="93">
        <v>13.205579615856625</v>
      </c>
      <c r="L170" s="84">
        <v>4.1899808884268124</v>
      </c>
      <c r="M170" s="89">
        <v>3.4108200898301821</v>
      </c>
      <c r="N170" s="84">
        <v>10.453980416037098</v>
      </c>
      <c r="O170" s="84">
        <v>2.1736362303556804</v>
      </c>
      <c r="P170" s="84">
        <v>0.65287205737077147</v>
      </c>
      <c r="Q170" s="93">
        <v>0.66583660746522588</v>
      </c>
    </row>
    <row r="171" spans="2:17" x14ac:dyDescent="0.3">
      <c r="B171" s="292"/>
      <c r="C171" s="9" t="s">
        <v>200</v>
      </c>
      <c r="D171" s="86">
        <v>15.674675677849345</v>
      </c>
      <c r="E171" s="86">
        <v>3.5084094771088288</v>
      </c>
      <c r="F171" s="88">
        <v>9.9407654160932317</v>
      </c>
      <c r="G171" s="88">
        <v>7.8413202967553381</v>
      </c>
      <c r="H171" s="88">
        <v>13.266851991373086</v>
      </c>
      <c r="I171" s="86">
        <v>9.579321410810465</v>
      </c>
      <c r="J171" s="86">
        <v>2.7379761459718996</v>
      </c>
      <c r="K171" s="92">
        <v>8.648923406350832</v>
      </c>
      <c r="L171" s="86">
        <v>2.9390219096360202</v>
      </c>
      <c r="M171" s="88">
        <v>3.3520700284042957</v>
      </c>
      <c r="N171" s="86">
        <v>21.023984442495326</v>
      </c>
      <c r="O171" s="86">
        <v>1.4866797971513144</v>
      </c>
      <c r="P171" s="86">
        <v>0</v>
      </c>
      <c r="Q171" s="92">
        <v>0</v>
      </c>
    </row>
    <row r="172" spans="2:17" x14ac:dyDescent="0.3">
      <c r="B172" s="292"/>
      <c r="C172" s="9" t="s">
        <v>201</v>
      </c>
      <c r="D172" s="86">
        <v>26.097261191437681</v>
      </c>
      <c r="E172" s="86">
        <v>2.7831532784798387</v>
      </c>
      <c r="F172" s="88">
        <v>11.177825685513131</v>
      </c>
      <c r="G172" s="88">
        <v>9.4248991405977112</v>
      </c>
      <c r="H172" s="88">
        <v>9.2451862456713236</v>
      </c>
      <c r="I172" s="86">
        <v>2.7600625909614482</v>
      </c>
      <c r="J172" s="86">
        <v>1.4676698141361113</v>
      </c>
      <c r="K172" s="92">
        <v>14.328270640282891</v>
      </c>
      <c r="L172" s="86">
        <v>4.2382811882580587</v>
      </c>
      <c r="M172" s="88">
        <v>2.7207018057386607</v>
      </c>
      <c r="N172" s="86">
        <v>11.942424200586894</v>
      </c>
      <c r="O172" s="86">
        <v>2.2130604612219917</v>
      </c>
      <c r="P172" s="86">
        <v>0.5233600344680438</v>
      </c>
      <c r="Q172" s="92">
        <v>1.077843722646262</v>
      </c>
    </row>
    <row r="173" spans="2:17" x14ac:dyDescent="0.3">
      <c r="B173" s="292"/>
      <c r="C173" s="9" t="s">
        <v>202</v>
      </c>
      <c r="D173" s="86">
        <v>24.936061285262738</v>
      </c>
      <c r="E173" s="86">
        <v>5.0159471618110896</v>
      </c>
      <c r="F173" s="88">
        <v>12.81258425745192</v>
      </c>
      <c r="G173" s="88">
        <v>6.6252831673602675</v>
      </c>
      <c r="H173" s="88">
        <v>6.7933791852906404</v>
      </c>
      <c r="I173" s="86">
        <v>1.6540243560332388</v>
      </c>
      <c r="J173" s="86">
        <v>1.75294951817954</v>
      </c>
      <c r="K173" s="92">
        <v>10.418869997483284</v>
      </c>
      <c r="L173" s="86">
        <v>6.7272947190145791</v>
      </c>
      <c r="M173" s="88">
        <v>5.0131575566904916</v>
      </c>
      <c r="N173" s="86">
        <v>17.767373200184998</v>
      </c>
      <c r="O173" s="86">
        <v>0.4830755952372881</v>
      </c>
      <c r="P173" s="86">
        <v>0</v>
      </c>
      <c r="Q173" s="92">
        <v>0</v>
      </c>
    </row>
    <row r="174" spans="2:17" x14ac:dyDescent="0.3">
      <c r="B174" s="295"/>
      <c r="C174" s="12" t="s">
        <v>203</v>
      </c>
      <c r="D174" s="90">
        <v>24.011054014736708</v>
      </c>
      <c r="E174" s="90">
        <v>3.4567885449816433</v>
      </c>
      <c r="F174" s="91">
        <v>11.473879320593305</v>
      </c>
      <c r="G174" s="91">
        <v>6.6449561393822965</v>
      </c>
      <c r="H174" s="91">
        <v>8.8316188091432473</v>
      </c>
      <c r="I174" s="90">
        <v>3.0856850997611587</v>
      </c>
      <c r="J174" s="90">
        <v>1.744485044956668</v>
      </c>
      <c r="K174" s="94">
        <v>12.619126349999062</v>
      </c>
      <c r="L174" s="90">
        <v>4.6194217981750878</v>
      </c>
      <c r="M174" s="91">
        <v>3.715334506299711</v>
      </c>
      <c r="N174" s="90">
        <v>15.343984166136989</v>
      </c>
      <c r="O174" s="90">
        <v>2.0634486823755256</v>
      </c>
      <c r="P174" s="90">
        <v>1.463431180909522</v>
      </c>
      <c r="Q174" s="94">
        <v>0.92678634254902903</v>
      </c>
    </row>
    <row r="175" spans="2:17" x14ac:dyDescent="0.3">
      <c r="B175" s="291" t="s">
        <v>204</v>
      </c>
      <c r="C175" s="13" t="s">
        <v>192</v>
      </c>
      <c r="D175" s="84">
        <v>24.794973948036347</v>
      </c>
      <c r="E175" s="84">
        <v>8.5314874511051375</v>
      </c>
      <c r="F175" s="89">
        <v>11.61959210629365</v>
      </c>
      <c r="G175" s="89">
        <v>7.6683568531496382</v>
      </c>
      <c r="H175" s="89">
        <v>7.5467669803897284</v>
      </c>
      <c r="I175" s="84">
        <v>3.1027967876796727</v>
      </c>
      <c r="J175" s="84">
        <v>1.9833199680032547</v>
      </c>
      <c r="K175" s="93">
        <v>13.205579615856625</v>
      </c>
      <c r="L175" s="84">
        <v>4.1899808884268124</v>
      </c>
      <c r="M175" s="89">
        <v>3.4108200898301821</v>
      </c>
      <c r="N175" s="84">
        <v>10.453980416037098</v>
      </c>
      <c r="O175" s="84">
        <v>2.1736362303556804</v>
      </c>
      <c r="P175" s="84">
        <v>0.65287205737077147</v>
      </c>
      <c r="Q175" s="93">
        <v>0.66583660746522588</v>
      </c>
    </row>
    <row r="176" spans="2:17" x14ac:dyDescent="0.3">
      <c r="B176" s="295"/>
      <c r="C176" s="12" t="s">
        <v>193</v>
      </c>
      <c r="D176" s="90">
        <v>24.060862338439765</v>
      </c>
      <c r="E176" s="90">
        <v>3.5768654623057943</v>
      </c>
      <c r="F176" s="91">
        <v>11.528786092537121</v>
      </c>
      <c r="G176" s="91">
        <v>7.3875031965171978</v>
      </c>
      <c r="H176" s="91">
        <v>8.8925036915119193</v>
      </c>
      <c r="I176" s="90">
        <v>3.228948710707038</v>
      </c>
      <c r="J176" s="90">
        <v>1.7528766968861464</v>
      </c>
      <c r="K176" s="94">
        <v>12.345053537517765</v>
      </c>
      <c r="L176" s="90">
        <v>4.7795452053866798</v>
      </c>
      <c r="M176" s="91">
        <v>3.6828257359869463</v>
      </c>
      <c r="N176" s="90">
        <v>15.381261624511383</v>
      </c>
      <c r="O176" s="90">
        <v>1.7771277227716868</v>
      </c>
      <c r="P176" s="90">
        <v>0.87490027393566039</v>
      </c>
      <c r="Q176" s="94">
        <v>0.73093971098478661</v>
      </c>
    </row>
    <row r="177" spans="2:21" ht="16.5" customHeight="1" x14ac:dyDescent="0.3">
      <c r="B177" s="291" t="s">
        <v>209</v>
      </c>
      <c r="C177" s="13" t="s">
        <v>205</v>
      </c>
      <c r="D177" s="84">
        <v>17.033777120057771</v>
      </c>
      <c r="E177" s="84">
        <v>7.3086286069098376</v>
      </c>
      <c r="F177" s="89">
        <v>13.018002393056744</v>
      </c>
      <c r="G177" s="89">
        <v>5.761265362367169</v>
      </c>
      <c r="H177" s="89">
        <v>5.8015318909305478</v>
      </c>
      <c r="I177" s="84">
        <v>3.2416665844441397</v>
      </c>
      <c r="J177" s="84">
        <v>3.8946886595789101</v>
      </c>
      <c r="K177" s="93">
        <v>11.993303860164625</v>
      </c>
      <c r="L177" s="84">
        <v>6.7393905995397896</v>
      </c>
      <c r="M177" s="89">
        <v>3.8065708435600087</v>
      </c>
      <c r="N177" s="84">
        <v>18.465400313798302</v>
      </c>
      <c r="O177" s="84">
        <v>1.5920617694482073</v>
      </c>
      <c r="P177" s="84">
        <v>1.0342487277712487</v>
      </c>
      <c r="Q177" s="93">
        <v>0.30946326837267413</v>
      </c>
    </row>
    <row r="178" spans="2:21" x14ac:dyDescent="0.3">
      <c r="B178" s="292"/>
      <c r="C178" s="9" t="s">
        <v>206</v>
      </c>
      <c r="D178" s="86">
        <v>23.014110874289837</v>
      </c>
      <c r="E178" s="86">
        <v>6.1718031627557162</v>
      </c>
      <c r="F178" s="88">
        <v>9.0995356939279493</v>
      </c>
      <c r="G178" s="88">
        <v>8.3445468646932106</v>
      </c>
      <c r="H178" s="88">
        <v>11.166290490563895</v>
      </c>
      <c r="I178" s="86">
        <v>1.8690733923169685</v>
      </c>
      <c r="J178" s="86">
        <v>2.176667157201281</v>
      </c>
      <c r="K178" s="92">
        <v>11.934662114199075</v>
      </c>
      <c r="L178" s="86">
        <v>2.3664617238999908</v>
      </c>
      <c r="M178" s="88">
        <v>2.8880397722001843</v>
      </c>
      <c r="N178" s="86">
        <v>14.620257713630261</v>
      </c>
      <c r="O178" s="86">
        <v>3.2019150008589929</v>
      </c>
      <c r="P178" s="86">
        <v>1.6516986751569958</v>
      </c>
      <c r="Q178" s="92">
        <v>1.4949373643056547</v>
      </c>
    </row>
    <row r="179" spans="2:21" x14ac:dyDescent="0.3">
      <c r="B179" s="292"/>
      <c r="C179" s="9" t="s">
        <v>207</v>
      </c>
      <c r="D179" s="86">
        <v>29.829095551969953</v>
      </c>
      <c r="E179" s="86">
        <v>6.1077440196221069</v>
      </c>
      <c r="F179" s="88">
        <v>11.002498627142309</v>
      </c>
      <c r="G179" s="88">
        <v>6.8455712329880587</v>
      </c>
      <c r="H179" s="88">
        <v>6.7386627939931332</v>
      </c>
      <c r="I179" s="86">
        <v>3.41329581841577</v>
      </c>
      <c r="J179" s="86">
        <v>1.4520083183445796</v>
      </c>
      <c r="K179" s="92">
        <v>11.929262903434047</v>
      </c>
      <c r="L179" s="86">
        <v>4.344227906978249</v>
      </c>
      <c r="M179" s="88">
        <v>4.1887166777385891</v>
      </c>
      <c r="N179" s="86">
        <v>11.848384491785172</v>
      </c>
      <c r="O179" s="86">
        <v>1.7793068027525221</v>
      </c>
      <c r="P179" s="86">
        <v>0.27914677064650939</v>
      </c>
      <c r="Q179" s="92">
        <v>0.2420780841890432</v>
      </c>
    </row>
    <row r="180" spans="2:21" x14ac:dyDescent="0.3">
      <c r="B180" s="293"/>
      <c r="C180" s="25" t="s">
        <v>208</v>
      </c>
      <c r="D180" s="87">
        <v>24.447174252010601</v>
      </c>
      <c r="E180" s="87">
        <v>6.0457591685694663</v>
      </c>
      <c r="F180" s="95">
        <v>12.475654183584043</v>
      </c>
      <c r="G180" s="95">
        <v>8.5975041749533183</v>
      </c>
      <c r="H180" s="95">
        <v>9.040842459042576</v>
      </c>
      <c r="I180" s="87">
        <v>3.5067512177198981</v>
      </c>
      <c r="J180" s="87">
        <v>1.1082306865243836</v>
      </c>
      <c r="K180" s="96">
        <v>14.337677451780252</v>
      </c>
      <c r="L180" s="87">
        <v>4.3887808647428219</v>
      </c>
      <c r="M180" s="95">
        <v>3.1703207850670787</v>
      </c>
      <c r="N180" s="87">
        <v>9.6067755720465229</v>
      </c>
      <c r="O180" s="87">
        <v>1.8129448460608741</v>
      </c>
      <c r="P180" s="87">
        <v>0.58293368090190323</v>
      </c>
      <c r="Q180" s="96">
        <v>0.87865065699629752</v>
      </c>
    </row>
    <row r="181" spans="2:21" x14ac:dyDescent="0.3">
      <c r="B181" s="136"/>
    </row>
    <row r="182" spans="2:21" x14ac:dyDescent="0.3">
      <c r="B182" s="60"/>
      <c r="C182" s="9"/>
      <c r="D182" s="58"/>
      <c r="E182" s="58"/>
      <c r="F182" s="50"/>
      <c r="G182" s="58"/>
      <c r="H182" s="50"/>
      <c r="I182" s="58"/>
      <c r="J182" s="58"/>
      <c r="K182" s="58"/>
      <c r="L182" s="50"/>
      <c r="M182" s="58"/>
      <c r="N182" s="58"/>
    </row>
    <row r="183" spans="2:21" ht="17.25" customHeight="1" x14ac:dyDescent="0.3">
      <c r="B183" s="1" t="s">
        <v>488</v>
      </c>
      <c r="D183" s="59"/>
      <c r="E183" s="59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</row>
    <row r="184" spans="2:21" ht="10.5" customHeight="1" x14ac:dyDescent="0.3"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30"/>
      <c r="P184" s="30"/>
      <c r="Q184" s="30" t="s">
        <v>157</v>
      </c>
    </row>
    <row r="185" spans="2:21" s="22" customFormat="1" ht="20.25" customHeight="1" x14ac:dyDescent="0.3">
      <c r="B185" s="307"/>
      <c r="C185" s="307"/>
      <c r="D185" s="300" t="s">
        <v>120</v>
      </c>
      <c r="E185" s="300"/>
      <c r="F185" s="300"/>
      <c r="G185" s="300"/>
      <c r="H185" s="300"/>
      <c r="I185" s="300"/>
      <c r="J185" s="301"/>
      <c r="K185" s="299" t="s">
        <v>125</v>
      </c>
      <c r="L185" s="300"/>
      <c r="M185" s="300"/>
      <c r="N185" s="300"/>
      <c r="O185" s="300"/>
      <c r="P185" s="301"/>
      <c r="Q185" s="212" t="s">
        <v>38</v>
      </c>
    </row>
    <row r="186" spans="2:21" s="22" customFormat="1" ht="27" x14ac:dyDescent="0.3">
      <c r="B186" s="300"/>
      <c r="C186" s="300"/>
      <c r="D186" s="202" t="s">
        <v>39</v>
      </c>
      <c r="E186" s="202" t="s">
        <v>40</v>
      </c>
      <c r="F186" s="202" t="s">
        <v>116</v>
      </c>
      <c r="G186" s="202" t="s">
        <v>117</v>
      </c>
      <c r="H186" s="202" t="s">
        <v>115</v>
      </c>
      <c r="I186" s="202" t="s">
        <v>119</v>
      </c>
      <c r="J186" s="202" t="s">
        <v>300</v>
      </c>
      <c r="K186" s="214" t="s">
        <v>298</v>
      </c>
      <c r="L186" s="202" t="s">
        <v>299</v>
      </c>
      <c r="M186" s="202" t="s">
        <v>121</v>
      </c>
      <c r="N186" s="202" t="s">
        <v>118</v>
      </c>
      <c r="O186" s="202" t="s">
        <v>122</v>
      </c>
      <c r="P186" s="202" t="s">
        <v>124</v>
      </c>
      <c r="Q186" s="214" t="s">
        <v>38</v>
      </c>
    </row>
    <row r="187" spans="2:21" ht="21.75" customHeight="1" x14ac:dyDescent="0.3">
      <c r="B187" s="292" t="s">
        <v>20</v>
      </c>
      <c r="C187" s="292"/>
      <c r="D187" s="86">
        <v>37.997274436139364</v>
      </c>
      <c r="E187" s="86">
        <v>23.417629427559287</v>
      </c>
      <c r="F187" s="88">
        <v>29.103744561514876</v>
      </c>
      <c r="G187" s="88">
        <v>21.250352963436082</v>
      </c>
      <c r="H187" s="88">
        <v>35.975150203885526</v>
      </c>
      <c r="I187" s="86">
        <v>14.654810534752189</v>
      </c>
      <c r="J187" s="86">
        <v>11.385399317373865</v>
      </c>
      <c r="K187" s="92">
        <v>32.434310175421501</v>
      </c>
      <c r="L187" s="86">
        <v>21.838345515508429</v>
      </c>
      <c r="M187" s="88">
        <v>22.764389120578489</v>
      </c>
      <c r="N187" s="86">
        <v>35.489665241971949</v>
      </c>
      <c r="O187" s="86">
        <v>8.1747796088780404</v>
      </c>
      <c r="P187" s="86">
        <v>3.8636812498938662</v>
      </c>
      <c r="Q187" s="92">
        <v>1.6504676430861671</v>
      </c>
    </row>
    <row r="188" spans="2:21" x14ac:dyDescent="0.3">
      <c r="B188" s="296" t="s">
        <v>5</v>
      </c>
      <c r="C188" s="13" t="s">
        <v>0</v>
      </c>
      <c r="D188" s="84">
        <v>33.669387987621889</v>
      </c>
      <c r="E188" s="84">
        <v>25.660713306699162</v>
      </c>
      <c r="F188" s="89">
        <v>33.113708812133787</v>
      </c>
      <c r="G188" s="89">
        <v>29.325305954284115</v>
      </c>
      <c r="H188" s="89">
        <v>35.845432183364395</v>
      </c>
      <c r="I188" s="84">
        <v>16.241649715961326</v>
      </c>
      <c r="J188" s="84">
        <v>13.218996420825087</v>
      </c>
      <c r="K188" s="93">
        <v>24.970565547804153</v>
      </c>
      <c r="L188" s="84">
        <v>18.190264375768038</v>
      </c>
      <c r="M188" s="89">
        <v>19.354715796437052</v>
      </c>
      <c r="N188" s="84">
        <v>38.104372132851033</v>
      </c>
      <c r="O188" s="84">
        <v>7.7000167273744022</v>
      </c>
      <c r="P188" s="84">
        <v>3.6111755352834369</v>
      </c>
      <c r="Q188" s="93">
        <v>0.99369550359219727</v>
      </c>
    </row>
    <row r="189" spans="2:21" x14ac:dyDescent="0.3">
      <c r="B189" s="295"/>
      <c r="C189" s="12" t="s">
        <v>1</v>
      </c>
      <c r="D189" s="90">
        <v>40.431830106671804</v>
      </c>
      <c r="E189" s="90">
        <v>22.155832787929146</v>
      </c>
      <c r="F189" s="91">
        <v>26.848028908826855</v>
      </c>
      <c r="G189" s="91">
        <v>16.707968862788714</v>
      </c>
      <c r="H189" s="91">
        <v>36.048120173450698</v>
      </c>
      <c r="I189" s="90">
        <v>13.762169664250731</v>
      </c>
      <c r="J189" s="90">
        <v>10.353950299757319</v>
      </c>
      <c r="K189" s="94">
        <v>36.632872689185483</v>
      </c>
      <c r="L189" s="90">
        <v>23.890491922528863</v>
      </c>
      <c r="M189" s="91">
        <v>24.682424546114056</v>
      </c>
      <c r="N189" s="90">
        <v>34.018820393408291</v>
      </c>
      <c r="O189" s="90">
        <v>8.4418468434444467</v>
      </c>
      <c r="P189" s="90">
        <v>4.0057226889795068</v>
      </c>
      <c r="Q189" s="94">
        <v>2.0199201126629838</v>
      </c>
    </row>
    <row r="190" spans="2:21" x14ac:dyDescent="0.3">
      <c r="B190" s="296" t="s">
        <v>4</v>
      </c>
      <c r="C190" s="9" t="s">
        <v>175</v>
      </c>
      <c r="D190" s="86">
        <v>48.881705621307688</v>
      </c>
      <c r="E190" s="86">
        <v>22.082674639722388</v>
      </c>
      <c r="F190" s="88">
        <v>24.107831485951948</v>
      </c>
      <c r="G190" s="88">
        <v>19.939069233020199</v>
      </c>
      <c r="H190" s="88">
        <v>27.643174046231817</v>
      </c>
      <c r="I190" s="86">
        <v>11.273771166883096</v>
      </c>
      <c r="J190" s="86">
        <v>13.533669019682144</v>
      </c>
      <c r="K190" s="92">
        <v>53.578216029434735</v>
      </c>
      <c r="L190" s="86">
        <v>34.198438265892818</v>
      </c>
      <c r="M190" s="88">
        <v>10.36809105821229</v>
      </c>
      <c r="N190" s="86">
        <v>20.63320478470045</v>
      </c>
      <c r="O190" s="86">
        <v>2.3325674365588158</v>
      </c>
      <c r="P190" s="86">
        <v>8.9292374483810715</v>
      </c>
      <c r="Q190" s="92">
        <v>2.498349764020539</v>
      </c>
    </row>
    <row r="191" spans="2:21" x14ac:dyDescent="0.3">
      <c r="B191" s="292"/>
      <c r="C191" s="9" t="s">
        <v>176</v>
      </c>
      <c r="D191" s="86">
        <v>35.942890602876318</v>
      </c>
      <c r="E191" s="86">
        <v>23.780024566922471</v>
      </c>
      <c r="F191" s="88">
        <v>38.57024210290605</v>
      </c>
      <c r="G191" s="88">
        <v>16.995011104993402</v>
      </c>
      <c r="H191" s="88">
        <v>29.749552718100542</v>
      </c>
      <c r="I191" s="86">
        <v>14.208280021355396</v>
      </c>
      <c r="J191" s="86">
        <v>11.668256907178378</v>
      </c>
      <c r="K191" s="92">
        <v>46.50698320484026</v>
      </c>
      <c r="L191" s="86">
        <v>29.163781841291748</v>
      </c>
      <c r="M191" s="88">
        <v>17.689685315767754</v>
      </c>
      <c r="N191" s="86">
        <v>24.387809094553393</v>
      </c>
      <c r="O191" s="86">
        <v>5.072017490307692</v>
      </c>
      <c r="P191" s="86">
        <v>3.7788848063796321</v>
      </c>
      <c r="Q191" s="92">
        <v>2.4865802225269977</v>
      </c>
    </row>
    <row r="192" spans="2:21" x14ac:dyDescent="0.3">
      <c r="B192" s="292"/>
      <c r="C192" s="9" t="s">
        <v>177</v>
      </c>
      <c r="D192" s="86">
        <v>39.763029615645593</v>
      </c>
      <c r="E192" s="86">
        <v>27.911337923317092</v>
      </c>
      <c r="F192" s="88">
        <v>32.101471155657364</v>
      </c>
      <c r="G192" s="88">
        <v>15.571869725797274</v>
      </c>
      <c r="H192" s="88">
        <v>34.405841203431947</v>
      </c>
      <c r="I192" s="86">
        <v>17.405489874945573</v>
      </c>
      <c r="J192" s="86">
        <v>11.100844885183774</v>
      </c>
      <c r="K192" s="92">
        <v>35.322520160369557</v>
      </c>
      <c r="L192" s="86">
        <v>19.866367723640732</v>
      </c>
      <c r="M192" s="88">
        <v>23.474697428017077</v>
      </c>
      <c r="N192" s="86">
        <v>35.481644112042289</v>
      </c>
      <c r="O192" s="86">
        <v>3.2161189784496482</v>
      </c>
      <c r="P192" s="86">
        <v>3.1766240235818572</v>
      </c>
      <c r="Q192" s="92">
        <v>1.2021431899198913</v>
      </c>
    </row>
    <row r="193" spans="2:17" x14ac:dyDescent="0.3">
      <c r="B193" s="292"/>
      <c r="C193" s="9" t="s">
        <v>178</v>
      </c>
      <c r="D193" s="86">
        <v>38.364780034447577</v>
      </c>
      <c r="E193" s="86">
        <v>24.704152312708693</v>
      </c>
      <c r="F193" s="88">
        <v>27.743207681680548</v>
      </c>
      <c r="G193" s="88">
        <v>22.783465573252563</v>
      </c>
      <c r="H193" s="88">
        <v>37.428820177605424</v>
      </c>
      <c r="I193" s="86">
        <v>14.65325990888128</v>
      </c>
      <c r="J193" s="86">
        <v>9.1085414223487859</v>
      </c>
      <c r="K193" s="92">
        <v>28.345071547097184</v>
      </c>
      <c r="L193" s="86">
        <v>18.470187698381519</v>
      </c>
      <c r="M193" s="88">
        <v>25.989371499260212</v>
      </c>
      <c r="N193" s="86">
        <v>40.052208807862961</v>
      </c>
      <c r="O193" s="86">
        <v>7.9988238952601725</v>
      </c>
      <c r="P193" s="86">
        <v>3.5714369976739926</v>
      </c>
      <c r="Q193" s="92">
        <v>0.78667244353872279</v>
      </c>
    </row>
    <row r="194" spans="2:17" x14ac:dyDescent="0.3">
      <c r="B194" s="292"/>
      <c r="C194" s="9" t="s">
        <v>179</v>
      </c>
      <c r="D194" s="86">
        <v>33.688797591510621</v>
      </c>
      <c r="E194" s="86">
        <v>20.246965031460896</v>
      </c>
      <c r="F194" s="88">
        <v>24.231982616727169</v>
      </c>
      <c r="G194" s="88">
        <v>25.257700097984763</v>
      </c>
      <c r="H194" s="88">
        <v>43.663319386875763</v>
      </c>
      <c r="I194" s="86">
        <v>14.172970711469057</v>
      </c>
      <c r="J194" s="86">
        <v>12.255010601816455</v>
      </c>
      <c r="K194" s="92">
        <v>19.896929754086578</v>
      </c>
      <c r="L194" s="86">
        <v>18.369818920671438</v>
      </c>
      <c r="M194" s="88">
        <v>27.596183805330455</v>
      </c>
      <c r="N194" s="86">
        <v>45.06000295611905</v>
      </c>
      <c r="O194" s="86">
        <v>11.625618518598044</v>
      </c>
      <c r="P194" s="86">
        <v>2.7691684315760359</v>
      </c>
      <c r="Q194" s="92">
        <v>1.1655315757737377</v>
      </c>
    </row>
    <row r="195" spans="2:17" x14ac:dyDescent="0.3">
      <c r="B195" s="298"/>
      <c r="C195" s="12" t="s">
        <v>180</v>
      </c>
      <c r="D195" s="90">
        <v>39.061038888240503</v>
      </c>
      <c r="E195" s="90">
        <v>20.385867801993605</v>
      </c>
      <c r="F195" s="91">
        <v>20.621956125441464</v>
      </c>
      <c r="G195" s="91">
        <v>28.42989553307083</v>
      </c>
      <c r="H195" s="91">
        <v>40.072348174578572</v>
      </c>
      <c r="I195" s="90">
        <v>14.273029717768654</v>
      </c>
      <c r="J195" s="90">
        <v>12.170687312893266</v>
      </c>
      <c r="K195" s="94">
        <v>17.722489652602995</v>
      </c>
      <c r="L195" s="90">
        <v>15.467143128767594</v>
      </c>
      <c r="M195" s="91">
        <v>25.481050100262891</v>
      </c>
      <c r="N195" s="90">
        <v>42.111273164797396</v>
      </c>
      <c r="O195" s="90">
        <v>17.764735998919466</v>
      </c>
      <c r="P195" s="90">
        <v>4.2242391218586857</v>
      </c>
      <c r="Q195" s="94">
        <v>2.2142452788040417</v>
      </c>
    </row>
    <row r="196" spans="2:17" x14ac:dyDescent="0.3">
      <c r="B196" s="292" t="s">
        <v>223</v>
      </c>
      <c r="C196" s="9" t="s">
        <v>210</v>
      </c>
      <c r="D196" s="86">
        <v>51.707321864106014</v>
      </c>
      <c r="E196" s="86">
        <v>22.927616053174816</v>
      </c>
      <c r="F196" s="88">
        <v>29.698330747868358</v>
      </c>
      <c r="G196" s="88">
        <v>19.026453899251646</v>
      </c>
      <c r="H196" s="88">
        <v>30.846101975397573</v>
      </c>
      <c r="I196" s="86">
        <v>6.5689880844746913</v>
      </c>
      <c r="J196" s="86">
        <v>9.0447548102095663</v>
      </c>
      <c r="K196" s="92">
        <v>33.004240277011434</v>
      </c>
      <c r="L196" s="86">
        <v>21.799301078654199</v>
      </c>
      <c r="M196" s="88">
        <v>24.091081602647265</v>
      </c>
      <c r="N196" s="86">
        <v>32.423590256729831</v>
      </c>
      <c r="O196" s="86">
        <v>7.466923157988127</v>
      </c>
      <c r="P196" s="86">
        <v>11.39529619248645</v>
      </c>
      <c r="Q196" s="92">
        <v>0</v>
      </c>
    </row>
    <row r="197" spans="2:17" x14ac:dyDescent="0.3">
      <c r="B197" s="292"/>
      <c r="C197" s="9" t="s">
        <v>211</v>
      </c>
      <c r="D197" s="86">
        <v>36.513045525601015</v>
      </c>
      <c r="E197" s="86">
        <v>28.518217301299664</v>
      </c>
      <c r="F197" s="88">
        <v>42.312889817209168</v>
      </c>
      <c r="G197" s="88">
        <v>25.268784919672743</v>
      </c>
      <c r="H197" s="88">
        <v>28.476571211433939</v>
      </c>
      <c r="I197" s="86">
        <v>18.773995532441351</v>
      </c>
      <c r="J197" s="86">
        <v>12.239028219015433</v>
      </c>
      <c r="K197" s="92">
        <v>33.952390123089508</v>
      </c>
      <c r="L197" s="86">
        <v>22.946869778499867</v>
      </c>
      <c r="M197" s="88">
        <v>15.116324093413649</v>
      </c>
      <c r="N197" s="86">
        <v>24.056001470736621</v>
      </c>
      <c r="O197" s="86">
        <v>6.0245071426659411</v>
      </c>
      <c r="P197" s="86">
        <v>3.1355926262563312</v>
      </c>
      <c r="Q197" s="92">
        <v>2.6657822386647148</v>
      </c>
    </row>
    <row r="198" spans="2:17" x14ac:dyDescent="0.3">
      <c r="B198" s="292"/>
      <c r="C198" s="9" t="s">
        <v>212</v>
      </c>
      <c r="D198" s="86">
        <v>35.442174396416959</v>
      </c>
      <c r="E198" s="86">
        <v>30.811450448230659</v>
      </c>
      <c r="F198" s="88">
        <v>41.999696365372635</v>
      </c>
      <c r="G198" s="88">
        <v>22.174823347695341</v>
      </c>
      <c r="H198" s="88">
        <v>39.845186770159579</v>
      </c>
      <c r="I198" s="86">
        <v>19.225426104574122</v>
      </c>
      <c r="J198" s="86">
        <v>15.886147242330386</v>
      </c>
      <c r="K198" s="92">
        <v>24.139933022154654</v>
      </c>
      <c r="L198" s="86">
        <v>18.031332007798042</v>
      </c>
      <c r="M198" s="88">
        <v>17.65420179535263</v>
      </c>
      <c r="N198" s="86">
        <v>24.917410242739489</v>
      </c>
      <c r="O198" s="86">
        <v>5.9300811753205558</v>
      </c>
      <c r="P198" s="86">
        <v>1.7331009748601487</v>
      </c>
      <c r="Q198" s="92">
        <v>2.2090361069947138</v>
      </c>
    </row>
    <row r="199" spans="2:17" x14ac:dyDescent="0.3">
      <c r="B199" s="292"/>
      <c r="C199" s="9" t="s">
        <v>213</v>
      </c>
      <c r="D199" s="86">
        <v>33.122899153296409</v>
      </c>
      <c r="E199" s="86">
        <v>29.24960647753268</v>
      </c>
      <c r="F199" s="88">
        <v>27.576093606473794</v>
      </c>
      <c r="G199" s="88">
        <v>31.902880283661055</v>
      </c>
      <c r="H199" s="88">
        <v>33.390337482340342</v>
      </c>
      <c r="I199" s="86">
        <v>16.124359319269917</v>
      </c>
      <c r="J199" s="86">
        <v>12.38873306151174</v>
      </c>
      <c r="K199" s="92">
        <v>25.063344846070262</v>
      </c>
      <c r="L199" s="86">
        <v>12.433580112924934</v>
      </c>
      <c r="M199" s="88">
        <v>20.388972423699332</v>
      </c>
      <c r="N199" s="86">
        <v>44.247603740651634</v>
      </c>
      <c r="O199" s="86">
        <v>9.9831018196136938</v>
      </c>
      <c r="P199" s="86">
        <v>4.1284876729544759</v>
      </c>
      <c r="Q199" s="92">
        <v>0</v>
      </c>
    </row>
    <row r="200" spans="2:17" x14ac:dyDescent="0.3">
      <c r="B200" s="292"/>
      <c r="C200" s="9" t="s">
        <v>214</v>
      </c>
      <c r="D200" s="86">
        <v>22.524518918996744</v>
      </c>
      <c r="E200" s="86">
        <v>16.044021357378444</v>
      </c>
      <c r="F200" s="88">
        <v>30.289171883292148</v>
      </c>
      <c r="G200" s="88">
        <v>36.122396731893389</v>
      </c>
      <c r="H200" s="88">
        <v>46.055850544000229</v>
      </c>
      <c r="I200" s="86">
        <v>10.981941429681081</v>
      </c>
      <c r="J200" s="86">
        <v>15.263796380383576</v>
      </c>
      <c r="K200" s="92">
        <v>21.413084663338651</v>
      </c>
      <c r="L200" s="86">
        <v>17.762128768449418</v>
      </c>
      <c r="M200" s="88">
        <v>20.236984630025141</v>
      </c>
      <c r="N200" s="86">
        <v>55.353308772040066</v>
      </c>
      <c r="O200" s="86">
        <v>6.3977265802881451</v>
      </c>
      <c r="P200" s="86">
        <v>1.5550693402328315</v>
      </c>
      <c r="Q200" s="92">
        <v>0</v>
      </c>
    </row>
    <row r="201" spans="2:17" x14ac:dyDescent="0.3">
      <c r="B201" s="292"/>
      <c r="C201" s="12" t="s">
        <v>215</v>
      </c>
      <c r="D201" s="90">
        <v>34.020494675774437</v>
      </c>
      <c r="E201" s="90">
        <v>23.171887557199781</v>
      </c>
      <c r="F201" s="91">
        <v>21.648953022826991</v>
      </c>
      <c r="G201" s="91">
        <v>35.985437608405753</v>
      </c>
      <c r="H201" s="91">
        <v>35.510397055910808</v>
      </c>
      <c r="I201" s="90">
        <v>18.939839469441058</v>
      </c>
      <c r="J201" s="90">
        <v>12.006295171633081</v>
      </c>
      <c r="K201" s="94">
        <v>14.015287223184428</v>
      </c>
      <c r="L201" s="90">
        <v>17.919757427449372</v>
      </c>
      <c r="M201" s="91">
        <v>23.194477163305489</v>
      </c>
      <c r="N201" s="90">
        <v>47.80797541323772</v>
      </c>
      <c r="O201" s="90">
        <v>10.696083231354399</v>
      </c>
      <c r="P201" s="90">
        <v>5.0831149802767888</v>
      </c>
      <c r="Q201" s="94">
        <v>0</v>
      </c>
    </row>
    <row r="202" spans="2:17" x14ac:dyDescent="0.3">
      <c r="B202" s="292"/>
      <c r="C202" s="9" t="s">
        <v>216</v>
      </c>
      <c r="D202" s="86">
        <v>47.598011854501756</v>
      </c>
      <c r="E202" s="86">
        <v>21.698812879113696</v>
      </c>
      <c r="F202" s="88">
        <v>21.56803540637253</v>
      </c>
      <c r="G202" s="88">
        <v>20.353675646200337</v>
      </c>
      <c r="H202" s="88">
        <v>26.188065402700389</v>
      </c>
      <c r="I202" s="86">
        <v>13.411181274308143</v>
      </c>
      <c r="J202" s="86">
        <v>15.573008652271337</v>
      </c>
      <c r="K202" s="92">
        <v>62.925091953974963</v>
      </c>
      <c r="L202" s="86">
        <v>39.831437850176954</v>
      </c>
      <c r="M202" s="88">
        <v>4.1336572532941904</v>
      </c>
      <c r="N202" s="86">
        <v>15.276764617972798</v>
      </c>
      <c r="O202" s="86">
        <v>0</v>
      </c>
      <c r="P202" s="86">
        <v>7.8088927283740128</v>
      </c>
      <c r="Q202" s="92">
        <v>3.6333644807387668</v>
      </c>
    </row>
    <row r="203" spans="2:17" x14ac:dyDescent="0.3">
      <c r="B203" s="292"/>
      <c r="C203" s="9" t="s">
        <v>217</v>
      </c>
      <c r="D203" s="86">
        <v>35.63560380032655</v>
      </c>
      <c r="E203" s="86">
        <v>21.226360576347446</v>
      </c>
      <c r="F203" s="88">
        <v>36.553130256002603</v>
      </c>
      <c r="G203" s="88">
        <v>12.535834486149824</v>
      </c>
      <c r="H203" s="88">
        <v>30.435630135478885</v>
      </c>
      <c r="I203" s="86">
        <v>11.747573176891695</v>
      </c>
      <c r="J203" s="86">
        <v>11.360637899763052</v>
      </c>
      <c r="K203" s="92">
        <v>53.273320934536464</v>
      </c>
      <c r="L203" s="86">
        <v>32.514406300304977</v>
      </c>
      <c r="M203" s="88">
        <v>19.076606502107289</v>
      </c>
      <c r="N203" s="86">
        <v>24.566637864981274</v>
      </c>
      <c r="O203" s="86">
        <v>4.5586701735184896</v>
      </c>
      <c r="P203" s="86">
        <v>4.1255891655925101</v>
      </c>
      <c r="Q203" s="92">
        <v>2.3899987279986838</v>
      </c>
    </row>
    <row r="204" spans="2:17" x14ac:dyDescent="0.3">
      <c r="B204" s="292"/>
      <c r="C204" s="9" t="s">
        <v>218</v>
      </c>
      <c r="D204" s="86">
        <v>42.209312615117526</v>
      </c>
      <c r="E204" s="86">
        <v>26.269418533220581</v>
      </c>
      <c r="F204" s="88">
        <v>26.497520357279882</v>
      </c>
      <c r="G204" s="88">
        <v>11.833560439323701</v>
      </c>
      <c r="H204" s="88">
        <v>31.32631691645215</v>
      </c>
      <c r="I204" s="86">
        <v>16.375119998433533</v>
      </c>
      <c r="J204" s="86">
        <v>8.3916118260603483</v>
      </c>
      <c r="K204" s="92">
        <v>41.653621624864293</v>
      </c>
      <c r="L204" s="86">
        <v>20.905286281965221</v>
      </c>
      <c r="M204" s="88">
        <v>26.77001254325701</v>
      </c>
      <c r="N204" s="86">
        <v>41.462660463137269</v>
      </c>
      <c r="O204" s="86">
        <v>1.6795899242315873</v>
      </c>
      <c r="P204" s="86">
        <v>3.9938848930779973</v>
      </c>
      <c r="Q204" s="92">
        <v>0.63208358357916528</v>
      </c>
    </row>
    <row r="205" spans="2:17" x14ac:dyDescent="0.3">
      <c r="B205" s="292"/>
      <c r="C205" s="9" t="s">
        <v>219</v>
      </c>
      <c r="D205" s="86">
        <v>41.479070795231834</v>
      </c>
      <c r="E205" s="86">
        <v>22.003620532221138</v>
      </c>
      <c r="F205" s="88">
        <v>27.842493001628405</v>
      </c>
      <c r="G205" s="88">
        <v>17.365465885677274</v>
      </c>
      <c r="H205" s="88">
        <v>39.828151568495237</v>
      </c>
      <c r="I205" s="86">
        <v>13.779254679490794</v>
      </c>
      <c r="J205" s="86">
        <v>7.1597236702744542</v>
      </c>
      <c r="K205" s="92">
        <v>30.294801305584674</v>
      </c>
      <c r="L205" s="86">
        <v>22.056639137495207</v>
      </c>
      <c r="M205" s="88">
        <v>29.316664029015925</v>
      </c>
      <c r="N205" s="86">
        <v>37.559653182647281</v>
      </c>
      <c r="O205" s="86">
        <v>6.8199305654130988</v>
      </c>
      <c r="P205" s="86">
        <v>3.240483698534248</v>
      </c>
      <c r="Q205" s="92">
        <v>1.2540479482903888</v>
      </c>
    </row>
    <row r="206" spans="2:17" x14ac:dyDescent="0.3">
      <c r="B206" s="292"/>
      <c r="C206" s="9" t="s">
        <v>220</v>
      </c>
      <c r="D206" s="86">
        <v>39.545938070630555</v>
      </c>
      <c r="E206" s="86">
        <v>22.451964767407659</v>
      </c>
      <c r="F206" s="88">
        <v>21.054185870195354</v>
      </c>
      <c r="G206" s="88">
        <v>19.557730013531778</v>
      </c>
      <c r="H206" s="88">
        <v>42.408120417107085</v>
      </c>
      <c r="I206" s="86">
        <v>15.847087537523599</v>
      </c>
      <c r="J206" s="86">
        <v>10.676504592285067</v>
      </c>
      <c r="K206" s="92">
        <v>19.101506014489278</v>
      </c>
      <c r="L206" s="86">
        <v>18.688632763799955</v>
      </c>
      <c r="M206" s="88">
        <v>31.45705692109269</v>
      </c>
      <c r="N206" s="86">
        <v>39.6598029139235</v>
      </c>
      <c r="O206" s="86">
        <v>14.36833915380814</v>
      </c>
      <c r="P206" s="86">
        <v>3.4061239521397129</v>
      </c>
      <c r="Q206" s="92">
        <v>1.7770070120653749</v>
      </c>
    </row>
    <row r="207" spans="2:17" x14ac:dyDescent="0.3">
      <c r="B207" s="295"/>
      <c r="C207" s="9" t="s">
        <v>221</v>
      </c>
      <c r="D207" s="86">
        <v>42.424289056398784</v>
      </c>
      <c r="E207" s="86">
        <v>18.526925391169076</v>
      </c>
      <c r="F207" s="88">
        <v>19.936703235627025</v>
      </c>
      <c r="G207" s="88">
        <v>23.388539464305289</v>
      </c>
      <c r="H207" s="88">
        <v>43.116262129155857</v>
      </c>
      <c r="I207" s="86">
        <v>11.159149941998226</v>
      </c>
      <c r="J207" s="86">
        <v>12.280376241991407</v>
      </c>
      <c r="K207" s="92">
        <v>20.196081524548642</v>
      </c>
      <c r="L207" s="86">
        <v>13.830662005941935</v>
      </c>
      <c r="M207" s="88">
        <v>27.006741868962948</v>
      </c>
      <c r="N207" s="86">
        <v>38.310208440946774</v>
      </c>
      <c r="O207" s="86">
        <v>22.48122029249426</v>
      </c>
      <c r="P207" s="86">
        <v>3.6511632289605056</v>
      </c>
      <c r="Q207" s="92">
        <v>3.6916771774993364</v>
      </c>
    </row>
    <row r="208" spans="2:17" ht="16.5" customHeight="1" x14ac:dyDescent="0.3">
      <c r="B208" s="291" t="s">
        <v>222</v>
      </c>
      <c r="C208" s="13" t="s">
        <v>226</v>
      </c>
      <c r="D208" s="84">
        <v>28.968256978336754</v>
      </c>
      <c r="E208" s="84">
        <v>22.022311176942839</v>
      </c>
      <c r="F208" s="89">
        <v>29.434856417484053</v>
      </c>
      <c r="G208" s="89">
        <v>26.66180492852185</v>
      </c>
      <c r="H208" s="89">
        <v>31.060976640558515</v>
      </c>
      <c r="I208" s="84">
        <v>11.830791926993584</v>
      </c>
      <c r="J208" s="84">
        <v>14.7945680731436</v>
      </c>
      <c r="K208" s="93">
        <v>34.20296849229284</v>
      </c>
      <c r="L208" s="84">
        <v>21.338472639726508</v>
      </c>
      <c r="M208" s="89">
        <v>24.593331103750199</v>
      </c>
      <c r="N208" s="84">
        <v>38.916206481368938</v>
      </c>
      <c r="O208" s="84">
        <v>9.2389707095629312</v>
      </c>
      <c r="P208" s="84">
        <v>4.4848619567730106</v>
      </c>
      <c r="Q208" s="93">
        <v>2.4516224745444117</v>
      </c>
    </row>
    <row r="209" spans="2:17" ht="16.5" customHeight="1" x14ac:dyDescent="0.3">
      <c r="B209" s="294"/>
      <c r="C209" s="9" t="s">
        <v>227</v>
      </c>
      <c r="D209" s="86">
        <v>34.71624161592306</v>
      </c>
      <c r="E209" s="86">
        <v>24.323943905386351</v>
      </c>
      <c r="F209" s="88">
        <v>26.165762599404779</v>
      </c>
      <c r="G209" s="88">
        <v>22.359631989999361</v>
      </c>
      <c r="H209" s="88">
        <v>33.481554306844501</v>
      </c>
      <c r="I209" s="86">
        <v>13.265824665345704</v>
      </c>
      <c r="J209" s="86">
        <v>9.9163141252381557</v>
      </c>
      <c r="K209" s="92">
        <v>32.28958666580526</v>
      </c>
      <c r="L209" s="86">
        <v>20.291744803856666</v>
      </c>
      <c r="M209" s="88">
        <v>24.447006197123024</v>
      </c>
      <c r="N209" s="86">
        <v>40.722227299101078</v>
      </c>
      <c r="O209" s="86">
        <v>10.64329816295364</v>
      </c>
      <c r="P209" s="86">
        <v>5.9830308288000289</v>
      </c>
      <c r="Q209" s="92">
        <v>1.3938328342185535</v>
      </c>
    </row>
    <row r="210" spans="2:17" x14ac:dyDescent="0.3">
      <c r="B210" s="292"/>
      <c r="C210" s="9" t="s">
        <v>228</v>
      </c>
      <c r="D210" s="86">
        <v>40.60062979401954</v>
      </c>
      <c r="E210" s="86">
        <v>25.689304447659563</v>
      </c>
      <c r="F210" s="88">
        <v>30.028866148463688</v>
      </c>
      <c r="G210" s="88">
        <v>21.471497601332331</v>
      </c>
      <c r="H210" s="88">
        <v>38.773560177810715</v>
      </c>
      <c r="I210" s="86">
        <v>13.599714273525706</v>
      </c>
      <c r="J210" s="86">
        <v>11.130665155317745</v>
      </c>
      <c r="K210" s="92">
        <v>31.189020982475519</v>
      </c>
      <c r="L210" s="86">
        <v>21.087810394297218</v>
      </c>
      <c r="M210" s="88">
        <v>20.858513857806749</v>
      </c>
      <c r="N210" s="86">
        <v>36.010764849588973</v>
      </c>
      <c r="O210" s="86">
        <v>6.6896531148467</v>
      </c>
      <c r="P210" s="86">
        <v>1.6631343876267923</v>
      </c>
      <c r="Q210" s="92">
        <v>1.2068648152286774</v>
      </c>
    </row>
    <row r="211" spans="2:17" x14ac:dyDescent="0.3">
      <c r="B211" s="295"/>
      <c r="C211" s="12" t="s">
        <v>229</v>
      </c>
      <c r="D211" s="90">
        <v>47.837514576320281</v>
      </c>
      <c r="E211" s="90">
        <v>21.845742904442687</v>
      </c>
      <c r="F211" s="91">
        <v>30.965035772695217</v>
      </c>
      <c r="G211" s="91">
        <v>14.656042133948594</v>
      </c>
      <c r="H211" s="91">
        <v>40.834606608788157</v>
      </c>
      <c r="I211" s="90">
        <v>19.752417510732194</v>
      </c>
      <c r="J211" s="90">
        <v>9.7922993295384195</v>
      </c>
      <c r="K211" s="94">
        <v>31.959582053523256</v>
      </c>
      <c r="L211" s="90">
        <v>24.566239365800943</v>
      </c>
      <c r="M211" s="91">
        <v>20.948060253245462</v>
      </c>
      <c r="N211" s="90">
        <v>26.352358627801937</v>
      </c>
      <c r="O211" s="90">
        <v>5.9290232727271164</v>
      </c>
      <c r="P211" s="90">
        <v>3.0368547846130785</v>
      </c>
      <c r="Q211" s="94">
        <v>1.5242228058226968</v>
      </c>
    </row>
    <row r="212" spans="2:17" x14ac:dyDescent="0.3">
      <c r="B212" s="296" t="s">
        <v>199</v>
      </c>
      <c r="C212" s="13" t="s">
        <v>192</v>
      </c>
      <c r="D212" s="84">
        <v>37.621852354965156</v>
      </c>
      <c r="E212" s="84">
        <v>29.940467661110041</v>
      </c>
      <c r="F212" s="89">
        <v>29.973842489867202</v>
      </c>
      <c r="G212" s="89">
        <v>19.534303542599723</v>
      </c>
      <c r="H212" s="89">
        <v>33.895129374695223</v>
      </c>
      <c r="I212" s="84">
        <v>15.380889567726641</v>
      </c>
      <c r="J212" s="84">
        <v>11.6725552843734</v>
      </c>
      <c r="K212" s="93">
        <v>31.266015589830587</v>
      </c>
      <c r="L212" s="84">
        <v>21.316046325988776</v>
      </c>
      <c r="M212" s="89">
        <v>23.219482429413997</v>
      </c>
      <c r="N212" s="84">
        <v>33.696449636923816</v>
      </c>
      <c r="O212" s="84">
        <v>8.1345264915424469</v>
      </c>
      <c r="P212" s="84">
        <v>2.8515135395909028</v>
      </c>
      <c r="Q212" s="93">
        <v>1.4969257113715464</v>
      </c>
    </row>
    <row r="213" spans="2:17" x14ac:dyDescent="0.3">
      <c r="B213" s="292"/>
      <c r="C213" s="9" t="s">
        <v>200</v>
      </c>
      <c r="D213" s="86">
        <v>26.550480278291577</v>
      </c>
      <c r="E213" s="86">
        <v>17.189596747516937</v>
      </c>
      <c r="F213" s="88">
        <v>22.888647917667935</v>
      </c>
      <c r="G213" s="88">
        <v>24.157461665554571</v>
      </c>
      <c r="H213" s="88">
        <v>36.205495491906383</v>
      </c>
      <c r="I213" s="86">
        <v>21.519518806792252</v>
      </c>
      <c r="J213" s="86">
        <v>12.655395874413195</v>
      </c>
      <c r="K213" s="92">
        <v>29.095277956949374</v>
      </c>
      <c r="L213" s="86">
        <v>21.299785021052127</v>
      </c>
      <c r="M213" s="88">
        <v>21.314765608637309</v>
      </c>
      <c r="N213" s="86">
        <v>44.267118414884358</v>
      </c>
      <c r="O213" s="86">
        <v>13.115448017663264</v>
      </c>
      <c r="P213" s="86">
        <v>7.2751896889076155</v>
      </c>
      <c r="Q213" s="92">
        <v>2.465818509763043</v>
      </c>
    </row>
    <row r="214" spans="2:17" x14ac:dyDescent="0.3">
      <c r="B214" s="292"/>
      <c r="C214" s="9" t="s">
        <v>201</v>
      </c>
      <c r="D214" s="86">
        <v>41.413132737969903</v>
      </c>
      <c r="E214" s="86">
        <v>20.286888694871628</v>
      </c>
      <c r="F214" s="88">
        <v>31.748746217132201</v>
      </c>
      <c r="G214" s="88">
        <v>21.935055304077018</v>
      </c>
      <c r="H214" s="88">
        <v>37.228278928986178</v>
      </c>
      <c r="I214" s="86">
        <v>12.615812235066903</v>
      </c>
      <c r="J214" s="86">
        <v>8.5172486534697924</v>
      </c>
      <c r="K214" s="92">
        <v>34.555097466149263</v>
      </c>
      <c r="L214" s="86">
        <v>23.574405479164088</v>
      </c>
      <c r="M214" s="88">
        <v>19.620835361861882</v>
      </c>
      <c r="N214" s="86">
        <v>35.442320389015549</v>
      </c>
      <c r="O214" s="86">
        <v>6.8615773268798783</v>
      </c>
      <c r="P214" s="86">
        <v>3.5812611996296857</v>
      </c>
      <c r="Q214" s="92">
        <v>2.6193400057262206</v>
      </c>
    </row>
    <row r="215" spans="2:17" x14ac:dyDescent="0.3">
      <c r="B215" s="292"/>
      <c r="C215" s="9" t="s">
        <v>202</v>
      </c>
      <c r="D215" s="86">
        <v>37.06869458741464</v>
      </c>
      <c r="E215" s="86">
        <v>14.763404850816888</v>
      </c>
      <c r="F215" s="88">
        <v>29.630802556037512</v>
      </c>
      <c r="G215" s="88">
        <v>19.890948055757256</v>
      </c>
      <c r="H215" s="88">
        <v>31.966247341846415</v>
      </c>
      <c r="I215" s="86">
        <v>16.394141269558226</v>
      </c>
      <c r="J215" s="86">
        <v>10.029762856946395</v>
      </c>
      <c r="K215" s="92">
        <v>36.328393602375506</v>
      </c>
      <c r="L215" s="86">
        <v>29.582089440211568</v>
      </c>
      <c r="M215" s="88">
        <v>24.721825945970036</v>
      </c>
      <c r="N215" s="86">
        <v>37.923622760653373</v>
      </c>
      <c r="O215" s="86">
        <v>6.1383417000707308</v>
      </c>
      <c r="P215" s="86">
        <v>5.5617250323416938</v>
      </c>
      <c r="Q215" s="92">
        <v>0</v>
      </c>
    </row>
    <row r="216" spans="2:17" x14ac:dyDescent="0.3">
      <c r="B216" s="295"/>
      <c r="C216" s="12" t="s">
        <v>203</v>
      </c>
      <c r="D216" s="90">
        <v>39.266790759952698</v>
      </c>
      <c r="E216" s="90">
        <v>13.114044086315499</v>
      </c>
      <c r="F216" s="91">
        <v>26.500617477398059</v>
      </c>
      <c r="G216" s="91">
        <v>25.099012272722486</v>
      </c>
      <c r="H216" s="91">
        <v>41.727389676727569</v>
      </c>
      <c r="I216" s="90">
        <v>12.281650811621889</v>
      </c>
      <c r="J216" s="90">
        <v>12.309325089285585</v>
      </c>
      <c r="K216" s="94">
        <v>33.384234549844706</v>
      </c>
      <c r="L216" s="90">
        <v>19.692947178345246</v>
      </c>
      <c r="M216" s="91">
        <v>22.65733738751387</v>
      </c>
      <c r="N216" s="90">
        <v>37.71801903813477</v>
      </c>
      <c r="O216" s="90">
        <v>8.8774802976187139</v>
      </c>
      <c r="P216" s="90">
        <v>5.3471150156166294</v>
      </c>
      <c r="Q216" s="94">
        <v>2.0240363589021642</v>
      </c>
    </row>
    <row r="217" spans="2:17" x14ac:dyDescent="0.3">
      <c r="B217" s="291" t="s">
        <v>204</v>
      </c>
      <c r="C217" s="13" t="s">
        <v>192</v>
      </c>
      <c r="D217" s="84">
        <v>37.621852354965156</v>
      </c>
      <c r="E217" s="84">
        <v>29.940467661110041</v>
      </c>
      <c r="F217" s="89">
        <v>29.973842489867202</v>
      </c>
      <c r="G217" s="89">
        <v>19.534303542599723</v>
      </c>
      <c r="H217" s="89">
        <v>33.895129374695223</v>
      </c>
      <c r="I217" s="84">
        <v>15.380889567726641</v>
      </c>
      <c r="J217" s="84">
        <v>11.6725552843734</v>
      </c>
      <c r="K217" s="93">
        <v>31.266015589830587</v>
      </c>
      <c r="L217" s="84">
        <v>21.316046325988776</v>
      </c>
      <c r="M217" s="89">
        <v>23.219482429413997</v>
      </c>
      <c r="N217" s="84">
        <v>33.696449636923816</v>
      </c>
      <c r="O217" s="84">
        <v>8.1345264915424469</v>
      </c>
      <c r="P217" s="84">
        <v>2.8515135395909028</v>
      </c>
      <c r="Q217" s="93">
        <v>1.4969257113715464</v>
      </c>
    </row>
    <row r="218" spans="2:17" x14ac:dyDescent="0.3">
      <c r="B218" s="295"/>
      <c r="C218" s="12" t="s">
        <v>193</v>
      </c>
      <c r="D218" s="90">
        <v>38.458556960205556</v>
      </c>
      <c r="E218" s="90">
        <v>15.402993540833537</v>
      </c>
      <c r="F218" s="91">
        <v>28.034651962273415</v>
      </c>
      <c r="G218" s="91">
        <v>23.358869345290763</v>
      </c>
      <c r="H218" s="91">
        <v>38.530879625016865</v>
      </c>
      <c r="I218" s="90">
        <v>13.762674494286772</v>
      </c>
      <c r="J218" s="90">
        <v>11.032569699989784</v>
      </c>
      <c r="K218" s="94">
        <v>33.869798129696264</v>
      </c>
      <c r="L218" s="90">
        <v>22.480096495381023</v>
      </c>
      <c r="M218" s="91">
        <v>22.205214259236474</v>
      </c>
      <c r="N218" s="90">
        <v>37.692996004788071</v>
      </c>
      <c r="O218" s="90">
        <v>8.2242387656437277</v>
      </c>
      <c r="P218" s="90">
        <v>5.1073355249077084</v>
      </c>
      <c r="Q218" s="94">
        <v>1.8391251924498135</v>
      </c>
    </row>
    <row r="219" spans="2:17" ht="16.5" customHeight="1" x14ac:dyDescent="0.3">
      <c r="B219" s="291" t="s">
        <v>209</v>
      </c>
      <c r="C219" s="13" t="s">
        <v>205</v>
      </c>
      <c r="D219" s="84">
        <v>30.944297334085224</v>
      </c>
      <c r="E219" s="84">
        <v>22.911322612507039</v>
      </c>
      <c r="F219" s="89">
        <v>29.139257083329699</v>
      </c>
      <c r="G219" s="89">
        <v>21.366007175569095</v>
      </c>
      <c r="H219" s="89">
        <v>28.146598853864713</v>
      </c>
      <c r="I219" s="84">
        <v>13.670603485784671</v>
      </c>
      <c r="J219" s="84">
        <v>14.367501201290194</v>
      </c>
      <c r="K219" s="93">
        <v>35.643944359759146</v>
      </c>
      <c r="L219" s="84">
        <v>21.950587498137278</v>
      </c>
      <c r="M219" s="89">
        <v>23.693869653231385</v>
      </c>
      <c r="N219" s="84">
        <v>40.650327549123695</v>
      </c>
      <c r="O219" s="84">
        <v>11.007987847062498</v>
      </c>
      <c r="P219" s="84">
        <v>4.6672294606339326</v>
      </c>
      <c r="Q219" s="93">
        <v>1.8404658856213734</v>
      </c>
    </row>
    <row r="220" spans="2:17" x14ac:dyDescent="0.3">
      <c r="B220" s="292"/>
      <c r="C220" s="9" t="s">
        <v>206</v>
      </c>
      <c r="D220" s="86">
        <v>35.165343616262689</v>
      </c>
      <c r="E220" s="86">
        <v>24.457662386239903</v>
      </c>
      <c r="F220" s="88">
        <v>25.89630459775405</v>
      </c>
      <c r="G220" s="88">
        <v>20.742609441396638</v>
      </c>
      <c r="H220" s="88">
        <v>36.5531841960984</v>
      </c>
      <c r="I220" s="86">
        <v>12.648372635526018</v>
      </c>
      <c r="J220" s="86">
        <v>10.267884439302648</v>
      </c>
      <c r="K220" s="92">
        <v>29.952140533359213</v>
      </c>
      <c r="L220" s="86">
        <v>19.717507565427411</v>
      </c>
      <c r="M220" s="88">
        <v>21.427828184776796</v>
      </c>
      <c r="N220" s="86">
        <v>44.076287157567378</v>
      </c>
      <c r="O220" s="86">
        <v>11.259273812185373</v>
      </c>
      <c r="P220" s="86">
        <v>4.7145324541095421</v>
      </c>
      <c r="Q220" s="92">
        <v>3.1210689799939848</v>
      </c>
    </row>
    <row r="221" spans="2:17" x14ac:dyDescent="0.3">
      <c r="B221" s="292"/>
      <c r="C221" s="9" t="s">
        <v>207</v>
      </c>
      <c r="D221" s="86">
        <v>44.770220449934875</v>
      </c>
      <c r="E221" s="86">
        <v>24.808308790695762</v>
      </c>
      <c r="F221" s="88">
        <v>28.697156189731306</v>
      </c>
      <c r="G221" s="88">
        <v>20.223507319156354</v>
      </c>
      <c r="H221" s="88">
        <v>35.474502425317255</v>
      </c>
      <c r="I221" s="86">
        <v>15.506117612760598</v>
      </c>
      <c r="J221" s="86">
        <v>9.5170465294866773</v>
      </c>
      <c r="K221" s="92">
        <v>27.650054430682424</v>
      </c>
      <c r="L221" s="86">
        <v>21.71538236595611</v>
      </c>
      <c r="M221" s="88">
        <v>24.768064474071611</v>
      </c>
      <c r="N221" s="86">
        <v>35.522217763102617</v>
      </c>
      <c r="O221" s="86">
        <v>7.5157515887941022</v>
      </c>
      <c r="P221" s="86">
        <v>2.9338351940798644</v>
      </c>
      <c r="Q221" s="92">
        <v>0.89783486623049602</v>
      </c>
    </row>
    <row r="222" spans="2:17" x14ac:dyDescent="0.3">
      <c r="B222" s="293"/>
      <c r="C222" s="25" t="s">
        <v>208</v>
      </c>
      <c r="D222" s="87">
        <v>37.29898197783708</v>
      </c>
      <c r="E222" s="87">
        <v>22.0749668179796</v>
      </c>
      <c r="F222" s="95">
        <v>30.87943724284327</v>
      </c>
      <c r="G222" s="95">
        <v>22.24804916370876</v>
      </c>
      <c r="H222" s="95">
        <v>39.912298625793134</v>
      </c>
      <c r="I222" s="87">
        <v>15.369702078295457</v>
      </c>
      <c r="J222" s="87">
        <v>11.943568228220409</v>
      </c>
      <c r="K222" s="96">
        <v>35.839281674632268</v>
      </c>
      <c r="L222" s="87">
        <v>22.852667453828182</v>
      </c>
      <c r="M222" s="95">
        <v>21.321638623878645</v>
      </c>
      <c r="N222" s="87">
        <v>29.028862754030342</v>
      </c>
      <c r="O222" s="87">
        <v>5.914993151191716</v>
      </c>
      <c r="P222" s="87">
        <v>3.8281107321603058</v>
      </c>
      <c r="Q222" s="96">
        <v>1.487441475600954</v>
      </c>
    </row>
    <row r="223" spans="2:17" x14ac:dyDescent="0.3">
      <c r="B223" s="136"/>
    </row>
    <row r="224" spans="2:17" x14ac:dyDescent="0.3">
      <c r="B224" s="60"/>
      <c r="C224" s="9"/>
      <c r="D224" s="58"/>
      <c r="E224" s="58"/>
      <c r="F224" s="50"/>
      <c r="G224" s="58"/>
      <c r="H224" s="50"/>
      <c r="I224" s="58"/>
      <c r="J224" s="58"/>
      <c r="K224" s="58"/>
      <c r="L224" s="50"/>
      <c r="M224" s="58"/>
      <c r="N224" s="58"/>
    </row>
    <row r="225" spans="2:19" x14ac:dyDescent="0.3">
      <c r="B225" s="1" t="s">
        <v>489</v>
      </c>
      <c r="D225" s="59"/>
      <c r="E225" s="304"/>
      <c r="F225" s="304"/>
      <c r="G225" s="304"/>
      <c r="H225" s="304"/>
      <c r="I225" s="304"/>
      <c r="J225" s="304"/>
      <c r="K225" s="304"/>
      <c r="L225" s="304"/>
      <c r="M225" s="304"/>
      <c r="N225" s="304"/>
      <c r="O225" s="304"/>
      <c r="P225" s="304"/>
      <c r="Q225" s="304"/>
      <c r="R225" s="304"/>
      <c r="S225" s="304"/>
    </row>
    <row r="226" spans="2:19" ht="10.5" customHeight="1" x14ac:dyDescent="0.3"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30"/>
      <c r="O226" s="30"/>
      <c r="P226" s="30" t="s">
        <v>52</v>
      </c>
    </row>
    <row r="227" spans="2:19" s="125" customFormat="1" ht="27" x14ac:dyDescent="0.3">
      <c r="B227" s="297"/>
      <c r="C227" s="297"/>
      <c r="D227" s="215" t="s">
        <v>57</v>
      </c>
      <c r="E227" s="215" t="s">
        <v>59</v>
      </c>
      <c r="F227" s="215" t="s">
        <v>126</v>
      </c>
      <c r="G227" s="215" t="s">
        <v>58</v>
      </c>
      <c r="H227" s="215" t="s">
        <v>127</v>
      </c>
      <c r="I227" s="202" t="s">
        <v>376</v>
      </c>
      <c r="J227" s="215" t="s">
        <v>60</v>
      </c>
      <c r="K227" s="215" t="s">
        <v>61</v>
      </c>
      <c r="L227" s="215" t="s">
        <v>128</v>
      </c>
      <c r="M227" s="215" t="s">
        <v>129</v>
      </c>
      <c r="N227" s="202" t="s">
        <v>377</v>
      </c>
      <c r="O227" s="215" t="s">
        <v>130</v>
      </c>
      <c r="P227" s="215" t="s">
        <v>38</v>
      </c>
      <c r="Q227" s="126"/>
    </row>
    <row r="228" spans="2:19" ht="21.75" customHeight="1" x14ac:dyDescent="0.3">
      <c r="B228" s="292" t="s">
        <v>20</v>
      </c>
      <c r="C228" s="292"/>
      <c r="D228" s="86">
        <v>14.091140594775808</v>
      </c>
      <c r="E228" s="86">
        <v>13.482317090912879</v>
      </c>
      <c r="F228" s="88">
        <v>38.430465739916613</v>
      </c>
      <c r="G228" s="86">
        <v>5.6297027096422907</v>
      </c>
      <c r="H228" s="88">
        <v>4.7559957622464752</v>
      </c>
      <c r="I228" s="86">
        <v>4.4626900391373008</v>
      </c>
      <c r="J228" s="86">
        <v>3.9352864703320165</v>
      </c>
      <c r="K228" s="86">
        <v>3.0204024478883098</v>
      </c>
      <c r="L228" s="88">
        <v>7.9177372441300893</v>
      </c>
      <c r="M228" s="86">
        <v>3.5456223291907021</v>
      </c>
      <c r="N228" s="86">
        <v>0.67620122401704186</v>
      </c>
      <c r="O228" s="86">
        <v>5.2438347810368373E-2</v>
      </c>
      <c r="P228" s="86">
        <v>0</v>
      </c>
    </row>
    <row r="229" spans="2:19" x14ac:dyDescent="0.3">
      <c r="B229" s="296" t="s">
        <v>5</v>
      </c>
      <c r="C229" s="13" t="s">
        <v>0</v>
      </c>
      <c r="D229" s="84">
        <v>16.422409736891261</v>
      </c>
      <c r="E229" s="84">
        <v>14.366024735930665</v>
      </c>
      <c r="F229" s="89">
        <v>28.732651251885162</v>
      </c>
      <c r="G229" s="84">
        <v>5.8767303115210918</v>
      </c>
      <c r="H229" s="89">
        <v>6.4911084099858671</v>
      </c>
      <c r="I229" s="84">
        <v>4.7784665911861426</v>
      </c>
      <c r="J229" s="84">
        <v>4.5263850374500185</v>
      </c>
      <c r="K229" s="84">
        <v>3.8293103476354244</v>
      </c>
      <c r="L229" s="89">
        <v>9.6410007154356059</v>
      </c>
      <c r="M229" s="84">
        <v>4.6785117758711543</v>
      </c>
      <c r="N229" s="84">
        <v>0.65740108620764237</v>
      </c>
      <c r="O229" s="84">
        <v>0</v>
      </c>
      <c r="P229" s="84">
        <v>0</v>
      </c>
    </row>
    <row r="230" spans="2:19" x14ac:dyDescent="0.3">
      <c r="B230" s="295"/>
      <c r="C230" s="12" t="s">
        <v>1</v>
      </c>
      <c r="D230" s="90">
        <v>12.779737308901911</v>
      </c>
      <c r="E230" s="90">
        <v>12.985207131152238</v>
      </c>
      <c r="F230" s="90">
        <v>43.885754258795586</v>
      </c>
      <c r="G230" s="90">
        <v>5.4907428602825279</v>
      </c>
      <c r="H230" s="90">
        <v>3.7799469712682061</v>
      </c>
      <c r="I230" s="90">
        <v>4.2850570063494118</v>
      </c>
      <c r="J230" s="90">
        <v>3.6027771992272335</v>
      </c>
      <c r="K230" s="90">
        <v>2.5653694109326985</v>
      </c>
      <c r="L230" s="90">
        <v>6.9483539421893363</v>
      </c>
      <c r="M230" s="90">
        <v>2.9083407231894158</v>
      </c>
      <c r="N230" s="90">
        <v>0.68677682082511859</v>
      </c>
      <c r="O230" s="90">
        <v>8.1936366885896825E-2</v>
      </c>
      <c r="P230" s="90">
        <v>0</v>
      </c>
    </row>
    <row r="231" spans="2:19" x14ac:dyDescent="0.3">
      <c r="B231" s="296" t="s">
        <v>4</v>
      </c>
      <c r="C231" s="9" t="s">
        <v>175</v>
      </c>
      <c r="D231" s="86">
        <v>17.188058505930005</v>
      </c>
      <c r="E231" s="86">
        <v>11.739600169039955</v>
      </c>
      <c r="F231" s="88">
        <v>44.766037380606726</v>
      </c>
      <c r="G231" s="86">
        <v>5.7609021655473081</v>
      </c>
      <c r="H231" s="88">
        <v>2.890506871220456</v>
      </c>
      <c r="I231" s="86">
        <v>4.7943555089164267</v>
      </c>
      <c r="J231" s="86">
        <v>2.3415786007369084</v>
      </c>
      <c r="K231" s="86">
        <v>0.77795994974162752</v>
      </c>
      <c r="L231" s="88">
        <v>8.0585288232587935</v>
      </c>
      <c r="M231" s="86">
        <v>1.6824720250017986</v>
      </c>
      <c r="N231" s="86">
        <v>0</v>
      </c>
      <c r="O231" s="86">
        <v>0</v>
      </c>
      <c r="P231" s="86">
        <v>0</v>
      </c>
    </row>
    <row r="232" spans="2:19" x14ac:dyDescent="0.3">
      <c r="B232" s="292"/>
      <c r="C232" s="9" t="s">
        <v>176</v>
      </c>
      <c r="D232" s="86">
        <v>14.144579955579834</v>
      </c>
      <c r="E232" s="86">
        <v>12.929369505181567</v>
      </c>
      <c r="F232" s="88">
        <v>42.806263576552674</v>
      </c>
      <c r="G232" s="86">
        <v>5.8572824256869191</v>
      </c>
      <c r="H232" s="88">
        <v>3.7344652804566918</v>
      </c>
      <c r="I232" s="86">
        <v>5.493545657509932</v>
      </c>
      <c r="J232" s="86">
        <v>2.448721601804031</v>
      </c>
      <c r="K232" s="86">
        <v>2.8266964751111869</v>
      </c>
      <c r="L232" s="88">
        <v>8.0402043082991277</v>
      </c>
      <c r="M232" s="86">
        <v>1.0366326537980606</v>
      </c>
      <c r="N232" s="86">
        <v>0.68223856001999961</v>
      </c>
      <c r="O232" s="86">
        <v>0</v>
      </c>
      <c r="P232" s="86">
        <v>0</v>
      </c>
    </row>
    <row r="233" spans="2:19" x14ac:dyDescent="0.3">
      <c r="B233" s="292"/>
      <c r="C233" s="9" t="s">
        <v>177</v>
      </c>
      <c r="D233" s="86">
        <v>13.386080902955177</v>
      </c>
      <c r="E233" s="86">
        <v>12.871107886116876</v>
      </c>
      <c r="F233" s="88">
        <v>38.61150675614774</v>
      </c>
      <c r="G233" s="86">
        <v>7.8000801528975776</v>
      </c>
      <c r="H233" s="88">
        <v>5.1366003350596694</v>
      </c>
      <c r="I233" s="86">
        <v>3.1121091424084404</v>
      </c>
      <c r="J233" s="86">
        <v>3.5539189392359201</v>
      </c>
      <c r="K233" s="86">
        <v>2.015830943497551</v>
      </c>
      <c r="L233" s="88">
        <v>7.6959956155906371</v>
      </c>
      <c r="M233" s="86">
        <v>5.5295565763203305</v>
      </c>
      <c r="N233" s="86">
        <v>0.28721274976998684</v>
      </c>
      <c r="O233" s="86">
        <v>0</v>
      </c>
      <c r="P233" s="86">
        <v>0</v>
      </c>
    </row>
    <row r="234" spans="2:19" x14ac:dyDescent="0.3">
      <c r="B234" s="292"/>
      <c r="C234" s="9" t="s">
        <v>178</v>
      </c>
      <c r="D234" s="86">
        <v>15.598861163511593</v>
      </c>
      <c r="E234" s="86">
        <v>10.471685840638886</v>
      </c>
      <c r="F234" s="88">
        <v>37.323010806111803</v>
      </c>
      <c r="G234" s="86">
        <v>4.9346210231189254</v>
      </c>
      <c r="H234" s="88">
        <v>6.3521405220039417</v>
      </c>
      <c r="I234" s="86">
        <v>4.1048744316809183</v>
      </c>
      <c r="J234" s="86">
        <v>5.6761764485388539</v>
      </c>
      <c r="K234" s="86">
        <v>1.871159228478346</v>
      </c>
      <c r="L234" s="88">
        <v>8.6461768396228074</v>
      </c>
      <c r="M234" s="86">
        <v>3.5334707915820882</v>
      </c>
      <c r="N234" s="86">
        <v>1.2156395794817472</v>
      </c>
      <c r="O234" s="86">
        <v>0.27218332522994926</v>
      </c>
      <c r="P234" s="86">
        <v>0</v>
      </c>
    </row>
    <row r="235" spans="2:19" x14ac:dyDescent="0.3">
      <c r="B235" s="292"/>
      <c r="C235" s="9" t="s">
        <v>179</v>
      </c>
      <c r="D235" s="86">
        <v>12.262238274222538</v>
      </c>
      <c r="E235" s="86">
        <v>14.838141880136519</v>
      </c>
      <c r="F235" s="88">
        <v>35.5366010825337</v>
      </c>
      <c r="G235" s="86">
        <v>4.9801809227409866</v>
      </c>
      <c r="H235" s="88">
        <v>4.8714926192399162</v>
      </c>
      <c r="I235" s="86">
        <v>5.0255453977663098</v>
      </c>
      <c r="J235" s="86">
        <v>4.0925512699195785</v>
      </c>
      <c r="K235" s="86">
        <v>4.8956847627576439</v>
      </c>
      <c r="L235" s="88">
        <v>8.745861765947744</v>
      </c>
      <c r="M235" s="86">
        <v>4.1102393758186331</v>
      </c>
      <c r="N235" s="86">
        <v>0.6414626489164772</v>
      </c>
      <c r="O235" s="86">
        <v>0</v>
      </c>
      <c r="P235" s="86">
        <v>0</v>
      </c>
    </row>
    <row r="236" spans="2:19" x14ac:dyDescent="0.3">
      <c r="B236" s="298"/>
      <c r="C236" s="12" t="s">
        <v>180</v>
      </c>
      <c r="D236" s="90">
        <v>13.728803797310043</v>
      </c>
      <c r="E236" s="90">
        <v>18.214262247555549</v>
      </c>
      <c r="F236" s="91">
        <v>33.327486961922133</v>
      </c>
      <c r="G236" s="90">
        <v>4.3337651868573523</v>
      </c>
      <c r="H236" s="91">
        <v>4.5554137723254122</v>
      </c>
      <c r="I236" s="90">
        <v>4.0276878281339403</v>
      </c>
      <c r="J236" s="90">
        <v>5.0330396886226962</v>
      </c>
      <c r="K236" s="90">
        <v>4.7358856190569698</v>
      </c>
      <c r="L236" s="91">
        <v>5.8858521975013272</v>
      </c>
      <c r="M236" s="90">
        <v>5.3740014544798695</v>
      </c>
      <c r="N236" s="90">
        <v>0.78380124623470182</v>
      </c>
      <c r="O236" s="90">
        <v>0</v>
      </c>
      <c r="P236" s="90">
        <v>0</v>
      </c>
    </row>
    <row r="237" spans="2:19" x14ac:dyDescent="0.3">
      <c r="B237" s="292" t="s">
        <v>223</v>
      </c>
      <c r="C237" s="9" t="s">
        <v>210</v>
      </c>
      <c r="D237" s="86">
        <v>33.598835700008763</v>
      </c>
      <c r="E237" s="86">
        <v>18.516618570335915</v>
      </c>
      <c r="F237" s="88">
        <v>31.557459911827401</v>
      </c>
      <c r="G237" s="86">
        <v>3.5879935117040738</v>
      </c>
      <c r="H237" s="88">
        <v>7.4621967586898954</v>
      </c>
      <c r="I237" s="86">
        <v>0</v>
      </c>
      <c r="J237" s="86">
        <v>3.1139901974680533</v>
      </c>
      <c r="K237" s="86">
        <v>0</v>
      </c>
      <c r="L237" s="88">
        <v>2.1629053499658828</v>
      </c>
      <c r="M237" s="86">
        <v>0</v>
      </c>
      <c r="N237" s="86">
        <v>0</v>
      </c>
      <c r="O237" s="86">
        <v>0</v>
      </c>
      <c r="P237" s="86">
        <v>0</v>
      </c>
    </row>
    <row r="238" spans="2:19" x14ac:dyDescent="0.3">
      <c r="B238" s="292"/>
      <c r="C238" s="9" t="s">
        <v>211</v>
      </c>
      <c r="D238" s="86">
        <v>16.04529174689047</v>
      </c>
      <c r="E238" s="86">
        <v>15.403433037035702</v>
      </c>
      <c r="F238" s="88">
        <v>23.894036620102465</v>
      </c>
      <c r="G238" s="86">
        <v>9.7121872740887021</v>
      </c>
      <c r="H238" s="88">
        <v>5.7087243568925263</v>
      </c>
      <c r="I238" s="86">
        <v>9.7812647117946661</v>
      </c>
      <c r="J238" s="86">
        <v>5.4533305686767601</v>
      </c>
      <c r="K238" s="86">
        <v>5.1646634849911877</v>
      </c>
      <c r="L238" s="88">
        <v>6.4831347245141977</v>
      </c>
      <c r="M238" s="86">
        <v>0.94362071131679037</v>
      </c>
      <c r="N238" s="86">
        <v>1.4103127636965</v>
      </c>
      <c r="O238" s="86">
        <v>0</v>
      </c>
      <c r="P238" s="86">
        <v>0</v>
      </c>
    </row>
    <row r="239" spans="2:19" x14ac:dyDescent="0.3">
      <c r="B239" s="292"/>
      <c r="C239" s="9" t="s">
        <v>212</v>
      </c>
      <c r="D239" s="86">
        <v>15.735501988102078</v>
      </c>
      <c r="E239" s="86">
        <v>13.253845367036202</v>
      </c>
      <c r="F239" s="88">
        <v>27.836793728690118</v>
      </c>
      <c r="G239" s="86">
        <v>7.3717777447007649</v>
      </c>
      <c r="H239" s="88">
        <v>7.0500801738588539</v>
      </c>
      <c r="I239" s="86">
        <v>3.0806506130326361</v>
      </c>
      <c r="J239" s="86">
        <v>4.2169645792474304</v>
      </c>
      <c r="K239" s="86">
        <v>2.1464138253617029</v>
      </c>
      <c r="L239" s="88">
        <v>10.113685980305741</v>
      </c>
      <c r="M239" s="86">
        <v>8.3997710656661422</v>
      </c>
      <c r="N239" s="86">
        <v>0.79451493399829953</v>
      </c>
      <c r="O239" s="86">
        <v>0</v>
      </c>
      <c r="P239" s="86">
        <v>0</v>
      </c>
    </row>
    <row r="240" spans="2:19" x14ac:dyDescent="0.3">
      <c r="B240" s="292"/>
      <c r="C240" s="9" t="s">
        <v>213</v>
      </c>
      <c r="D240" s="86">
        <v>19.312976388962994</v>
      </c>
      <c r="E240" s="86">
        <v>10.304695907044362</v>
      </c>
      <c r="F240" s="88">
        <v>30.346345205442589</v>
      </c>
      <c r="G240" s="86">
        <v>5.0219544292488649</v>
      </c>
      <c r="H240" s="88">
        <v>7.5745160673290917</v>
      </c>
      <c r="I240" s="86">
        <v>0.73823910316076002</v>
      </c>
      <c r="J240" s="86">
        <v>3.3721376856394079</v>
      </c>
      <c r="K240" s="86">
        <v>2.131562075992262</v>
      </c>
      <c r="L240" s="88">
        <v>15.870288829272308</v>
      </c>
      <c r="M240" s="86">
        <v>5.3272843079074574</v>
      </c>
      <c r="N240" s="86">
        <v>0</v>
      </c>
      <c r="O240" s="86">
        <v>0</v>
      </c>
      <c r="P240" s="86">
        <v>0</v>
      </c>
    </row>
    <row r="241" spans="2:16" x14ac:dyDescent="0.3">
      <c r="B241" s="292"/>
      <c r="C241" s="9" t="s">
        <v>214</v>
      </c>
      <c r="D241" s="86">
        <v>11.632146060279961</v>
      </c>
      <c r="E241" s="86">
        <v>14.74356554632085</v>
      </c>
      <c r="F241" s="88">
        <v>30.633100276271758</v>
      </c>
      <c r="G241" s="86">
        <v>3.5714162297266587</v>
      </c>
      <c r="H241" s="88">
        <v>6.1328671965769805</v>
      </c>
      <c r="I241" s="86">
        <v>5.4137986318641147</v>
      </c>
      <c r="J241" s="86">
        <v>3.5911275593908512</v>
      </c>
      <c r="K241" s="86">
        <v>7.3312890501465873</v>
      </c>
      <c r="L241" s="88">
        <v>12.470126236248225</v>
      </c>
      <c r="M241" s="86">
        <v>4.4805632131739603</v>
      </c>
      <c r="N241" s="86">
        <v>0</v>
      </c>
      <c r="O241" s="86">
        <v>0</v>
      </c>
      <c r="P241" s="86">
        <v>0</v>
      </c>
    </row>
    <row r="242" spans="2:16" x14ac:dyDescent="0.3">
      <c r="B242" s="292"/>
      <c r="C242" s="12" t="s">
        <v>215</v>
      </c>
      <c r="D242" s="90">
        <v>13.0475580925764</v>
      </c>
      <c r="E242" s="90">
        <v>17.202055930119741</v>
      </c>
      <c r="F242" s="91">
        <v>31.405137661936049</v>
      </c>
      <c r="G242" s="90">
        <v>3.2744043168361743</v>
      </c>
      <c r="H242" s="91">
        <v>5.6774230505938936</v>
      </c>
      <c r="I242" s="90">
        <v>5.6439948039724088</v>
      </c>
      <c r="J242" s="90">
        <v>6.543698347215769</v>
      </c>
      <c r="K242" s="90">
        <v>3.4374353613275446</v>
      </c>
      <c r="L242" s="91">
        <v>5.5007678942820686</v>
      </c>
      <c r="M242" s="90">
        <v>7.0386091791533447</v>
      </c>
      <c r="N242" s="90">
        <v>1.2289153619866384</v>
      </c>
      <c r="O242" s="90">
        <v>0</v>
      </c>
      <c r="P242" s="90">
        <v>0</v>
      </c>
    </row>
    <row r="243" spans="2:16" x14ac:dyDescent="0.3">
      <c r="B243" s="292"/>
      <c r="C243" s="9" t="s">
        <v>216</v>
      </c>
      <c r="D243" s="86">
        <v>9.7325477138429353</v>
      </c>
      <c r="E243" s="86">
        <v>8.6607615965886016</v>
      </c>
      <c r="F243" s="88">
        <v>50.766770356381528</v>
      </c>
      <c r="G243" s="86">
        <v>6.7480671076679526</v>
      </c>
      <c r="H243" s="88">
        <v>0.81356177038746313</v>
      </c>
      <c r="I243" s="86">
        <v>6.9724588866605046</v>
      </c>
      <c r="J243" s="86">
        <v>1.990667554461776</v>
      </c>
      <c r="K243" s="86">
        <v>1.1313916448110699</v>
      </c>
      <c r="L243" s="88">
        <v>10.736944593054059</v>
      </c>
      <c r="M243" s="86">
        <v>2.4468287761440544</v>
      </c>
      <c r="N243" s="86">
        <v>0</v>
      </c>
      <c r="O243" s="86">
        <v>0</v>
      </c>
      <c r="P243" s="86">
        <v>0</v>
      </c>
    </row>
    <row r="244" spans="2:16" x14ac:dyDescent="0.3">
      <c r="B244" s="292"/>
      <c r="C244" s="9" t="s">
        <v>217</v>
      </c>
      <c r="D244" s="86">
        <v>13.12018531187621</v>
      </c>
      <c r="E244" s="86">
        <v>11.595965123833354</v>
      </c>
      <c r="F244" s="88">
        <v>52.999068231768341</v>
      </c>
      <c r="G244" s="86">
        <v>3.7796692405933183</v>
      </c>
      <c r="H244" s="88">
        <v>2.6704320943472188</v>
      </c>
      <c r="I244" s="86">
        <v>3.1826658844716151</v>
      </c>
      <c r="J244" s="86">
        <v>0.82937807683653697</v>
      </c>
      <c r="K244" s="86">
        <v>1.5666417456009669</v>
      </c>
      <c r="L244" s="88">
        <v>8.8793918951784576</v>
      </c>
      <c r="M244" s="86">
        <v>1.0867617349737906</v>
      </c>
      <c r="N244" s="86">
        <v>0.28984066052010538</v>
      </c>
      <c r="O244" s="86">
        <v>0</v>
      </c>
      <c r="P244" s="86">
        <v>0</v>
      </c>
    </row>
    <row r="245" spans="2:16" x14ac:dyDescent="0.3">
      <c r="B245" s="292"/>
      <c r="C245" s="9" t="s">
        <v>218</v>
      </c>
      <c r="D245" s="86">
        <v>12.055939399111532</v>
      </c>
      <c r="E245" s="86">
        <v>12.65441833154285</v>
      </c>
      <c r="F245" s="88">
        <v>44.711687383806741</v>
      </c>
      <c r="G245" s="86">
        <v>8.0425666160269387</v>
      </c>
      <c r="H245" s="88">
        <v>4.0532700770460313</v>
      </c>
      <c r="I245" s="86">
        <v>3.1299196131823677</v>
      </c>
      <c r="J245" s="86">
        <v>3.1785309211843424</v>
      </c>
      <c r="K245" s="86">
        <v>1.941900513589899</v>
      </c>
      <c r="L245" s="88">
        <v>6.3272029722108343</v>
      </c>
      <c r="M245" s="86">
        <v>3.9045641722985533</v>
      </c>
      <c r="N245" s="86">
        <v>0</v>
      </c>
      <c r="O245" s="86">
        <v>0</v>
      </c>
      <c r="P245" s="86">
        <v>0</v>
      </c>
    </row>
    <row r="246" spans="2:16" x14ac:dyDescent="0.3">
      <c r="B246" s="292"/>
      <c r="C246" s="9" t="s">
        <v>219</v>
      </c>
      <c r="D246" s="86">
        <v>13.392242014132796</v>
      </c>
      <c r="E246" s="86">
        <v>10.570897405939338</v>
      </c>
      <c r="F246" s="88">
        <v>41.467966732022447</v>
      </c>
      <c r="G246" s="86">
        <v>4.8827347582485778</v>
      </c>
      <c r="H246" s="88">
        <v>5.6259063794649213</v>
      </c>
      <c r="I246" s="86">
        <v>6.1050498527288903</v>
      </c>
      <c r="J246" s="86">
        <v>7.0450451417569493</v>
      </c>
      <c r="K246" s="86">
        <v>1.7164494591261761</v>
      </c>
      <c r="L246" s="88">
        <v>4.3542087971718919</v>
      </c>
      <c r="M246" s="86">
        <v>2.4677356123357201</v>
      </c>
      <c r="N246" s="86">
        <v>1.9378717699225425</v>
      </c>
      <c r="O246" s="86">
        <v>0.43389207714973421</v>
      </c>
      <c r="P246" s="86">
        <v>0</v>
      </c>
    </row>
    <row r="247" spans="2:16" x14ac:dyDescent="0.3">
      <c r="B247" s="292"/>
      <c r="C247" s="9" t="s">
        <v>220</v>
      </c>
      <c r="D247" s="86">
        <v>12.592804961074163</v>
      </c>
      <c r="E247" s="86">
        <v>14.887759673583581</v>
      </c>
      <c r="F247" s="88">
        <v>38.109135672919969</v>
      </c>
      <c r="G247" s="86">
        <v>5.7192642931089877</v>
      </c>
      <c r="H247" s="88">
        <v>4.2097348547689339</v>
      </c>
      <c r="I247" s="86">
        <v>4.821855235572289</v>
      </c>
      <c r="J247" s="86">
        <v>4.3556143121704718</v>
      </c>
      <c r="K247" s="86">
        <v>3.6178882403628974</v>
      </c>
      <c r="L247" s="88">
        <v>6.7919925708290485</v>
      </c>
      <c r="M247" s="86">
        <v>3.9159555531210581</v>
      </c>
      <c r="N247" s="86">
        <v>0.97799463248852658</v>
      </c>
      <c r="O247" s="86">
        <v>0</v>
      </c>
      <c r="P247" s="86">
        <v>0</v>
      </c>
    </row>
    <row r="248" spans="2:16" x14ac:dyDescent="0.3">
      <c r="B248" s="295"/>
      <c r="C248" s="9" t="s">
        <v>221</v>
      </c>
      <c r="D248" s="90">
        <v>14.183357836402896</v>
      </c>
      <c r="E248" s="90">
        <v>18.889646278293242</v>
      </c>
      <c r="F248" s="91">
        <v>34.610154335506003</v>
      </c>
      <c r="G248" s="90">
        <v>5.0406125973864393</v>
      </c>
      <c r="H248" s="91">
        <v>3.8067648695980298</v>
      </c>
      <c r="I248" s="90">
        <v>2.9492239799566193</v>
      </c>
      <c r="J248" s="90">
        <v>4.0250685701515154</v>
      </c>
      <c r="K248" s="90">
        <v>5.6022629115829057</v>
      </c>
      <c r="L248" s="91">
        <v>6.1427956530024659</v>
      </c>
      <c r="M248" s="90">
        <v>4.2633094391058908</v>
      </c>
      <c r="N248" s="90">
        <v>0.4868035290140259</v>
      </c>
      <c r="O248" s="90">
        <v>0</v>
      </c>
      <c r="P248" s="90">
        <v>0</v>
      </c>
    </row>
    <row r="249" spans="2:16" ht="16.5" customHeight="1" x14ac:dyDescent="0.3">
      <c r="B249" s="291" t="s">
        <v>222</v>
      </c>
      <c r="C249" s="13" t="s">
        <v>226</v>
      </c>
      <c r="D249" s="80">
        <v>16.311583808996737</v>
      </c>
      <c r="E249" s="80">
        <v>12.722741571375163</v>
      </c>
      <c r="F249" s="80">
        <v>35.466127860693767</v>
      </c>
      <c r="G249" s="80">
        <v>6.5942260980636238</v>
      </c>
      <c r="H249" s="80">
        <v>6.3837752000327184</v>
      </c>
      <c r="I249" s="80">
        <v>5.134475056966874</v>
      </c>
      <c r="J249" s="80">
        <v>2.9709252921774749</v>
      </c>
      <c r="K249" s="80">
        <v>1.7860177438312621</v>
      </c>
      <c r="L249" s="80">
        <v>9.1834542231611156</v>
      </c>
      <c r="M249" s="80">
        <v>2.3368662589245979</v>
      </c>
      <c r="N249" s="80">
        <v>1.1098068857766645</v>
      </c>
      <c r="O249" s="80">
        <v>0</v>
      </c>
      <c r="P249" s="80">
        <v>0</v>
      </c>
    </row>
    <row r="250" spans="2:16" x14ac:dyDescent="0.3">
      <c r="B250" s="294"/>
      <c r="C250" s="9" t="s">
        <v>227</v>
      </c>
      <c r="D250" s="79">
        <v>13.592002266240305</v>
      </c>
      <c r="E250" s="79">
        <v>15.35892439950724</v>
      </c>
      <c r="F250" s="79">
        <v>37.871499855895628</v>
      </c>
      <c r="G250" s="79">
        <v>5.5298602289097953</v>
      </c>
      <c r="H250" s="79">
        <v>4.1458891130359703</v>
      </c>
      <c r="I250" s="79">
        <v>4.0043433955343479</v>
      </c>
      <c r="J250" s="79">
        <v>5.1362744920159207</v>
      </c>
      <c r="K250" s="79">
        <v>3.3198638601517172</v>
      </c>
      <c r="L250" s="79">
        <v>8.0666999431848261</v>
      </c>
      <c r="M250" s="79">
        <v>2.5238438657972169</v>
      </c>
      <c r="N250" s="79">
        <v>0.45079857972710713</v>
      </c>
      <c r="O250" s="79">
        <v>0</v>
      </c>
      <c r="P250" s="79">
        <v>0</v>
      </c>
    </row>
    <row r="251" spans="2:16" x14ac:dyDescent="0.3">
      <c r="B251" s="292"/>
      <c r="C251" s="9" t="s">
        <v>228</v>
      </c>
      <c r="D251" s="79">
        <v>15.215610155344358</v>
      </c>
      <c r="E251" s="79">
        <v>11.94632301952228</v>
      </c>
      <c r="F251" s="79">
        <v>37.971436541434414</v>
      </c>
      <c r="G251" s="79">
        <v>5.0085664606747615</v>
      </c>
      <c r="H251" s="79">
        <v>4.0162242325392423</v>
      </c>
      <c r="I251" s="79">
        <v>4.5261825094073611</v>
      </c>
      <c r="J251" s="79">
        <v>3.2084787042425926</v>
      </c>
      <c r="K251" s="79">
        <v>4.0013012033613817</v>
      </c>
      <c r="L251" s="79">
        <v>10.460716727773956</v>
      </c>
      <c r="M251" s="79">
        <v>3.3311020053411076</v>
      </c>
      <c r="N251" s="79">
        <v>0.31405844035851183</v>
      </c>
      <c r="O251" s="79">
        <v>0</v>
      </c>
      <c r="P251" s="79">
        <v>0</v>
      </c>
    </row>
    <row r="252" spans="2:16" x14ac:dyDescent="0.3">
      <c r="B252" s="295"/>
      <c r="C252" s="12" t="s">
        <v>229</v>
      </c>
      <c r="D252" s="81">
        <v>11.447607357736237</v>
      </c>
      <c r="E252" s="81">
        <v>13.660748107382684</v>
      </c>
      <c r="F252" s="81">
        <v>42.291191991827063</v>
      </c>
      <c r="G252" s="81">
        <v>5.3410201255485203</v>
      </c>
      <c r="H252" s="81">
        <v>4.4475031586328262</v>
      </c>
      <c r="I252" s="81">
        <v>4.2208656724619633</v>
      </c>
      <c r="J252" s="81">
        <v>4.2888638092505058</v>
      </c>
      <c r="K252" s="81">
        <v>3.0504568591741767</v>
      </c>
      <c r="L252" s="81">
        <v>4.2899761718272016</v>
      </c>
      <c r="M252" s="81">
        <v>5.9545856839317723</v>
      </c>
      <c r="N252" s="81">
        <v>0.80389643948164424</v>
      </c>
      <c r="O252" s="81">
        <v>0.20328462274543471</v>
      </c>
      <c r="P252" s="81">
        <v>0</v>
      </c>
    </row>
    <row r="253" spans="2:16" x14ac:dyDescent="0.3">
      <c r="B253" s="296" t="s">
        <v>199</v>
      </c>
      <c r="C253" s="13" t="s">
        <v>192</v>
      </c>
      <c r="D253" s="80">
        <v>13.137161692283767</v>
      </c>
      <c r="E253" s="80">
        <v>14.741255167446354</v>
      </c>
      <c r="F253" s="80">
        <v>38.576293513493219</v>
      </c>
      <c r="G253" s="80">
        <v>6.2059551692422845</v>
      </c>
      <c r="H253" s="80">
        <v>4.2584801987230092</v>
      </c>
      <c r="I253" s="80">
        <v>4.5796197454237797</v>
      </c>
      <c r="J253" s="80">
        <v>3.9593780537594645</v>
      </c>
      <c r="K253" s="80">
        <v>3.5812983488393959</v>
      </c>
      <c r="L253" s="80">
        <v>7.2656656636379431</v>
      </c>
      <c r="M253" s="80">
        <v>3.0604082330816453</v>
      </c>
      <c r="N253" s="80">
        <v>0.63448421406896438</v>
      </c>
      <c r="O253" s="80">
        <v>0</v>
      </c>
      <c r="P253" s="80">
        <v>0</v>
      </c>
    </row>
    <row r="254" spans="2:16" ht="16.5" customHeight="1" x14ac:dyDescent="0.3">
      <c r="B254" s="292"/>
      <c r="C254" s="9" t="s">
        <v>200</v>
      </c>
      <c r="D254" s="79">
        <v>20.952292037993185</v>
      </c>
      <c r="E254" s="79">
        <v>8.7678149911482013</v>
      </c>
      <c r="F254" s="79">
        <v>36.674125724408846</v>
      </c>
      <c r="G254" s="79">
        <v>5.3066530914169565</v>
      </c>
      <c r="H254" s="79">
        <v>4.1834683318649706</v>
      </c>
      <c r="I254" s="79">
        <v>2.4999668224924565</v>
      </c>
      <c r="J254" s="79">
        <v>5.459721779351046</v>
      </c>
      <c r="K254" s="79">
        <v>1.5056290670881256</v>
      </c>
      <c r="L254" s="79">
        <v>7.7153551242302516</v>
      </c>
      <c r="M254" s="79">
        <v>5.4791190973731485</v>
      </c>
      <c r="N254" s="79">
        <v>1.4558539326327919</v>
      </c>
      <c r="O254" s="79">
        <v>0</v>
      </c>
      <c r="P254" s="79">
        <v>0</v>
      </c>
    </row>
    <row r="255" spans="2:16" ht="16.5" customHeight="1" x14ac:dyDescent="0.3">
      <c r="B255" s="292"/>
      <c r="C255" s="9" t="s">
        <v>201</v>
      </c>
      <c r="D255" s="79">
        <v>12.245777701485805</v>
      </c>
      <c r="E255" s="79">
        <v>9.874916362253682</v>
      </c>
      <c r="F255" s="79">
        <v>37.437010784418476</v>
      </c>
      <c r="G255" s="79">
        <v>5.2021738132391171</v>
      </c>
      <c r="H255" s="79">
        <v>6.5713482499194553</v>
      </c>
      <c r="I255" s="79">
        <v>7.7665319319727439</v>
      </c>
      <c r="J255" s="79">
        <v>3.2675486582858322</v>
      </c>
      <c r="K255" s="79">
        <v>2.1044123877755947</v>
      </c>
      <c r="L255" s="79">
        <v>10.897811355061892</v>
      </c>
      <c r="M255" s="79">
        <v>3.3487720819803322</v>
      </c>
      <c r="N255" s="79">
        <v>1.2836966736071356</v>
      </c>
      <c r="O255" s="79">
        <v>0</v>
      </c>
      <c r="P255" s="79">
        <v>0</v>
      </c>
    </row>
    <row r="256" spans="2:16" x14ac:dyDescent="0.3">
      <c r="B256" s="292"/>
      <c r="C256" s="9" t="s">
        <v>202</v>
      </c>
      <c r="D256" s="79">
        <v>18.977835189896648</v>
      </c>
      <c r="E256" s="79">
        <v>10.253708484156686</v>
      </c>
      <c r="F256" s="79">
        <v>35.46794829135758</v>
      </c>
      <c r="G256" s="79">
        <v>5.221510551205812</v>
      </c>
      <c r="H256" s="79">
        <v>1.3332788697529594</v>
      </c>
      <c r="I256" s="79">
        <v>5.6638499702074308</v>
      </c>
      <c r="J256" s="79">
        <v>3.1273128993096124</v>
      </c>
      <c r="K256" s="79">
        <v>3.1490628728617374</v>
      </c>
      <c r="L256" s="79">
        <v>10.007103020763111</v>
      </c>
      <c r="M256" s="79">
        <v>5.0069217337923275</v>
      </c>
      <c r="N256" s="79">
        <v>1.7914681166961808</v>
      </c>
      <c r="O256" s="79">
        <v>0</v>
      </c>
      <c r="P256" s="79">
        <v>0</v>
      </c>
    </row>
    <row r="257" spans="2:19" x14ac:dyDescent="0.3">
      <c r="B257" s="295"/>
      <c r="C257" s="12" t="s">
        <v>203</v>
      </c>
      <c r="D257" s="81">
        <v>14.566667283492945</v>
      </c>
      <c r="E257" s="81">
        <v>13.917568395859675</v>
      </c>
      <c r="F257" s="81">
        <v>39.811638431137339</v>
      </c>
      <c r="G257" s="81">
        <v>4.6339398844967734</v>
      </c>
      <c r="H257" s="81">
        <v>6.3709844155342514</v>
      </c>
      <c r="I257" s="81">
        <v>2.5216861752955797</v>
      </c>
      <c r="J257" s="81">
        <v>4.2478818463903538</v>
      </c>
      <c r="K257" s="81">
        <v>2.2712899630427517</v>
      </c>
      <c r="L257" s="81">
        <v>7.4110838560610954</v>
      </c>
      <c r="M257" s="81">
        <v>4.0194875931061782</v>
      </c>
      <c r="N257" s="81">
        <v>0</v>
      </c>
      <c r="O257" s="81">
        <v>0.22777215558302177</v>
      </c>
      <c r="P257" s="81">
        <v>0</v>
      </c>
    </row>
    <row r="258" spans="2:19" x14ac:dyDescent="0.3">
      <c r="B258" s="291" t="s">
        <v>204</v>
      </c>
      <c r="C258" s="13" t="s">
        <v>192</v>
      </c>
      <c r="D258" s="80">
        <v>13.137161692283767</v>
      </c>
      <c r="E258" s="80">
        <v>14.741255167446354</v>
      </c>
      <c r="F258" s="80">
        <v>38.576293513493219</v>
      </c>
      <c r="G258" s="80">
        <v>6.2059551692422845</v>
      </c>
      <c r="H258" s="80">
        <v>4.2584801987230092</v>
      </c>
      <c r="I258" s="80">
        <v>4.5796197454237797</v>
      </c>
      <c r="J258" s="80">
        <v>3.9593780537594645</v>
      </c>
      <c r="K258" s="80">
        <v>3.5812983488393959</v>
      </c>
      <c r="L258" s="80">
        <v>7.2656656636379431</v>
      </c>
      <c r="M258" s="80">
        <v>3.0604082330816453</v>
      </c>
      <c r="N258" s="80">
        <v>0.63448421406896438</v>
      </c>
      <c r="O258" s="80">
        <v>0</v>
      </c>
      <c r="P258" s="80">
        <v>0</v>
      </c>
    </row>
    <row r="259" spans="2:19" x14ac:dyDescent="0.3">
      <c r="B259" s="295"/>
      <c r="C259" s="12" t="s">
        <v>193</v>
      </c>
      <c r="D259" s="81">
        <v>15.263298062634641</v>
      </c>
      <c r="E259" s="81">
        <v>11.935455138173893</v>
      </c>
      <c r="F259" s="81">
        <v>38.25128660568997</v>
      </c>
      <c r="G259" s="81">
        <v>4.9216591437649768</v>
      </c>
      <c r="H259" s="81">
        <v>5.3672950075826789</v>
      </c>
      <c r="I259" s="81">
        <v>4.3190180689498963</v>
      </c>
      <c r="J259" s="81">
        <v>3.9056850511043359</v>
      </c>
      <c r="K259" s="81">
        <v>2.3312275434184069</v>
      </c>
      <c r="L259" s="81">
        <v>8.7189400491981814</v>
      </c>
      <c r="M259" s="81">
        <v>4.1418067152173759</v>
      </c>
      <c r="N259" s="81">
        <v>0.72745907114515407</v>
      </c>
      <c r="O259" s="81">
        <v>0.1168695431203898</v>
      </c>
      <c r="P259" s="81">
        <v>0</v>
      </c>
    </row>
    <row r="260" spans="2:19" x14ac:dyDescent="0.3">
      <c r="B260" s="291" t="s">
        <v>209</v>
      </c>
      <c r="C260" s="13" t="s">
        <v>205</v>
      </c>
      <c r="D260" s="80">
        <v>11.409817102551173</v>
      </c>
      <c r="E260" s="80">
        <v>15.825524111454808</v>
      </c>
      <c r="F260" s="80">
        <v>37.576082373428726</v>
      </c>
      <c r="G260" s="80">
        <v>4.8124002790420821</v>
      </c>
      <c r="H260" s="80">
        <v>5.8899572298287834</v>
      </c>
      <c r="I260" s="80">
        <v>4.2062327130772532</v>
      </c>
      <c r="J260" s="80">
        <v>4.8943889597280066</v>
      </c>
      <c r="K260" s="80">
        <v>3.7721657422282</v>
      </c>
      <c r="L260" s="80">
        <v>9.0931071193888933</v>
      </c>
      <c r="M260" s="80">
        <v>2.2819419881329126</v>
      </c>
      <c r="N260" s="80">
        <v>0.23838238113913293</v>
      </c>
      <c r="O260" s="80">
        <v>0</v>
      </c>
      <c r="P260" s="80">
        <v>0</v>
      </c>
    </row>
    <row r="261" spans="2:19" x14ac:dyDescent="0.3">
      <c r="B261" s="292"/>
      <c r="C261" s="9" t="s">
        <v>206</v>
      </c>
      <c r="D261" s="79">
        <v>14.446208411788977</v>
      </c>
      <c r="E261" s="79">
        <v>13.993834234743851</v>
      </c>
      <c r="F261" s="79">
        <v>41.970780752050828</v>
      </c>
      <c r="G261" s="79">
        <v>4.5295728527118353</v>
      </c>
      <c r="H261" s="79">
        <v>3.2167883249563518</v>
      </c>
      <c r="I261" s="79">
        <v>2.095943914876663</v>
      </c>
      <c r="J261" s="79">
        <v>4.3891799475575128</v>
      </c>
      <c r="K261" s="79">
        <v>3.2489215328877559</v>
      </c>
      <c r="L261" s="79">
        <v>8.087817698186285</v>
      </c>
      <c r="M261" s="79">
        <v>2.8542955577815521</v>
      </c>
      <c r="N261" s="79">
        <v>0.85228957539969008</v>
      </c>
      <c r="O261" s="79">
        <v>0.31436719705870997</v>
      </c>
      <c r="P261" s="79">
        <v>0</v>
      </c>
    </row>
    <row r="262" spans="2:19" x14ac:dyDescent="0.3">
      <c r="B262" s="292"/>
      <c r="C262" s="9" t="s">
        <v>207</v>
      </c>
      <c r="D262" s="79">
        <v>13.524366894179515</v>
      </c>
      <c r="E262" s="79">
        <v>11.630583528549218</v>
      </c>
      <c r="F262" s="79">
        <v>39.541602278651034</v>
      </c>
      <c r="G262" s="79">
        <v>5.7821491865853964</v>
      </c>
      <c r="H262" s="79">
        <v>4.3460840048951113</v>
      </c>
      <c r="I262" s="79">
        <v>4.3395369230520968</v>
      </c>
      <c r="J262" s="79">
        <v>5.0384656544500857</v>
      </c>
      <c r="K262" s="79">
        <v>3.8254837347946409</v>
      </c>
      <c r="L262" s="79">
        <v>5.6171503455389837</v>
      </c>
      <c r="M262" s="79">
        <v>5.791551474018565</v>
      </c>
      <c r="N262" s="79">
        <v>0.56302597528538056</v>
      </c>
      <c r="O262" s="79">
        <v>0</v>
      </c>
      <c r="P262" s="79">
        <v>0</v>
      </c>
    </row>
    <row r="263" spans="2:19" x14ac:dyDescent="0.3">
      <c r="B263" s="293"/>
      <c r="C263" s="25" t="s">
        <v>208</v>
      </c>
      <c r="D263" s="82">
        <v>15.684012709229597</v>
      </c>
      <c r="E263" s="82">
        <v>13.591995279631149</v>
      </c>
      <c r="F263" s="82">
        <v>36.336386517107883</v>
      </c>
      <c r="G263" s="82">
        <v>6.4079681026503952</v>
      </c>
      <c r="H263" s="82">
        <v>5.237659183344646</v>
      </c>
      <c r="I263" s="82">
        <v>5.7687052513985924</v>
      </c>
      <c r="J263" s="82">
        <v>2.3793193893749058</v>
      </c>
      <c r="K263" s="82">
        <v>1.9067244878522132</v>
      </c>
      <c r="L263" s="82">
        <v>9.1097863144811431</v>
      </c>
      <c r="M263" s="82">
        <v>2.6786901821849831</v>
      </c>
      <c r="N263" s="82">
        <v>0.89875258274455661</v>
      </c>
      <c r="O263" s="82">
        <v>0</v>
      </c>
      <c r="P263" s="82">
        <v>0</v>
      </c>
    </row>
    <row r="264" spans="2:19" x14ac:dyDescent="0.3">
      <c r="B264" s="60"/>
      <c r="C264" s="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</row>
    <row r="265" spans="2:19" x14ac:dyDescent="0.3">
      <c r="B265" s="60"/>
      <c r="C265" s="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</row>
    <row r="266" spans="2:19" x14ac:dyDescent="0.3">
      <c r="B266" s="1" t="s">
        <v>490</v>
      </c>
      <c r="D266" s="59"/>
      <c r="E266" s="304"/>
      <c r="F266" s="304"/>
      <c r="G266" s="304"/>
      <c r="H266" s="304"/>
      <c r="I266" s="304"/>
      <c r="J266" s="304"/>
      <c r="K266" s="304"/>
      <c r="L266" s="304"/>
      <c r="M266" s="304"/>
      <c r="N266" s="304"/>
      <c r="O266" s="304"/>
      <c r="P266" s="304"/>
      <c r="Q266" s="304"/>
      <c r="R266" s="304"/>
      <c r="S266" s="304"/>
    </row>
    <row r="267" spans="2:19" ht="10.5" customHeight="1" x14ac:dyDescent="0.3"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30"/>
      <c r="O267" s="30"/>
      <c r="P267" s="30" t="s">
        <v>157</v>
      </c>
    </row>
    <row r="268" spans="2:19" s="125" customFormat="1" ht="27" x14ac:dyDescent="0.3">
      <c r="B268" s="297"/>
      <c r="C268" s="297"/>
      <c r="D268" s="215" t="s">
        <v>57</v>
      </c>
      <c r="E268" s="215" t="s">
        <v>59</v>
      </c>
      <c r="F268" s="215" t="s">
        <v>126</v>
      </c>
      <c r="G268" s="215" t="s">
        <v>58</v>
      </c>
      <c r="H268" s="215" t="s">
        <v>127</v>
      </c>
      <c r="I268" s="202" t="s">
        <v>376</v>
      </c>
      <c r="J268" s="215" t="s">
        <v>60</v>
      </c>
      <c r="K268" s="215" t="s">
        <v>61</v>
      </c>
      <c r="L268" s="215" t="s">
        <v>128</v>
      </c>
      <c r="M268" s="215" t="s">
        <v>129</v>
      </c>
      <c r="N268" s="202" t="s">
        <v>377</v>
      </c>
      <c r="O268" s="215" t="s">
        <v>130</v>
      </c>
      <c r="P268" s="215" t="s">
        <v>38</v>
      </c>
      <c r="Q268" s="126"/>
    </row>
    <row r="269" spans="2:19" ht="21.75" customHeight="1" x14ac:dyDescent="0.3">
      <c r="B269" s="292" t="s">
        <v>20</v>
      </c>
      <c r="C269" s="292"/>
      <c r="D269" s="86">
        <v>31.265658759655313</v>
      </c>
      <c r="E269" s="86">
        <v>36.85894710627511</v>
      </c>
      <c r="F269" s="88">
        <v>68.688877923393392</v>
      </c>
      <c r="G269" s="86">
        <v>17.644505395414452</v>
      </c>
      <c r="H269" s="88">
        <v>18.995002195943396</v>
      </c>
      <c r="I269" s="86">
        <v>23.291942775873299</v>
      </c>
      <c r="J269" s="86">
        <v>26.871042297809062</v>
      </c>
      <c r="K269" s="86">
        <v>14.723961426458033</v>
      </c>
      <c r="L269" s="88">
        <v>37.268442209544425</v>
      </c>
      <c r="M269" s="86">
        <v>14.89691423481915</v>
      </c>
      <c r="N269" s="86">
        <v>8.4452674569463344</v>
      </c>
      <c r="O269" s="86">
        <v>0.89123725110699381</v>
      </c>
      <c r="P269" s="86">
        <v>0.1582009667609536</v>
      </c>
    </row>
    <row r="270" spans="2:19" x14ac:dyDescent="0.3">
      <c r="B270" s="296" t="s">
        <v>5</v>
      </c>
      <c r="C270" s="13" t="s">
        <v>0</v>
      </c>
      <c r="D270" s="84">
        <v>29.326131410010426</v>
      </c>
      <c r="E270" s="84">
        <v>33.95169280688291</v>
      </c>
      <c r="F270" s="89">
        <v>58.094191934931438</v>
      </c>
      <c r="G270" s="84">
        <v>15.974052926865165</v>
      </c>
      <c r="H270" s="89">
        <v>23.239273315070196</v>
      </c>
      <c r="I270" s="84">
        <v>24.962481117637331</v>
      </c>
      <c r="J270" s="84">
        <v>33.809498719312778</v>
      </c>
      <c r="K270" s="84">
        <v>19.241800577281406</v>
      </c>
      <c r="L270" s="89">
        <v>37.845252060690591</v>
      </c>
      <c r="M270" s="84">
        <v>17.329928586370549</v>
      </c>
      <c r="N270" s="84">
        <v>4.4449797807991906</v>
      </c>
      <c r="O270" s="84">
        <v>1.5731550296605397</v>
      </c>
      <c r="P270" s="84">
        <v>0.20756173448758064</v>
      </c>
    </row>
    <row r="271" spans="2:19" x14ac:dyDescent="0.3">
      <c r="B271" s="295"/>
      <c r="C271" s="12" t="s">
        <v>1</v>
      </c>
      <c r="D271" s="90">
        <v>32.356696466720855</v>
      </c>
      <c r="E271" s="90">
        <v>38.494357952761064</v>
      </c>
      <c r="F271" s="90">
        <v>74.648681434309438</v>
      </c>
      <c r="G271" s="90">
        <v>18.584181049579225</v>
      </c>
      <c r="H271" s="90">
        <v>16.607482457784016</v>
      </c>
      <c r="I271" s="90">
        <v>22.352218815653195</v>
      </c>
      <c r="J271" s="90">
        <v>22.967968909295944</v>
      </c>
      <c r="K271" s="90">
        <v>12.182552114076749</v>
      </c>
      <c r="L271" s="90">
        <v>36.943970735851209</v>
      </c>
      <c r="M271" s="90">
        <v>13.528276458269875</v>
      </c>
      <c r="N271" s="90">
        <v>10.695539769211242</v>
      </c>
      <c r="O271" s="90">
        <v>0.50763966499583535</v>
      </c>
      <c r="P271" s="90">
        <v>0.13043417149028147</v>
      </c>
    </row>
    <row r="272" spans="2:19" x14ac:dyDescent="0.3">
      <c r="B272" s="296" t="s">
        <v>4</v>
      </c>
      <c r="C272" s="9" t="s">
        <v>175</v>
      </c>
      <c r="D272" s="86">
        <v>36.545359075691373</v>
      </c>
      <c r="E272" s="86">
        <v>33.514579360197786</v>
      </c>
      <c r="F272" s="88">
        <v>80.349905047519769</v>
      </c>
      <c r="G272" s="86">
        <v>19.969609605138391</v>
      </c>
      <c r="H272" s="88">
        <v>16.414119827854059</v>
      </c>
      <c r="I272" s="86">
        <v>24.612671435971372</v>
      </c>
      <c r="J272" s="86">
        <v>25.74852662542153</v>
      </c>
      <c r="K272" s="86">
        <v>11.79788683163277</v>
      </c>
      <c r="L272" s="88">
        <v>30.557709613332428</v>
      </c>
      <c r="M272" s="86">
        <v>11.608451305981944</v>
      </c>
      <c r="N272" s="86">
        <v>7.8499120060008014</v>
      </c>
      <c r="O272" s="86">
        <v>0.24574927172100475</v>
      </c>
      <c r="P272" s="86">
        <v>0.78551999353678303</v>
      </c>
    </row>
    <row r="273" spans="2:16" x14ac:dyDescent="0.3">
      <c r="B273" s="292"/>
      <c r="C273" s="9" t="s">
        <v>176</v>
      </c>
      <c r="D273" s="86">
        <v>32.590513405641012</v>
      </c>
      <c r="E273" s="86">
        <v>37.674271181987272</v>
      </c>
      <c r="F273" s="88">
        <v>70.200240090724463</v>
      </c>
      <c r="G273" s="86">
        <v>21.151025945793048</v>
      </c>
      <c r="H273" s="88">
        <v>18.940566279220079</v>
      </c>
      <c r="I273" s="86">
        <v>21.027066775780249</v>
      </c>
      <c r="J273" s="86">
        <v>29.943388644041601</v>
      </c>
      <c r="K273" s="86">
        <v>14.143455520904693</v>
      </c>
      <c r="L273" s="88">
        <v>32.669617389443459</v>
      </c>
      <c r="M273" s="86">
        <v>10.972788969439083</v>
      </c>
      <c r="N273" s="86">
        <v>9.1019321951159657</v>
      </c>
      <c r="O273" s="86">
        <v>1.5851336019091118</v>
      </c>
      <c r="P273" s="86">
        <v>0</v>
      </c>
    </row>
    <row r="274" spans="2:16" x14ac:dyDescent="0.3">
      <c r="B274" s="292"/>
      <c r="C274" s="9" t="s">
        <v>177</v>
      </c>
      <c r="D274" s="86">
        <v>27.264855061231025</v>
      </c>
      <c r="E274" s="86">
        <v>36.554667441850256</v>
      </c>
      <c r="F274" s="88">
        <v>67.617399018086047</v>
      </c>
      <c r="G274" s="86">
        <v>20.659952401851392</v>
      </c>
      <c r="H274" s="88">
        <v>20.064343196379262</v>
      </c>
      <c r="I274" s="86">
        <v>24.22786399698418</v>
      </c>
      <c r="J274" s="86">
        <v>26.132629865649481</v>
      </c>
      <c r="K274" s="86">
        <v>17.507785767935243</v>
      </c>
      <c r="L274" s="88">
        <v>33.515274923097039</v>
      </c>
      <c r="M274" s="86">
        <v>19.038900002728397</v>
      </c>
      <c r="N274" s="86">
        <v>6.9891732331637941</v>
      </c>
      <c r="O274" s="86">
        <v>0</v>
      </c>
      <c r="P274" s="86">
        <v>0.42715509104349458</v>
      </c>
    </row>
    <row r="275" spans="2:16" x14ac:dyDescent="0.3">
      <c r="B275" s="292"/>
      <c r="C275" s="9" t="s">
        <v>178</v>
      </c>
      <c r="D275" s="86">
        <v>31.817457667234216</v>
      </c>
      <c r="E275" s="86">
        <v>33.587763581113485</v>
      </c>
      <c r="F275" s="88">
        <v>69.796130718722864</v>
      </c>
      <c r="G275" s="86">
        <v>17.312473467501377</v>
      </c>
      <c r="H275" s="88">
        <v>20.16749575764279</v>
      </c>
      <c r="I275" s="86">
        <v>22.447640219746575</v>
      </c>
      <c r="J275" s="86">
        <v>25.723015751590435</v>
      </c>
      <c r="K275" s="86">
        <v>12.026836322879893</v>
      </c>
      <c r="L275" s="88">
        <v>41.053486205520592</v>
      </c>
      <c r="M275" s="86">
        <v>16.099648864865738</v>
      </c>
      <c r="N275" s="86">
        <v>8.9386434891576219</v>
      </c>
      <c r="O275" s="86">
        <v>1.029407954024089</v>
      </c>
      <c r="P275" s="86">
        <v>0</v>
      </c>
    </row>
    <row r="276" spans="2:16" x14ac:dyDescent="0.3">
      <c r="B276" s="292"/>
      <c r="C276" s="9" t="s">
        <v>179</v>
      </c>
      <c r="D276" s="86">
        <v>27.842676834212011</v>
      </c>
      <c r="E276" s="86">
        <v>39.340900070468798</v>
      </c>
      <c r="F276" s="88">
        <v>65.44628489329547</v>
      </c>
      <c r="G276" s="86">
        <v>14.321417590688352</v>
      </c>
      <c r="H276" s="88">
        <v>18.136352852078851</v>
      </c>
      <c r="I276" s="86">
        <v>25.757061213927635</v>
      </c>
      <c r="J276" s="86">
        <v>25.048005474360512</v>
      </c>
      <c r="K276" s="86">
        <v>16.172573809155626</v>
      </c>
      <c r="L276" s="88">
        <v>40.966796550196143</v>
      </c>
      <c r="M276" s="86">
        <v>17.199727086612629</v>
      </c>
      <c r="N276" s="86">
        <v>8.3417483544082227</v>
      </c>
      <c r="O276" s="86">
        <v>1.2671402982274242</v>
      </c>
      <c r="P276" s="86">
        <v>0.1593149723684702</v>
      </c>
    </row>
    <row r="277" spans="2:16" x14ac:dyDescent="0.3">
      <c r="B277" s="298"/>
      <c r="C277" s="12" t="s">
        <v>180</v>
      </c>
      <c r="D277" s="90">
        <v>35.125233266615389</v>
      </c>
      <c r="E277" s="90">
        <v>38.668142452489327</v>
      </c>
      <c r="F277" s="91">
        <v>64.699328033537412</v>
      </c>
      <c r="G277" s="90">
        <v>11.936952411646587</v>
      </c>
      <c r="H277" s="91">
        <v>18.554108888535762</v>
      </c>
      <c r="I277" s="90">
        <v>23.149747265212458</v>
      </c>
      <c r="J277" s="90">
        <v>27.205875405521411</v>
      </c>
      <c r="K277" s="90">
        <v>15.415104949176527</v>
      </c>
      <c r="L277" s="91">
        <v>42.630453097421118</v>
      </c>
      <c r="M277" s="90">
        <v>13.222846889780469</v>
      </c>
      <c r="N277" s="90">
        <v>8.9045258702741545</v>
      </c>
      <c r="O277" s="90">
        <v>0.48768146978931104</v>
      </c>
      <c r="P277" s="90">
        <v>0</v>
      </c>
    </row>
    <row r="278" spans="2:16" x14ac:dyDescent="0.3">
      <c r="B278" s="292" t="s">
        <v>223</v>
      </c>
      <c r="C278" s="9" t="s">
        <v>210</v>
      </c>
      <c r="D278" s="86">
        <v>47.559694397888791</v>
      </c>
      <c r="E278" s="86">
        <v>46.460186221142251</v>
      </c>
      <c r="F278" s="88">
        <v>77.123017519136226</v>
      </c>
      <c r="G278" s="86">
        <v>17.668399814397933</v>
      </c>
      <c r="H278" s="88">
        <v>26.272446167650127</v>
      </c>
      <c r="I278" s="86">
        <v>17.650720505740878</v>
      </c>
      <c r="J278" s="86">
        <v>20.345080674232978</v>
      </c>
      <c r="K278" s="86">
        <v>9.1782210550080663</v>
      </c>
      <c r="L278" s="88">
        <v>28.462865624983746</v>
      </c>
      <c r="M278" s="86">
        <v>7.11646266985308</v>
      </c>
      <c r="N278" s="86">
        <v>2.1629053499658828</v>
      </c>
      <c r="O278" s="86">
        <v>0</v>
      </c>
      <c r="P278" s="86">
        <v>0</v>
      </c>
    </row>
    <row r="279" spans="2:16" x14ac:dyDescent="0.3">
      <c r="B279" s="292"/>
      <c r="C279" s="9" t="s">
        <v>211</v>
      </c>
      <c r="D279" s="86">
        <v>33.582772927525994</v>
      </c>
      <c r="E279" s="86">
        <v>35.821365197070527</v>
      </c>
      <c r="F279" s="88">
        <v>52.152004060420367</v>
      </c>
      <c r="G279" s="86">
        <v>21.208484119544909</v>
      </c>
      <c r="H279" s="88">
        <v>25.566682064999625</v>
      </c>
      <c r="I279" s="86">
        <v>27.251502138234247</v>
      </c>
      <c r="J279" s="86">
        <v>37.240528018201019</v>
      </c>
      <c r="K279" s="86">
        <v>20.319254084731899</v>
      </c>
      <c r="L279" s="88">
        <v>23.059648682546062</v>
      </c>
      <c r="M279" s="86">
        <v>12.677384800461928</v>
      </c>
      <c r="N279" s="86">
        <v>7.1249769621757126</v>
      </c>
      <c r="O279" s="86">
        <v>3.9953969440876231</v>
      </c>
      <c r="P279" s="86">
        <v>0</v>
      </c>
    </row>
    <row r="280" spans="2:16" x14ac:dyDescent="0.3">
      <c r="B280" s="292"/>
      <c r="C280" s="9" t="s">
        <v>212</v>
      </c>
      <c r="D280" s="86">
        <v>24.427772992390384</v>
      </c>
      <c r="E280" s="86">
        <v>30.448202133452433</v>
      </c>
      <c r="F280" s="88">
        <v>55.021430887414802</v>
      </c>
      <c r="G280" s="86">
        <v>19.951753762407144</v>
      </c>
      <c r="H280" s="88">
        <v>26.327367410872615</v>
      </c>
      <c r="I280" s="86">
        <v>29.489113420613815</v>
      </c>
      <c r="J280" s="86">
        <v>32.242450042714175</v>
      </c>
      <c r="K280" s="86">
        <v>25.293172170736099</v>
      </c>
      <c r="L280" s="88">
        <v>27.985987634737615</v>
      </c>
      <c r="M280" s="86">
        <v>23.842811887872486</v>
      </c>
      <c r="N280" s="86">
        <v>3.7883010503380699</v>
      </c>
      <c r="O280" s="86">
        <v>0</v>
      </c>
      <c r="P280" s="86">
        <v>1.1816366064502766</v>
      </c>
    </row>
    <row r="281" spans="2:16" x14ac:dyDescent="0.3">
      <c r="B281" s="292"/>
      <c r="C281" s="9" t="s">
        <v>213</v>
      </c>
      <c r="D281" s="86">
        <v>29.806312252682073</v>
      </c>
      <c r="E281" s="86">
        <v>32.831292544375692</v>
      </c>
      <c r="F281" s="88">
        <v>62.116437787001097</v>
      </c>
      <c r="G281" s="86">
        <v>15.005130242177362</v>
      </c>
      <c r="H281" s="88">
        <v>20.867507978893642</v>
      </c>
      <c r="I281" s="86">
        <v>19.368099777787169</v>
      </c>
      <c r="J281" s="86">
        <v>33.349164100203083</v>
      </c>
      <c r="K281" s="86">
        <v>13.130600778088491</v>
      </c>
      <c r="L281" s="88">
        <v>45.392391811872955</v>
      </c>
      <c r="M281" s="86">
        <v>21.610848809613735</v>
      </c>
      <c r="N281" s="86">
        <v>5.4985964680627397</v>
      </c>
      <c r="O281" s="86">
        <v>1.0236174492422005</v>
      </c>
      <c r="P281" s="86">
        <v>0</v>
      </c>
    </row>
    <row r="282" spans="2:16" x14ac:dyDescent="0.3">
      <c r="B282" s="292"/>
      <c r="C282" s="9" t="s">
        <v>214</v>
      </c>
      <c r="D282" s="86">
        <v>22.984251360219911</v>
      </c>
      <c r="E282" s="86">
        <v>31.509032632028333</v>
      </c>
      <c r="F282" s="88">
        <v>56.327292655428373</v>
      </c>
      <c r="G282" s="86">
        <v>13.136956315531167</v>
      </c>
      <c r="H282" s="88">
        <v>24.503267441850305</v>
      </c>
      <c r="I282" s="86">
        <v>28.984903800931715</v>
      </c>
      <c r="J282" s="86">
        <v>32.450833562207748</v>
      </c>
      <c r="K282" s="86">
        <v>23.302188267702082</v>
      </c>
      <c r="L282" s="88">
        <v>48.441770443278727</v>
      </c>
      <c r="M282" s="86">
        <v>14.753439807853184</v>
      </c>
      <c r="N282" s="86">
        <v>2.1106113048414645</v>
      </c>
      <c r="O282" s="86">
        <v>1.4954524081268195</v>
      </c>
      <c r="P282" s="86">
        <v>0</v>
      </c>
    </row>
    <row r="283" spans="2:16" x14ac:dyDescent="0.3">
      <c r="B283" s="292"/>
      <c r="C283" s="12" t="s">
        <v>215</v>
      </c>
      <c r="D283" s="90">
        <v>28.318356246899441</v>
      </c>
      <c r="E283" s="90">
        <v>34.593969865676165</v>
      </c>
      <c r="F283" s="91">
        <v>59.766282238234517</v>
      </c>
      <c r="G283" s="90">
        <v>7.9320179637459232</v>
      </c>
      <c r="H283" s="91">
        <v>16.994772680550223</v>
      </c>
      <c r="I283" s="90">
        <v>21.985015295119545</v>
      </c>
      <c r="J283" s="90">
        <v>37.732496438115</v>
      </c>
      <c r="K283" s="90">
        <v>17.929969605260048</v>
      </c>
      <c r="L283" s="91">
        <v>51.933208174022262</v>
      </c>
      <c r="M283" s="90">
        <v>18.105392675221733</v>
      </c>
      <c r="N283" s="90">
        <v>3.4899431565780112</v>
      </c>
      <c r="O283" s="90">
        <v>1.2185756605772595</v>
      </c>
      <c r="P283" s="90">
        <v>0</v>
      </c>
    </row>
    <row r="284" spans="2:16" x14ac:dyDescent="0.3">
      <c r="B284" s="292"/>
      <c r="C284" s="9" t="s">
        <v>216</v>
      </c>
      <c r="D284" s="86">
        <v>31.541482970912032</v>
      </c>
      <c r="E284" s="86">
        <v>27.633315449265396</v>
      </c>
      <c r="F284" s="88">
        <v>81.815898675255681</v>
      </c>
      <c r="G284" s="86">
        <v>21.015062494225944</v>
      </c>
      <c r="H284" s="88">
        <v>11.935425275545761</v>
      </c>
      <c r="I284" s="86">
        <v>27.775525923633417</v>
      </c>
      <c r="J284" s="86">
        <v>28.203343306381694</v>
      </c>
      <c r="K284" s="86">
        <v>12.988016113037768</v>
      </c>
      <c r="L284" s="88">
        <v>31.509409327378119</v>
      </c>
      <c r="M284" s="86">
        <v>13.649187668344769</v>
      </c>
      <c r="N284" s="86">
        <v>10.433551951709017</v>
      </c>
      <c r="O284" s="86">
        <v>0.35739458417607622</v>
      </c>
      <c r="P284" s="86">
        <v>1.1423862601342436</v>
      </c>
    </row>
    <row r="285" spans="2:16" x14ac:dyDescent="0.3">
      <c r="B285" s="292"/>
      <c r="C285" s="9" t="s">
        <v>217</v>
      </c>
      <c r="D285" s="86">
        <v>32.055731991630843</v>
      </c>
      <c r="E285" s="86">
        <v>38.672900734827657</v>
      </c>
      <c r="F285" s="88">
        <v>79.92739409811503</v>
      </c>
      <c r="G285" s="86">
        <v>21.120058680951782</v>
      </c>
      <c r="H285" s="88">
        <v>15.36940017684535</v>
      </c>
      <c r="I285" s="86">
        <v>17.672387610571068</v>
      </c>
      <c r="J285" s="86">
        <v>26.010572252087126</v>
      </c>
      <c r="K285" s="86">
        <v>10.814989312456216</v>
      </c>
      <c r="L285" s="88">
        <v>37.848940480145529</v>
      </c>
      <c r="M285" s="86">
        <v>10.054091644067498</v>
      </c>
      <c r="N285" s="86">
        <v>10.167418483318198</v>
      </c>
      <c r="O285" s="86">
        <v>0.28611453498351813</v>
      </c>
      <c r="P285" s="86">
        <v>0</v>
      </c>
    </row>
    <row r="286" spans="2:16" x14ac:dyDescent="0.3">
      <c r="B286" s="292"/>
      <c r="C286" s="9" t="s">
        <v>218</v>
      </c>
      <c r="D286" s="86">
        <v>28.871089309077597</v>
      </c>
      <c r="E286" s="86">
        <v>40.011886328593086</v>
      </c>
      <c r="F286" s="88">
        <v>74.74869621194388</v>
      </c>
      <c r="G286" s="86">
        <v>21.060904112571077</v>
      </c>
      <c r="H286" s="88">
        <v>16.51848736834469</v>
      </c>
      <c r="I286" s="86">
        <v>21.249170111632555</v>
      </c>
      <c r="J286" s="86">
        <v>22.673511596083525</v>
      </c>
      <c r="K286" s="86">
        <v>13.100033729233306</v>
      </c>
      <c r="L286" s="88">
        <v>36.645720357259151</v>
      </c>
      <c r="M286" s="86">
        <v>16.319131026602765</v>
      </c>
      <c r="N286" s="86">
        <v>8.801369848658549</v>
      </c>
      <c r="O286" s="86">
        <v>0</v>
      </c>
      <c r="P286" s="86">
        <v>0</v>
      </c>
    </row>
    <row r="287" spans="2:16" x14ac:dyDescent="0.3">
      <c r="B287" s="292"/>
      <c r="C287" s="9" t="s">
        <v>219</v>
      </c>
      <c r="D287" s="86">
        <v>33.012313430869561</v>
      </c>
      <c r="E287" s="86">
        <v>34.037195915408788</v>
      </c>
      <c r="F287" s="88">
        <v>74.358767162622485</v>
      </c>
      <c r="G287" s="86">
        <v>18.683305398158801</v>
      </c>
      <c r="H287" s="88">
        <v>19.751606567768924</v>
      </c>
      <c r="I287" s="86">
        <v>24.277247676173417</v>
      </c>
      <c r="J287" s="86">
        <v>21.192191056993885</v>
      </c>
      <c r="K287" s="86">
        <v>11.371071050285021</v>
      </c>
      <c r="L287" s="88">
        <v>38.475668443509633</v>
      </c>
      <c r="M287" s="86">
        <v>12.825351058809284</v>
      </c>
      <c r="N287" s="86">
        <v>10.982434047806514</v>
      </c>
      <c r="O287" s="86">
        <v>1.0328481915936545</v>
      </c>
      <c r="P287" s="86">
        <v>0</v>
      </c>
    </row>
    <row r="288" spans="2:16" x14ac:dyDescent="0.3">
      <c r="B288" s="292"/>
      <c r="C288" s="9" t="s">
        <v>220</v>
      </c>
      <c r="D288" s="86">
        <v>30.39156345225793</v>
      </c>
      <c r="E288" s="86">
        <v>43.449750193829409</v>
      </c>
      <c r="F288" s="88">
        <v>70.230402177709621</v>
      </c>
      <c r="G288" s="86">
        <v>14.942824157487248</v>
      </c>
      <c r="H288" s="88">
        <v>14.796064216803028</v>
      </c>
      <c r="I288" s="86">
        <v>24.063630941256708</v>
      </c>
      <c r="J288" s="86">
        <v>21.164243224673342</v>
      </c>
      <c r="K288" s="86">
        <v>12.432148236612212</v>
      </c>
      <c r="L288" s="88">
        <v>37.045184285417278</v>
      </c>
      <c r="M288" s="86">
        <v>18.48312825065322</v>
      </c>
      <c r="N288" s="86">
        <v>11.610803715218523</v>
      </c>
      <c r="O288" s="86">
        <v>1.1473604055902629</v>
      </c>
      <c r="P288" s="86">
        <v>0.24289674249093995</v>
      </c>
    </row>
    <row r="289" spans="2:16" x14ac:dyDescent="0.3">
      <c r="B289" s="295"/>
      <c r="C289" s="9" t="s">
        <v>221</v>
      </c>
      <c r="D289" s="90">
        <v>39.667050442739708</v>
      </c>
      <c r="E289" s="90">
        <v>41.386591306447777</v>
      </c>
      <c r="F289" s="91">
        <v>67.990851012257153</v>
      </c>
      <c r="G289" s="90">
        <v>14.609202844854233</v>
      </c>
      <c r="H289" s="91">
        <v>19.59455959041679</v>
      </c>
      <c r="I289" s="90">
        <v>23.926902435201118</v>
      </c>
      <c r="J289" s="90">
        <v>20.182098117654466</v>
      </c>
      <c r="K289" s="90">
        <v>13.737087929397232</v>
      </c>
      <c r="L289" s="91">
        <v>36.423287510353205</v>
      </c>
      <c r="M289" s="90">
        <v>9.9650195120712564</v>
      </c>
      <c r="N289" s="90">
        <v>12.517349298607083</v>
      </c>
      <c r="O289" s="90">
        <v>0</v>
      </c>
      <c r="P289" s="90">
        <v>0</v>
      </c>
    </row>
    <row r="290" spans="2:16" ht="16.5" customHeight="1" x14ac:dyDescent="0.3">
      <c r="B290" s="291" t="s">
        <v>222</v>
      </c>
      <c r="C290" s="13" t="s">
        <v>226</v>
      </c>
      <c r="D290" s="80">
        <v>34.249190047369986</v>
      </c>
      <c r="E290" s="80">
        <v>35.733723449056548</v>
      </c>
      <c r="F290" s="80">
        <v>66.520635950646749</v>
      </c>
      <c r="G290" s="80">
        <v>20.324999966275872</v>
      </c>
      <c r="H290" s="80">
        <v>24.186484140902376</v>
      </c>
      <c r="I290" s="80">
        <v>22.896901976641146</v>
      </c>
      <c r="J290" s="80">
        <v>23.347852987813809</v>
      </c>
      <c r="K290" s="80">
        <v>16.673126181203298</v>
      </c>
      <c r="L290" s="80">
        <v>37.305409817795891</v>
      </c>
      <c r="M290" s="80">
        <v>10.590430373918212</v>
      </c>
      <c r="N290" s="80">
        <v>6.6000677420475036</v>
      </c>
      <c r="O290" s="80">
        <v>1.1556569032030941</v>
      </c>
      <c r="P290" s="80">
        <v>0.41552046312562313</v>
      </c>
    </row>
    <row r="291" spans="2:16" x14ac:dyDescent="0.3">
      <c r="B291" s="294"/>
      <c r="C291" s="9" t="s">
        <v>227</v>
      </c>
      <c r="D291" s="79">
        <v>28.902811335202198</v>
      </c>
      <c r="E291" s="79">
        <v>35.85563688669771</v>
      </c>
      <c r="F291" s="79">
        <v>67.979306766574453</v>
      </c>
      <c r="G291" s="79">
        <v>18.591630878863413</v>
      </c>
      <c r="H291" s="79">
        <v>16.875902089921222</v>
      </c>
      <c r="I291" s="79">
        <v>26.311545085305333</v>
      </c>
      <c r="J291" s="79">
        <v>25.649798382042977</v>
      </c>
      <c r="K291" s="79">
        <v>16.331800048491104</v>
      </c>
      <c r="L291" s="79">
        <v>39.33063338722453</v>
      </c>
      <c r="M291" s="79">
        <v>14.343306385685256</v>
      </c>
      <c r="N291" s="79">
        <v>9.0959772923703603</v>
      </c>
      <c r="O291" s="79">
        <v>0.52706417697968344</v>
      </c>
      <c r="P291" s="79">
        <v>0.20458728464190584</v>
      </c>
    </row>
    <row r="292" spans="2:16" x14ac:dyDescent="0.3">
      <c r="B292" s="292"/>
      <c r="C292" s="9" t="s">
        <v>228</v>
      </c>
      <c r="D292" s="79">
        <v>30.625726088359972</v>
      </c>
      <c r="E292" s="79">
        <v>35.112905328260787</v>
      </c>
      <c r="F292" s="79">
        <v>70.316197478776985</v>
      </c>
      <c r="G292" s="79">
        <v>14.470981203403188</v>
      </c>
      <c r="H292" s="79">
        <v>16.892609902610751</v>
      </c>
      <c r="I292" s="79">
        <v>21.83372286402016</v>
      </c>
      <c r="J292" s="79">
        <v>27.816874466569431</v>
      </c>
      <c r="K292" s="79">
        <v>14.552441802529659</v>
      </c>
      <c r="L292" s="79">
        <v>41.372619474810676</v>
      </c>
      <c r="M292" s="79">
        <v>16.409136320296547</v>
      </c>
      <c r="N292" s="79">
        <v>9.7217147390516949</v>
      </c>
      <c r="O292" s="79">
        <v>0.87507033131015033</v>
      </c>
      <c r="P292" s="79">
        <v>0</v>
      </c>
    </row>
    <row r="293" spans="2:16" x14ac:dyDescent="0.3">
      <c r="B293" s="295"/>
      <c r="C293" s="12" t="s">
        <v>229</v>
      </c>
      <c r="D293" s="81">
        <v>31.339262525485022</v>
      </c>
      <c r="E293" s="81">
        <v>40.519119661223677</v>
      </c>
      <c r="F293" s="81">
        <v>70.087678809565503</v>
      </c>
      <c r="G293" s="81">
        <v>16.86893107239603</v>
      </c>
      <c r="H293" s="81">
        <v>17.961323294775255</v>
      </c>
      <c r="I293" s="81">
        <v>21.879917695679026</v>
      </c>
      <c r="J293" s="81">
        <v>30.712274464646477</v>
      </c>
      <c r="K293" s="81">
        <v>11.336645891943716</v>
      </c>
      <c r="L293" s="81">
        <v>31.505475119462023</v>
      </c>
      <c r="M293" s="81">
        <v>18.319012445277608</v>
      </c>
      <c r="N293" s="81">
        <v>8.4503562453551826</v>
      </c>
      <c r="O293" s="81">
        <v>1.0200027741904867</v>
      </c>
      <c r="P293" s="81">
        <v>0</v>
      </c>
    </row>
    <row r="294" spans="2:16" x14ac:dyDescent="0.3">
      <c r="B294" s="296" t="s">
        <v>199</v>
      </c>
      <c r="C294" s="13" t="s">
        <v>192</v>
      </c>
      <c r="D294" s="80">
        <v>29.971230069010051</v>
      </c>
      <c r="E294" s="80">
        <v>39.28928654564249</v>
      </c>
      <c r="F294" s="80">
        <v>69.067564477961369</v>
      </c>
      <c r="G294" s="80">
        <v>17.661743826154073</v>
      </c>
      <c r="H294" s="80">
        <v>19.05283396293488</v>
      </c>
      <c r="I294" s="80">
        <v>25.076490631435384</v>
      </c>
      <c r="J294" s="80">
        <v>29.070953563141227</v>
      </c>
      <c r="K294" s="80">
        <v>12.76658430637907</v>
      </c>
      <c r="L294" s="80">
        <v>35.732321144758394</v>
      </c>
      <c r="M294" s="80">
        <v>13.531554738176546</v>
      </c>
      <c r="N294" s="80">
        <v>7.7002682319283906</v>
      </c>
      <c r="O294" s="80">
        <v>0.94362815392350941</v>
      </c>
      <c r="P294" s="80">
        <v>0.13554034855394842</v>
      </c>
    </row>
    <row r="295" spans="2:16" ht="16.5" customHeight="1" x14ac:dyDescent="0.3">
      <c r="B295" s="292"/>
      <c r="C295" s="9" t="s">
        <v>200</v>
      </c>
      <c r="D295" s="79">
        <v>37.245969847182678</v>
      </c>
      <c r="E295" s="79">
        <v>44.988326711528806</v>
      </c>
      <c r="F295" s="79">
        <v>76.823166064459869</v>
      </c>
      <c r="G295" s="79">
        <v>14.127695520492869</v>
      </c>
      <c r="H295" s="79">
        <v>10.666011838032063</v>
      </c>
      <c r="I295" s="79">
        <v>13.553230508083002</v>
      </c>
      <c r="J295" s="79">
        <v>17.71312291470953</v>
      </c>
      <c r="K295" s="79">
        <v>14.084751618810406</v>
      </c>
      <c r="L295" s="79">
        <v>34.194631173786142</v>
      </c>
      <c r="M295" s="79">
        <v>20.202766066900722</v>
      </c>
      <c r="N295" s="79">
        <v>13.958405514759123</v>
      </c>
      <c r="O295" s="79">
        <v>1.5380447796512331</v>
      </c>
      <c r="P295" s="79">
        <v>0.90387744160350647</v>
      </c>
    </row>
    <row r="296" spans="2:16" ht="16.5" customHeight="1" x14ac:dyDescent="0.3">
      <c r="B296" s="292"/>
      <c r="C296" s="9" t="s">
        <v>201</v>
      </c>
      <c r="D296" s="79">
        <v>25.355702442083327</v>
      </c>
      <c r="E296" s="79">
        <v>34.156087898154972</v>
      </c>
      <c r="F296" s="79">
        <v>62.993662424033438</v>
      </c>
      <c r="G296" s="79">
        <v>14.327086194247324</v>
      </c>
      <c r="H296" s="79">
        <v>24.047794809217361</v>
      </c>
      <c r="I296" s="79">
        <v>23.903982872247649</v>
      </c>
      <c r="J296" s="79">
        <v>26.096278080150135</v>
      </c>
      <c r="K296" s="79">
        <v>22.654303388003029</v>
      </c>
      <c r="L296" s="79">
        <v>40.515612089718211</v>
      </c>
      <c r="M296" s="79">
        <v>14.640557462052628</v>
      </c>
      <c r="N296" s="79">
        <v>9.7446044970992762</v>
      </c>
      <c r="O296" s="79">
        <v>1.0575166378313166</v>
      </c>
      <c r="P296" s="79">
        <v>0.50681120516151168</v>
      </c>
    </row>
    <row r="297" spans="2:16" x14ac:dyDescent="0.3">
      <c r="B297" s="292"/>
      <c r="C297" s="9" t="s">
        <v>202</v>
      </c>
      <c r="D297" s="79">
        <v>37.734030362336526</v>
      </c>
      <c r="E297" s="79">
        <v>31.398199461330805</v>
      </c>
      <c r="F297" s="79">
        <v>70.951813615347632</v>
      </c>
      <c r="G297" s="79">
        <v>19.510143241731758</v>
      </c>
      <c r="H297" s="79">
        <v>15.631743718429053</v>
      </c>
      <c r="I297" s="79">
        <v>24.03529064320125</v>
      </c>
      <c r="J297" s="79">
        <v>19.915288157231835</v>
      </c>
      <c r="K297" s="79">
        <v>16.201740924384911</v>
      </c>
      <c r="L297" s="79">
        <v>35.372553528465581</v>
      </c>
      <c r="M297" s="79">
        <v>17.915182763721525</v>
      </c>
      <c r="N297" s="79">
        <v>10.787190124298775</v>
      </c>
      <c r="O297" s="79">
        <v>0.54682345952057809</v>
      </c>
      <c r="P297" s="79">
        <v>0</v>
      </c>
    </row>
    <row r="298" spans="2:16" x14ac:dyDescent="0.3">
      <c r="B298" s="295"/>
      <c r="C298" s="12" t="s">
        <v>203</v>
      </c>
      <c r="D298" s="81">
        <v>34.01328384809851</v>
      </c>
      <c r="E298" s="81">
        <v>33.014832202690712</v>
      </c>
      <c r="F298" s="81">
        <v>68.47500198736887</v>
      </c>
      <c r="G298" s="81">
        <v>18.991887426026373</v>
      </c>
      <c r="H298" s="81">
        <v>18.867454172191557</v>
      </c>
      <c r="I298" s="81">
        <v>19.864334363370538</v>
      </c>
      <c r="J298" s="81">
        <v>25.66221067300976</v>
      </c>
      <c r="K298" s="81">
        <v>15.330002853772134</v>
      </c>
      <c r="L298" s="81">
        <v>40.538357733136202</v>
      </c>
      <c r="M298" s="81">
        <v>16.489342999782846</v>
      </c>
      <c r="N298" s="81">
        <v>8.037487086507026</v>
      </c>
      <c r="O298" s="81">
        <v>0.71580465404538551</v>
      </c>
      <c r="P298" s="81">
        <v>0</v>
      </c>
    </row>
    <row r="299" spans="2:16" x14ac:dyDescent="0.3">
      <c r="B299" s="291" t="s">
        <v>204</v>
      </c>
      <c r="C299" s="13" t="s">
        <v>192</v>
      </c>
      <c r="D299" s="80">
        <v>29.971230069010051</v>
      </c>
      <c r="E299" s="80">
        <v>39.28928654564249</v>
      </c>
      <c r="F299" s="80">
        <v>69.067564477961369</v>
      </c>
      <c r="G299" s="80">
        <v>17.661743826154073</v>
      </c>
      <c r="H299" s="80">
        <v>19.05283396293488</v>
      </c>
      <c r="I299" s="80">
        <v>25.076490631435384</v>
      </c>
      <c r="J299" s="80">
        <v>29.070953563141227</v>
      </c>
      <c r="K299" s="80">
        <v>12.76658430637907</v>
      </c>
      <c r="L299" s="80">
        <v>35.732321144758394</v>
      </c>
      <c r="M299" s="80">
        <v>13.531554738176546</v>
      </c>
      <c r="N299" s="80">
        <v>7.7002682319283906</v>
      </c>
      <c r="O299" s="80">
        <v>0.94362815392350941</v>
      </c>
      <c r="P299" s="80">
        <v>0.13554034855394842</v>
      </c>
    </row>
    <row r="300" spans="2:16" x14ac:dyDescent="0.3">
      <c r="B300" s="295"/>
      <c r="C300" s="12" t="s">
        <v>193</v>
      </c>
      <c r="D300" s="81">
        <v>32.856128163524815</v>
      </c>
      <c r="E300" s="81">
        <v>33.872779890370452</v>
      </c>
      <c r="F300" s="81">
        <v>68.223584328581637</v>
      </c>
      <c r="G300" s="81">
        <v>17.623324470686565</v>
      </c>
      <c r="H300" s="81">
        <v>18.923944086186953</v>
      </c>
      <c r="I300" s="81">
        <v>21.099262109472384</v>
      </c>
      <c r="J300" s="81">
        <v>24.168003046574132</v>
      </c>
      <c r="K300" s="81">
        <v>17.128998060625943</v>
      </c>
      <c r="L300" s="81">
        <v>39.155879943146992</v>
      </c>
      <c r="M300" s="81">
        <v>16.574536586970684</v>
      </c>
      <c r="N300" s="81">
        <v>9.3606508085830136</v>
      </c>
      <c r="O300" s="81">
        <v>0.82686435163948058</v>
      </c>
      <c r="P300" s="81">
        <v>0.18604415363673615</v>
      </c>
    </row>
    <row r="301" spans="2:16" x14ac:dyDescent="0.3">
      <c r="B301" s="291" t="s">
        <v>209</v>
      </c>
      <c r="C301" s="13" t="s">
        <v>205</v>
      </c>
      <c r="D301" s="80">
        <v>29.676593843503447</v>
      </c>
      <c r="E301" s="80">
        <v>37.651431116678282</v>
      </c>
      <c r="F301" s="80">
        <v>65.165353324002851</v>
      </c>
      <c r="G301" s="80">
        <v>18.286029104332282</v>
      </c>
      <c r="H301" s="80">
        <v>21.149040893495254</v>
      </c>
      <c r="I301" s="80">
        <v>23.473320330399694</v>
      </c>
      <c r="J301" s="80">
        <v>28.323383249114915</v>
      </c>
      <c r="K301" s="80">
        <v>19.200372366227096</v>
      </c>
      <c r="L301" s="80">
        <v>37.007601081799059</v>
      </c>
      <c r="M301" s="80">
        <v>12.705313412114034</v>
      </c>
      <c r="N301" s="80">
        <v>6.5123062720636629</v>
      </c>
      <c r="O301" s="80">
        <v>0.25990622547784326</v>
      </c>
      <c r="P301" s="80">
        <v>0.58934878079155173</v>
      </c>
    </row>
    <row r="302" spans="2:16" x14ac:dyDescent="0.3">
      <c r="B302" s="292"/>
      <c r="C302" s="9" t="s">
        <v>206</v>
      </c>
      <c r="D302" s="79">
        <v>34.443229906579838</v>
      </c>
      <c r="E302" s="79">
        <v>35.076192179680717</v>
      </c>
      <c r="F302" s="79">
        <v>72.128057574383234</v>
      </c>
      <c r="G302" s="79">
        <v>14.731547963020414</v>
      </c>
      <c r="H302" s="79">
        <v>15.998380855339361</v>
      </c>
      <c r="I302" s="79">
        <v>25.735814351832747</v>
      </c>
      <c r="J302" s="79">
        <v>22.764996459318269</v>
      </c>
      <c r="K302" s="79">
        <v>15.92564769848288</v>
      </c>
      <c r="L302" s="79">
        <v>40.778768337799001</v>
      </c>
      <c r="M302" s="79">
        <v>12.330908615146804</v>
      </c>
      <c r="N302" s="79">
        <v>9.0047477709288728</v>
      </c>
      <c r="O302" s="79">
        <v>1.0817082874879296</v>
      </c>
      <c r="P302" s="79">
        <v>0</v>
      </c>
    </row>
    <row r="303" spans="2:16" x14ac:dyDescent="0.3">
      <c r="B303" s="292"/>
      <c r="C303" s="9" t="s">
        <v>207</v>
      </c>
      <c r="D303" s="79">
        <v>30.107791507627301</v>
      </c>
      <c r="E303" s="79">
        <v>38.063246362908728</v>
      </c>
      <c r="F303" s="79">
        <v>68.789232055187213</v>
      </c>
      <c r="G303" s="79">
        <v>16.467202572404474</v>
      </c>
      <c r="H303" s="79">
        <v>18.61164550896428</v>
      </c>
      <c r="I303" s="79">
        <v>22.314740629382506</v>
      </c>
      <c r="J303" s="79">
        <v>27.490748054875546</v>
      </c>
      <c r="K303" s="79">
        <v>13.309672298580985</v>
      </c>
      <c r="L303" s="79">
        <v>36.764246570172716</v>
      </c>
      <c r="M303" s="79">
        <v>17.855088550279728</v>
      </c>
      <c r="N303" s="79">
        <v>8.9163886188094477</v>
      </c>
      <c r="O303" s="79">
        <v>1.3099972708072429</v>
      </c>
      <c r="P303" s="79">
        <v>0</v>
      </c>
    </row>
    <row r="304" spans="2:16" x14ac:dyDescent="0.3">
      <c r="B304" s="293"/>
      <c r="C304" s="25" t="s">
        <v>208</v>
      </c>
      <c r="D304" s="82">
        <v>31.509581759437776</v>
      </c>
      <c r="E304" s="82">
        <v>36.326416886182173</v>
      </c>
      <c r="F304" s="82">
        <v>68.745729245073093</v>
      </c>
      <c r="G304" s="82">
        <v>19.607809328699986</v>
      </c>
      <c r="H304" s="82">
        <v>19.62700605494096</v>
      </c>
      <c r="I304" s="82">
        <v>22.867422239847794</v>
      </c>
      <c r="J304" s="82">
        <v>27.548904546380111</v>
      </c>
      <c r="K304" s="82">
        <v>13.132097027590495</v>
      </c>
      <c r="L304" s="82">
        <v>36.192228835494674</v>
      </c>
      <c r="M304" s="82">
        <v>14.768509693954234</v>
      </c>
      <c r="N304" s="82">
        <v>8.7508827908158064</v>
      </c>
      <c r="O304" s="82">
        <v>0.7755952521358096</v>
      </c>
      <c r="P304" s="82">
        <v>0.14781633944718525</v>
      </c>
    </row>
    <row r="305" spans="2:16" x14ac:dyDescent="0.3">
      <c r="B305" s="60"/>
      <c r="C305" s="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</row>
    <row r="306" spans="2:16" x14ac:dyDescent="0.3">
      <c r="B306" s="60"/>
      <c r="C306" s="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</row>
    <row r="307" spans="2:16" x14ac:dyDescent="0.3">
      <c r="B307" s="40"/>
      <c r="C307" s="9"/>
      <c r="D307" s="83"/>
      <c r="E307" s="83"/>
      <c r="F307" s="83"/>
      <c r="G307" s="9"/>
      <c r="H307" s="56"/>
      <c r="I307" s="56"/>
      <c r="J307" s="56"/>
      <c r="K307" s="9"/>
      <c r="L307" s="56"/>
      <c r="M307" s="56"/>
      <c r="N307" s="56"/>
    </row>
    <row r="308" spans="2:16" x14ac:dyDescent="0.3">
      <c r="B308" s="40"/>
      <c r="C308" s="9"/>
      <c r="D308" s="83"/>
      <c r="E308" s="83"/>
      <c r="F308" s="83"/>
      <c r="G308" s="9"/>
      <c r="H308" s="56"/>
      <c r="I308" s="56"/>
      <c r="J308" s="56"/>
      <c r="K308" s="9"/>
      <c r="L308" s="56"/>
      <c r="M308" s="56"/>
      <c r="N308" s="56"/>
    </row>
    <row r="309" spans="2:16" x14ac:dyDescent="0.3">
      <c r="B309" s="40"/>
      <c r="C309" s="9"/>
      <c r="D309" s="83"/>
      <c r="E309" s="83"/>
      <c r="F309" s="83"/>
      <c r="G309" s="9"/>
      <c r="H309" s="56"/>
      <c r="I309" s="56"/>
      <c r="J309" s="56"/>
      <c r="K309" s="9"/>
      <c r="L309" s="56"/>
      <c r="M309" s="56"/>
      <c r="N309" s="56"/>
    </row>
    <row r="310" spans="2:16" x14ac:dyDescent="0.3">
      <c r="B310" s="40"/>
      <c r="C310" s="9"/>
      <c r="D310" s="83"/>
      <c r="E310" s="83"/>
      <c r="F310" s="83"/>
      <c r="G310" s="9"/>
      <c r="H310" s="56"/>
      <c r="I310" s="56"/>
      <c r="J310" s="56"/>
      <c r="K310" s="9"/>
      <c r="L310" s="56"/>
      <c r="M310" s="56"/>
      <c r="N310" s="56"/>
    </row>
    <row r="311" spans="2:16" x14ac:dyDescent="0.3">
      <c r="B311" s="40"/>
      <c r="C311" s="9"/>
      <c r="D311" s="83"/>
      <c r="E311" s="83"/>
      <c r="F311" s="83"/>
      <c r="G311" s="9"/>
      <c r="H311" s="56"/>
      <c r="I311" s="56"/>
      <c r="J311" s="56"/>
      <c r="K311" s="9"/>
      <c r="L311" s="56"/>
      <c r="M311" s="56"/>
      <c r="N311" s="56"/>
    </row>
    <row r="312" spans="2:16" x14ac:dyDescent="0.3">
      <c r="B312" s="40"/>
      <c r="C312" s="9"/>
      <c r="D312" s="83"/>
      <c r="E312" s="83"/>
      <c r="F312" s="83"/>
      <c r="G312" s="9"/>
      <c r="H312" s="56"/>
      <c r="I312" s="56"/>
      <c r="J312" s="56"/>
      <c r="K312" s="9"/>
      <c r="L312" s="56"/>
      <c r="M312" s="56"/>
      <c r="N312" s="56"/>
    </row>
    <row r="313" spans="2:16" x14ac:dyDescent="0.3">
      <c r="B313" s="40"/>
      <c r="C313" s="9"/>
      <c r="D313" s="83"/>
      <c r="E313" s="83"/>
      <c r="F313" s="83"/>
      <c r="G313" s="9"/>
      <c r="H313" s="56"/>
      <c r="I313" s="56"/>
      <c r="J313" s="56"/>
      <c r="K313" s="9"/>
      <c r="L313" s="56"/>
      <c r="M313" s="56"/>
      <c r="N313" s="56"/>
    </row>
    <row r="314" spans="2:16" x14ac:dyDescent="0.3">
      <c r="B314" s="40"/>
      <c r="C314" s="9"/>
      <c r="D314" s="83"/>
      <c r="E314" s="83"/>
      <c r="F314" s="83"/>
      <c r="G314" s="9"/>
      <c r="H314" s="56"/>
      <c r="I314" s="56"/>
      <c r="J314" s="56"/>
      <c r="K314" s="9"/>
      <c r="L314" s="56"/>
      <c r="M314" s="56"/>
      <c r="N314" s="56"/>
    </row>
    <row r="315" spans="2:16" x14ac:dyDescent="0.3">
      <c r="B315" s="40"/>
      <c r="C315" s="9"/>
      <c r="D315" s="83"/>
      <c r="E315" s="83"/>
      <c r="F315" s="83"/>
      <c r="G315" s="9"/>
      <c r="H315" s="56"/>
      <c r="I315" s="56"/>
      <c r="J315" s="56"/>
      <c r="K315" s="9"/>
      <c r="L315" s="56"/>
      <c r="M315" s="56"/>
      <c r="N315" s="56"/>
    </row>
    <row r="316" spans="2:16" x14ac:dyDescent="0.3">
      <c r="B316" s="40"/>
      <c r="C316" s="9"/>
      <c r="D316" s="83"/>
      <c r="E316" s="83"/>
      <c r="F316" s="83"/>
      <c r="G316" s="9"/>
      <c r="H316" s="56"/>
      <c r="I316" s="56"/>
      <c r="J316" s="56"/>
      <c r="K316" s="9"/>
      <c r="L316" s="56"/>
      <c r="M316" s="56"/>
      <c r="N316" s="56"/>
    </row>
    <row r="317" spans="2:16" x14ac:dyDescent="0.3">
      <c r="B317" s="40"/>
      <c r="C317" s="9"/>
      <c r="D317" s="83"/>
      <c r="E317" s="83"/>
      <c r="F317" s="83"/>
      <c r="G317" s="9"/>
      <c r="H317" s="56"/>
      <c r="I317" s="56"/>
      <c r="J317" s="56"/>
      <c r="K317" s="9"/>
      <c r="L317" s="56"/>
      <c r="M317" s="56"/>
      <c r="N317" s="56"/>
    </row>
    <row r="318" spans="2:16" x14ac:dyDescent="0.3">
      <c r="B318" s="40"/>
      <c r="C318" s="9"/>
      <c r="D318" s="83"/>
      <c r="E318" s="83"/>
      <c r="F318" s="83"/>
      <c r="G318" s="9"/>
      <c r="H318" s="56"/>
      <c r="I318" s="56"/>
      <c r="J318" s="56"/>
      <c r="K318" s="9"/>
      <c r="L318" s="56"/>
      <c r="M318" s="56"/>
      <c r="N318" s="56"/>
    </row>
    <row r="319" spans="2:16" x14ac:dyDescent="0.3">
      <c r="B319" s="40"/>
      <c r="C319" s="9"/>
      <c r="D319" s="83"/>
      <c r="E319" s="83"/>
      <c r="F319" s="83"/>
      <c r="G319" s="9"/>
      <c r="H319" s="56"/>
      <c r="I319" s="56"/>
      <c r="J319" s="56"/>
      <c r="K319" s="9"/>
      <c r="L319" s="56"/>
      <c r="M319" s="56"/>
      <c r="N319" s="56"/>
    </row>
    <row r="320" spans="2:16" x14ac:dyDescent="0.3">
      <c r="B320" s="40"/>
      <c r="C320" s="9"/>
      <c r="D320" s="83"/>
      <c r="E320" s="83"/>
      <c r="F320" s="83"/>
      <c r="G320" s="9"/>
      <c r="H320" s="56"/>
      <c r="I320" s="56"/>
      <c r="J320" s="56"/>
      <c r="K320" s="9"/>
      <c r="L320" s="56"/>
      <c r="M320" s="56"/>
      <c r="N320" s="56"/>
    </row>
    <row r="321" spans="2:14" x14ac:dyDescent="0.3">
      <c r="B321" s="40"/>
      <c r="C321" s="9"/>
      <c r="D321" s="83"/>
      <c r="E321" s="83"/>
      <c r="F321" s="83"/>
      <c r="G321" s="9"/>
      <c r="H321" s="56"/>
      <c r="I321" s="56"/>
      <c r="J321" s="56"/>
      <c r="K321" s="9"/>
      <c r="L321" s="56"/>
      <c r="M321" s="56"/>
      <c r="N321" s="56"/>
    </row>
    <row r="322" spans="2:14" x14ac:dyDescent="0.3">
      <c r="B322" s="40"/>
      <c r="C322" s="9"/>
      <c r="D322" s="83"/>
      <c r="E322" s="83"/>
      <c r="F322" s="83"/>
      <c r="G322" s="9"/>
      <c r="H322" s="56"/>
      <c r="I322" s="56"/>
      <c r="J322" s="56"/>
      <c r="K322" s="9"/>
      <c r="L322" s="56"/>
      <c r="M322" s="56"/>
      <c r="N322" s="56"/>
    </row>
    <row r="323" spans="2:14" x14ac:dyDescent="0.3">
      <c r="B323" s="40"/>
      <c r="C323" s="9"/>
      <c r="D323" s="83"/>
      <c r="E323" s="83"/>
      <c r="F323" s="83"/>
      <c r="G323" s="9"/>
      <c r="H323" s="56"/>
      <c r="I323" s="56"/>
      <c r="J323" s="56"/>
      <c r="K323" s="9"/>
      <c r="L323" s="56"/>
      <c r="M323" s="56"/>
      <c r="N323" s="56"/>
    </row>
    <row r="324" spans="2:14" x14ac:dyDescent="0.3">
      <c r="B324" s="40"/>
      <c r="C324" s="9"/>
      <c r="D324" s="83"/>
      <c r="E324" s="83"/>
      <c r="F324" s="83"/>
      <c r="G324" s="9"/>
      <c r="H324" s="56"/>
      <c r="I324" s="56"/>
      <c r="J324" s="56"/>
      <c r="K324" s="9"/>
      <c r="L324" s="56"/>
      <c r="M324" s="56"/>
      <c r="N324" s="56"/>
    </row>
    <row r="325" spans="2:14" x14ac:dyDescent="0.3">
      <c r="B325" s="40"/>
      <c r="C325" s="9"/>
      <c r="D325" s="83"/>
      <c r="E325" s="83"/>
      <c r="F325" s="83"/>
      <c r="G325" s="9"/>
      <c r="H325" s="56"/>
      <c r="I325" s="56"/>
      <c r="J325" s="56"/>
      <c r="K325" s="9"/>
      <c r="L325" s="56"/>
      <c r="M325" s="56"/>
      <c r="N325" s="56"/>
    </row>
    <row r="326" spans="2:14" x14ac:dyDescent="0.3">
      <c r="B326" s="40"/>
      <c r="C326" s="9"/>
      <c r="D326" s="83"/>
      <c r="E326" s="83"/>
      <c r="F326" s="83"/>
      <c r="G326" s="9"/>
      <c r="H326" s="56"/>
      <c r="I326" s="56"/>
      <c r="J326" s="56"/>
      <c r="K326" s="9"/>
      <c r="L326" s="56"/>
      <c r="M326" s="56"/>
      <c r="N326" s="56"/>
    </row>
    <row r="327" spans="2:14" x14ac:dyDescent="0.3">
      <c r="B327" s="40"/>
      <c r="C327" s="9"/>
      <c r="D327" s="83"/>
      <c r="E327" s="83"/>
      <c r="F327" s="83"/>
      <c r="G327" s="9"/>
      <c r="H327" s="56"/>
      <c r="I327" s="56"/>
      <c r="J327" s="56"/>
      <c r="K327" s="9"/>
      <c r="L327" s="56"/>
      <c r="M327" s="56"/>
      <c r="N327" s="56"/>
    </row>
  </sheetData>
  <mergeCells count="69">
    <mergeCell ref="B294:B298"/>
    <mergeCell ref="B299:B300"/>
    <mergeCell ref="B301:B304"/>
    <mergeCell ref="B269:C269"/>
    <mergeCell ref="B270:B271"/>
    <mergeCell ref="B272:B277"/>
    <mergeCell ref="B278:B289"/>
    <mergeCell ref="B290:B293"/>
    <mergeCell ref="E266:S266"/>
    <mergeCell ref="B268:C268"/>
    <mergeCell ref="B260:B263"/>
    <mergeCell ref="B229:B230"/>
    <mergeCell ref="B231:B236"/>
    <mergeCell ref="B237:B248"/>
    <mergeCell ref="B249:B252"/>
    <mergeCell ref="B253:B257"/>
    <mergeCell ref="B258:B259"/>
    <mergeCell ref="B175:B176"/>
    <mergeCell ref="B177:B180"/>
    <mergeCell ref="E225:S225"/>
    <mergeCell ref="B227:C227"/>
    <mergeCell ref="B228:C228"/>
    <mergeCell ref="B185:C186"/>
    <mergeCell ref="D185:J185"/>
    <mergeCell ref="K185:P185"/>
    <mergeCell ref="B187:C187"/>
    <mergeCell ref="B188:B189"/>
    <mergeCell ref="B190:B195"/>
    <mergeCell ref="B196:B207"/>
    <mergeCell ref="B208:B211"/>
    <mergeCell ref="B212:B216"/>
    <mergeCell ref="B217:B218"/>
    <mergeCell ref="B219:B222"/>
    <mergeCell ref="B170:B174"/>
    <mergeCell ref="B124:B127"/>
    <mergeCell ref="B128:B132"/>
    <mergeCell ref="B133:B134"/>
    <mergeCell ref="B135:B138"/>
    <mergeCell ref="B145:C145"/>
    <mergeCell ref="B146:B147"/>
    <mergeCell ref="B148:B153"/>
    <mergeCell ref="B154:B165"/>
    <mergeCell ref="B166:B169"/>
    <mergeCell ref="B143:C144"/>
    <mergeCell ref="D143:J143"/>
    <mergeCell ref="K143:P143"/>
    <mergeCell ref="B94:B97"/>
    <mergeCell ref="B102:C102"/>
    <mergeCell ref="B103:C103"/>
    <mergeCell ref="B104:B105"/>
    <mergeCell ref="B106:B111"/>
    <mergeCell ref="B112:B123"/>
    <mergeCell ref="B92:B93"/>
    <mergeCell ref="B42:B45"/>
    <mergeCell ref="B46:B50"/>
    <mergeCell ref="B51:B52"/>
    <mergeCell ref="B53:B56"/>
    <mergeCell ref="B61:C61"/>
    <mergeCell ref="B62:C62"/>
    <mergeCell ref="B63:B64"/>
    <mergeCell ref="B65:B70"/>
    <mergeCell ref="B71:B82"/>
    <mergeCell ref="B83:B86"/>
    <mergeCell ref="B87:B91"/>
    <mergeCell ref="B30:B41"/>
    <mergeCell ref="B20:C20"/>
    <mergeCell ref="B21:C21"/>
    <mergeCell ref="B22:B23"/>
    <mergeCell ref="B24:B29"/>
  </mergeCells>
  <phoneticPr fontId="2" type="noConversion"/>
  <pageMargins left="0.70866141732283472" right="0.70866141732283472" top="1.1417322834645669" bottom="0.39370078740157483" header="0.31496062992125984" footer="0.31496062992125984"/>
  <pageSetup paperSize="9" orientation="portrait" r:id="rId1"/>
  <headerFooter>
    <oddHeader>&amp;L&amp;P&amp;RKorea Fashion Index  2017상반기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F0FA-FE64-4BDC-8D69-34D386E5904E}">
  <sheetPr codeName="Sheet23"/>
  <dimension ref="B2:AY333"/>
  <sheetViews>
    <sheetView showGridLines="0" zoomScaleNormal="100" workbookViewId="0">
      <selection activeCell="B4" sqref="B4:N4"/>
    </sheetView>
  </sheetViews>
  <sheetFormatPr defaultColWidth="9" defaultRowHeight="16.5" x14ac:dyDescent="0.3"/>
  <cols>
    <col min="1" max="1" width="3.625" style="1" customWidth="1"/>
    <col min="2" max="2" width="14.375" style="1" customWidth="1"/>
    <col min="3" max="3" width="13.125" style="1" customWidth="1"/>
    <col min="4" max="16" width="12.25" style="1" customWidth="1"/>
    <col min="17" max="20" width="10.375" style="1" customWidth="1"/>
    <col min="21" max="16384" width="9" style="1"/>
  </cols>
  <sheetData>
    <row r="2" spans="2:8" ht="17.25" x14ac:dyDescent="0.3">
      <c r="B2" s="33" t="s">
        <v>105</v>
      </c>
    </row>
    <row r="4" spans="2:8" ht="14.25" customHeight="1" x14ac:dyDescent="0.3">
      <c r="B4" s="1" t="s">
        <v>524</v>
      </c>
    </row>
    <row r="5" spans="2:8" ht="7.5" customHeight="1" x14ac:dyDescent="0.3"/>
    <row r="6" spans="2:8" x14ac:dyDescent="0.3">
      <c r="B6" s="216"/>
      <c r="C6" s="217" t="s">
        <v>21</v>
      </c>
      <c r="D6" s="218" t="s">
        <v>133</v>
      </c>
      <c r="E6" s="219" t="s">
        <v>13</v>
      </c>
      <c r="F6" s="220" t="s">
        <v>20</v>
      </c>
    </row>
    <row r="7" spans="2:8" x14ac:dyDescent="0.3">
      <c r="B7" s="221"/>
      <c r="C7" s="222"/>
      <c r="D7" s="223" t="s">
        <v>134</v>
      </c>
      <c r="E7" s="224" t="s">
        <v>55</v>
      </c>
      <c r="F7" s="225" t="s">
        <v>525</v>
      </c>
    </row>
    <row r="8" spans="2:8" x14ac:dyDescent="0.3">
      <c r="B8" s="221"/>
      <c r="C8" s="215" t="s">
        <v>24</v>
      </c>
      <c r="D8" s="223" t="s">
        <v>25</v>
      </c>
      <c r="E8" s="224" t="s">
        <v>26</v>
      </c>
      <c r="F8" s="225" t="s">
        <v>517</v>
      </c>
    </row>
    <row r="9" spans="2:8" ht="24" customHeight="1" x14ac:dyDescent="0.3">
      <c r="B9" s="35" t="str">
        <f>RIGHT(B2,LEN(B2)-4)&amp;" 전체"</f>
        <v>기타잡화 전체</v>
      </c>
      <c r="C9" s="36"/>
      <c r="D9" s="37"/>
      <c r="E9" s="37"/>
      <c r="F9" s="190">
        <f>SUM(F10:F15)</f>
        <v>10565.661674412848</v>
      </c>
    </row>
    <row r="10" spans="2:8" x14ac:dyDescent="0.3">
      <c r="B10" s="34" t="s">
        <v>250</v>
      </c>
      <c r="C10" s="117">
        <v>16.204134358427968</v>
      </c>
      <c r="D10" s="101">
        <v>1.2123972176407354</v>
      </c>
      <c r="E10" s="97">
        <v>62778.80110752811</v>
      </c>
      <c r="F10" s="191">
        <v>2233.8992810759855</v>
      </c>
    </row>
    <row r="11" spans="2:8" x14ac:dyDescent="0.3">
      <c r="B11" s="34" t="s">
        <v>251</v>
      </c>
      <c r="C11" s="118">
        <v>32.322085093511134</v>
      </c>
      <c r="D11" s="102">
        <v>1.2663212810417619</v>
      </c>
      <c r="E11" s="98">
        <v>36776.06874820857</v>
      </c>
      <c r="F11" s="191">
        <v>2610.2938913675594</v>
      </c>
    </row>
    <row r="12" spans="2:8" x14ac:dyDescent="0.3">
      <c r="B12" s="34" t="s">
        <v>252</v>
      </c>
      <c r="C12" s="117">
        <v>4.6486041187245215</v>
      </c>
      <c r="D12" s="101">
        <v>1.3947803678291486</v>
      </c>
      <c r="E12" s="97">
        <v>59999.102255660007</v>
      </c>
      <c r="F12" s="191">
        <v>612.48019503989315</v>
      </c>
    </row>
    <row r="13" spans="2:8" x14ac:dyDescent="0.3">
      <c r="B13" s="34" t="s">
        <v>253</v>
      </c>
      <c r="C13" s="117">
        <v>13.892337438618082</v>
      </c>
      <c r="D13" s="101">
        <v>1.1588556903503862</v>
      </c>
      <c r="E13" s="97">
        <v>54331.223540533858</v>
      </c>
      <c r="F13" s="191">
        <v>1657.484761114217</v>
      </c>
    </row>
    <row r="14" spans="2:8" x14ac:dyDescent="0.3">
      <c r="B14" s="10" t="s">
        <v>254</v>
      </c>
      <c r="C14" s="117">
        <v>52.997233477017403</v>
      </c>
      <c r="D14" s="101">
        <v>4.8444936183564513</v>
      </c>
      <c r="E14" s="97">
        <v>16359.541109289421</v>
      </c>
      <c r="F14" s="191">
        <v>1903.9215607560081</v>
      </c>
    </row>
    <row r="15" spans="2:8" x14ac:dyDescent="0.3">
      <c r="B15" s="111" t="s">
        <v>12</v>
      </c>
      <c r="C15" s="121">
        <v>9.2580759197005786</v>
      </c>
      <c r="D15" s="104">
        <v>1.4857123594741843</v>
      </c>
      <c r="E15" s="100">
        <v>76121.649857573517</v>
      </c>
      <c r="F15" s="193">
        <v>1547.5819850591843</v>
      </c>
      <c r="H15" s="3"/>
    </row>
    <row r="16" spans="2:8" x14ac:dyDescent="0.3">
      <c r="B16" s="9"/>
      <c r="C16" s="9"/>
      <c r="D16" s="9"/>
      <c r="E16" s="9"/>
      <c r="F16" s="9"/>
      <c r="G16" s="9"/>
      <c r="H16" s="9"/>
    </row>
    <row r="17" spans="2:17" x14ac:dyDescent="0.3">
      <c r="B17" s="9"/>
      <c r="C17" s="9"/>
      <c r="D17" s="9"/>
      <c r="E17" s="9"/>
      <c r="F17" s="9"/>
      <c r="G17" s="9"/>
      <c r="H17" s="9"/>
    </row>
    <row r="18" spans="2:17" ht="18.75" customHeight="1" x14ac:dyDescent="0.3">
      <c r="B18" s="1" t="s">
        <v>132</v>
      </c>
    </row>
    <row r="19" spans="2:17" ht="13.5" customHeight="1" x14ac:dyDescent="0.3">
      <c r="I19" s="30" t="s">
        <v>157</v>
      </c>
      <c r="N19" s="30"/>
      <c r="O19" s="30"/>
      <c r="Q19" s="30"/>
    </row>
    <row r="20" spans="2:17" ht="28.5" customHeight="1" x14ac:dyDescent="0.3">
      <c r="B20" s="305"/>
      <c r="C20" s="306"/>
      <c r="D20" s="226" t="s">
        <v>255</v>
      </c>
      <c r="E20" s="226" t="s">
        <v>251</v>
      </c>
      <c r="F20" s="226" t="s">
        <v>252</v>
      </c>
      <c r="G20" s="226" t="s">
        <v>253</v>
      </c>
      <c r="H20" s="226" t="s">
        <v>254</v>
      </c>
      <c r="I20" s="226" t="s">
        <v>12</v>
      </c>
      <c r="J20" s="106"/>
      <c r="K20" s="106"/>
      <c r="L20" s="106"/>
      <c r="M20" s="106"/>
      <c r="N20" s="107"/>
      <c r="O20" s="107"/>
      <c r="P20" s="107"/>
      <c r="Q20" s="107"/>
    </row>
    <row r="21" spans="2:17" x14ac:dyDescent="0.3">
      <c r="B21" s="292" t="s">
        <v>20</v>
      </c>
      <c r="C21" s="292"/>
      <c r="D21" s="86">
        <v>16.204134358427968</v>
      </c>
      <c r="E21" s="86">
        <v>32.322085093511134</v>
      </c>
      <c r="F21" s="88">
        <v>4.6486041187245215</v>
      </c>
      <c r="G21" s="88">
        <v>13.892337438618082</v>
      </c>
      <c r="H21" s="86">
        <v>52.997233477017403</v>
      </c>
      <c r="I21" s="88">
        <v>9.2580759197005786</v>
      </c>
      <c r="J21" s="46"/>
      <c r="K21" s="46"/>
      <c r="L21" s="46"/>
      <c r="M21" s="105"/>
      <c r="N21" s="46"/>
      <c r="O21" s="46"/>
      <c r="P21" s="46"/>
      <c r="Q21" s="46"/>
    </row>
    <row r="22" spans="2:17" x14ac:dyDescent="0.3">
      <c r="B22" s="296" t="s">
        <v>5</v>
      </c>
      <c r="C22" s="13" t="s">
        <v>0</v>
      </c>
      <c r="D22" s="84">
        <v>9.3826179417549902</v>
      </c>
      <c r="E22" s="84">
        <v>31.555392488864342</v>
      </c>
      <c r="F22" s="89">
        <v>8.6083783012855477</v>
      </c>
      <c r="G22" s="89">
        <v>22.861814973046108</v>
      </c>
      <c r="H22" s="84">
        <v>46.957341624026796</v>
      </c>
      <c r="I22" s="89">
        <v>10.510943815597539</v>
      </c>
      <c r="J22" s="46"/>
      <c r="K22" s="46"/>
      <c r="L22" s="46"/>
      <c r="M22" s="105"/>
      <c r="N22" s="46"/>
      <c r="O22" s="46"/>
      <c r="P22" s="46"/>
      <c r="Q22" s="46"/>
    </row>
    <row r="23" spans="2:17" x14ac:dyDescent="0.3">
      <c r="B23" s="295"/>
      <c r="C23" s="12" t="s">
        <v>1</v>
      </c>
      <c r="D23" s="90">
        <v>20.389908401151104</v>
      </c>
      <c r="E23" s="90">
        <v>32.792537967513525</v>
      </c>
      <c r="F23" s="90">
        <v>2.2188335257962741</v>
      </c>
      <c r="G23" s="90">
        <v>8.3885456206239475</v>
      </c>
      <c r="H23" s="90">
        <v>56.703392195232773</v>
      </c>
      <c r="I23" s="90">
        <v>8.4892993607541136</v>
      </c>
      <c r="J23" s="46"/>
      <c r="K23" s="46"/>
      <c r="L23" s="46"/>
      <c r="M23" s="46"/>
      <c r="N23" s="46"/>
      <c r="O23" s="46"/>
      <c r="P23" s="46"/>
      <c r="Q23" s="46"/>
    </row>
    <row r="24" spans="2:17" x14ac:dyDescent="0.3">
      <c r="B24" s="296" t="s">
        <v>4</v>
      </c>
      <c r="C24" s="9" t="s">
        <v>175</v>
      </c>
      <c r="D24" s="86">
        <v>18.069340079957591</v>
      </c>
      <c r="E24" s="86">
        <v>31.682162094238365</v>
      </c>
      <c r="F24" s="88">
        <v>3.905769173498558</v>
      </c>
      <c r="G24" s="88">
        <v>9.6973810729628482</v>
      </c>
      <c r="H24" s="86">
        <v>45.114672217081178</v>
      </c>
      <c r="I24" s="88">
        <v>13.517589951669295</v>
      </c>
      <c r="J24" s="46"/>
      <c r="K24" s="46"/>
      <c r="L24" s="46"/>
      <c r="M24" s="105"/>
      <c r="N24" s="46"/>
      <c r="O24" s="46"/>
      <c r="P24" s="46"/>
      <c r="Q24" s="46"/>
    </row>
    <row r="25" spans="2:17" x14ac:dyDescent="0.3">
      <c r="B25" s="292"/>
      <c r="C25" s="9" t="s">
        <v>176</v>
      </c>
      <c r="D25" s="86">
        <v>20.698784927933065</v>
      </c>
      <c r="E25" s="86">
        <v>34.475584476717266</v>
      </c>
      <c r="F25" s="88">
        <v>10.26506226227381</v>
      </c>
      <c r="G25" s="88">
        <v>15.659450185666929</v>
      </c>
      <c r="H25" s="86">
        <v>52.013737904497667</v>
      </c>
      <c r="I25" s="88">
        <v>10.008694446685942</v>
      </c>
      <c r="J25" s="46"/>
      <c r="K25" s="46"/>
      <c r="L25" s="46"/>
      <c r="M25" s="105"/>
      <c r="N25" s="46"/>
      <c r="O25" s="46"/>
      <c r="P25" s="46"/>
      <c r="Q25" s="46"/>
    </row>
    <row r="26" spans="2:17" x14ac:dyDescent="0.3">
      <c r="B26" s="292"/>
      <c r="C26" s="9" t="s">
        <v>177</v>
      </c>
      <c r="D26" s="86">
        <v>17.299966059522504</v>
      </c>
      <c r="E26" s="86">
        <v>32.692707283030032</v>
      </c>
      <c r="F26" s="88">
        <v>6.0488274091603591</v>
      </c>
      <c r="G26" s="88">
        <v>12.57345032655607</v>
      </c>
      <c r="H26" s="86">
        <v>54.961627546964444</v>
      </c>
      <c r="I26" s="88">
        <v>9.5193409234682314</v>
      </c>
      <c r="J26" s="46"/>
      <c r="K26" s="46"/>
      <c r="L26" s="46"/>
      <c r="M26" s="105"/>
      <c r="N26" s="46"/>
      <c r="O26" s="46"/>
      <c r="P26" s="46"/>
      <c r="Q26" s="46"/>
    </row>
    <row r="27" spans="2:17" x14ac:dyDescent="0.3">
      <c r="B27" s="292"/>
      <c r="C27" s="9" t="s">
        <v>178</v>
      </c>
      <c r="D27" s="86">
        <v>13.646797696423141</v>
      </c>
      <c r="E27" s="86">
        <v>34.802381158745106</v>
      </c>
      <c r="F27" s="88">
        <v>2.8120469139579942</v>
      </c>
      <c r="G27" s="88">
        <v>12.086547408365675</v>
      </c>
      <c r="H27" s="86">
        <v>55.005655581457304</v>
      </c>
      <c r="I27" s="88">
        <v>5.7844277376897839</v>
      </c>
      <c r="J27" s="46"/>
      <c r="K27" s="46"/>
      <c r="L27" s="46"/>
      <c r="M27" s="105"/>
      <c r="N27" s="46"/>
      <c r="O27" s="46"/>
      <c r="P27" s="46"/>
      <c r="Q27" s="46"/>
    </row>
    <row r="28" spans="2:17" x14ac:dyDescent="0.3">
      <c r="B28" s="292"/>
      <c r="C28" s="9" t="s">
        <v>179</v>
      </c>
      <c r="D28" s="86">
        <v>14.288091942135809</v>
      </c>
      <c r="E28" s="86">
        <v>30.953300977784291</v>
      </c>
      <c r="F28" s="88">
        <v>3.197215620782782</v>
      </c>
      <c r="G28" s="88">
        <v>18.169419711024055</v>
      </c>
      <c r="H28" s="86">
        <v>51.149331307754878</v>
      </c>
      <c r="I28" s="88">
        <v>9.0269193655223354</v>
      </c>
      <c r="J28" s="46"/>
      <c r="K28" s="46"/>
      <c r="L28" s="46"/>
      <c r="M28" s="105"/>
      <c r="N28" s="46"/>
      <c r="O28" s="46"/>
      <c r="P28" s="46"/>
      <c r="Q28" s="46"/>
    </row>
    <row r="29" spans="2:17" x14ac:dyDescent="0.3">
      <c r="B29" s="298"/>
      <c r="C29" s="12" t="s">
        <v>180</v>
      </c>
      <c r="D29" s="90">
        <v>15.445520644802475</v>
      </c>
      <c r="E29" s="90">
        <v>28.536375533763746</v>
      </c>
      <c r="F29" s="91">
        <v>1.6700322410074082</v>
      </c>
      <c r="G29" s="91">
        <v>11.376351316904856</v>
      </c>
      <c r="H29" s="90">
        <v>54.35693565296004</v>
      </c>
      <c r="I29" s="91">
        <v>11.506105659720728</v>
      </c>
      <c r="J29" s="46"/>
      <c r="K29" s="46"/>
      <c r="L29" s="46"/>
      <c r="M29" s="105"/>
      <c r="N29" s="46"/>
      <c r="O29" s="46"/>
      <c r="P29" s="46"/>
      <c r="Q29" s="46"/>
    </row>
    <row r="30" spans="2:17" x14ac:dyDescent="0.3">
      <c r="B30" s="292" t="s">
        <v>223</v>
      </c>
      <c r="C30" s="9" t="s">
        <v>210</v>
      </c>
      <c r="D30" s="86">
        <v>10.964330126980915</v>
      </c>
      <c r="E30" s="86">
        <v>24.405514638043204</v>
      </c>
      <c r="F30" s="88">
        <v>6.320026927768577</v>
      </c>
      <c r="G30" s="88">
        <v>6.8747034190111096</v>
      </c>
      <c r="H30" s="86">
        <v>36.266710094849856</v>
      </c>
      <c r="I30" s="88">
        <v>25.599908224894875</v>
      </c>
      <c r="J30" s="46"/>
      <c r="K30" s="46"/>
      <c r="L30" s="46"/>
      <c r="M30" s="105"/>
      <c r="N30" s="46"/>
      <c r="O30" s="46"/>
      <c r="P30" s="46"/>
      <c r="Q30" s="46"/>
    </row>
    <row r="31" spans="2:17" x14ac:dyDescent="0.3">
      <c r="B31" s="292"/>
      <c r="C31" s="9" t="s">
        <v>211</v>
      </c>
      <c r="D31" s="86">
        <v>20.242511579574096</v>
      </c>
      <c r="E31" s="86">
        <v>33.16383270621705</v>
      </c>
      <c r="F31" s="88">
        <v>22.397250945071999</v>
      </c>
      <c r="G31" s="88">
        <v>24.393663417929094</v>
      </c>
      <c r="H31" s="86">
        <v>51.205080999296918</v>
      </c>
      <c r="I31" s="88">
        <v>8.9809414645169845</v>
      </c>
      <c r="J31" s="46"/>
      <c r="K31" s="46"/>
      <c r="L31" s="46"/>
      <c r="M31" s="105"/>
      <c r="N31" s="46"/>
      <c r="O31" s="46"/>
      <c r="P31" s="46"/>
      <c r="Q31" s="46"/>
    </row>
    <row r="32" spans="2:17" x14ac:dyDescent="0.3">
      <c r="B32" s="292"/>
      <c r="C32" s="9" t="s">
        <v>212</v>
      </c>
      <c r="D32" s="86">
        <v>14.075818512651155</v>
      </c>
      <c r="E32" s="86">
        <v>38.357102295772926</v>
      </c>
      <c r="F32" s="88">
        <v>11.081616137843239</v>
      </c>
      <c r="G32" s="88">
        <v>19.288257762431655</v>
      </c>
      <c r="H32" s="86">
        <v>44.469564366604878</v>
      </c>
      <c r="I32" s="88">
        <v>12.642564544013544</v>
      </c>
      <c r="J32" s="46"/>
      <c r="K32" s="46"/>
      <c r="L32" s="46"/>
      <c r="M32" s="105"/>
      <c r="N32" s="46"/>
      <c r="O32" s="46"/>
      <c r="P32" s="46"/>
      <c r="Q32" s="46"/>
    </row>
    <row r="33" spans="2:17" x14ac:dyDescent="0.3">
      <c r="B33" s="292"/>
      <c r="C33" s="9" t="s">
        <v>213</v>
      </c>
      <c r="D33" s="86">
        <v>8.0166706398353078</v>
      </c>
      <c r="E33" s="86">
        <v>32.432613055040932</v>
      </c>
      <c r="F33" s="88">
        <v>3.8166885105488935</v>
      </c>
      <c r="G33" s="88">
        <v>21.440118854379648</v>
      </c>
      <c r="H33" s="86">
        <v>48.142151546286541</v>
      </c>
      <c r="I33" s="88">
        <v>7.7118093533129208</v>
      </c>
      <c r="J33" s="46"/>
      <c r="K33" s="46"/>
      <c r="L33" s="46"/>
      <c r="M33" s="105"/>
      <c r="N33" s="46"/>
      <c r="O33" s="46"/>
      <c r="P33" s="46"/>
      <c r="Q33" s="46"/>
    </row>
    <row r="34" spans="2:17" x14ac:dyDescent="0.3">
      <c r="B34" s="292"/>
      <c r="C34" s="9" t="s">
        <v>214</v>
      </c>
      <c r="D34" s="86">
        <v>5.2311699394153193</v>
      </c>
      <c r="E34" s="86">
        <v>26.930585506985217</v>
      </c>
      <c r="F34" s="88">
        <v>5.981275505407865</v>
      </c>
      <c r="G34" s="88">
        <v>29.868514752869952</v>
      </c>
      <c r="H34" s="86">
        <v>45.850093900808773</v>
      </c>
      <c r="I34" s="88">
        <v>9.5606801652109574</v>
      </c>
      <c r="J34" s="46"/>
      <c r="K34" s="46"/>
      <c r="L34" s="46"/>
      <c r="M34" s="105"/>
      <c r="N34" s="46"/>
      <c r="O34" s="46"/>
      <c r="P34" s="46"/>
      <c r="Q34" s="46"/>
    </row>
    <row r="35" spans="2:17" x14ac:dyDescent="0.3">
      <c r="B35" s="292"/>
      <c r="C35" s="12" t="s">
        <v>215</v>
      </c>
      <c r="D35" s="90">
        <v>2.1285649934986717</v>
      </c>
      <c r="E35" s="90">
        <v>30.803213471233466</v>
      </c>
      <c r="F35" s="91">
        <v>4.1295660854101293</v>
      </c>
      <c r="G35" s="91">
        <v>21.642569640346927</v>
      </c>
      <c r="H35" s="90">
        <v>48.763104577536609</v>
      </c>
      <c r="I35" s="91">
        <v>10.20966015798655</v>
      </c>
      <c r="J35" s="46"/>
      <c r="K35" s="46"/>
      <c r="L35" s="46"/>
      <c r="M35" s="105"/>
      <c r="N35" s="46"/>
      <c r="O35" s="46"/>
      <c r="P35" s="46"/>
      <c r="Q35" s="46"/>
    </row>
    <row r="36" spans="2:17" x14ac:dyDescent="0.3">
      <c r="B36" s="292"/>
      <c r="C36" s="9" t="s">
        <v>216</v>
      </c>
      <c r="D36" s="86">
        <v>21.966975109271598</v>
      </c>
      <c r="E36" s="86">
        <v>35.673953268204642</v>
      </c>
      <c r="F36" s="88">
        <v>2.5813663007209486</v>
      </c>
      <c r="G36" s="88">
        <v>11.245833133314282</v>
      </c>
      <c r="H36" s="86">
        <v>49.96844826157556</v>
      </c>
      <c r="I36" s="88">
        <v>6.8895250722787775</v>
      </c>
      <c r="J36" s="46"/>
      <c r="K36" s="46"/>
      <c r="L36" s="46"/>
      <c r="M36" s="105"/>
      <c r="N36" s="46"/>
      <c r="O36" s="46"/>
      <c r="P36" s="46"/>
      <c r="Q36" s="46"/>
    </row>
    <row r="37" spans="2:17" x14ac:dyDescent="0.3">
      <c r="B37" s="292"/>
      <c r="C37" s="9" t="s">
        <v>217</v>
      </c>
      <c r="D37" s="86">
        <v>20.931091338208965</v>
      </c>
      <c r="E37" s="86">
        <v>35.143448041560418</v>
      </c>
      <c r="F37" s="88">
        <v>4.0880957315149029</v>
      </c>
      <c r="G37" s="88">
        <v>11.212524390266934</v>
      </c>
      <c r="H37" s="86">
        <v>52.425456413736967</v>
      </c>
      <c r="I37" s="88">
        <v>10.531963243333193</v>
      </c>
      <c r="J37" s="46"/>
      <c r="K37" s="46"/>
      <c r="L37" s="46"/>
      <c r="M37" s="105"/>
      <c r="N37" s="46"/>
      <c r="O37" s="46"/>
      <c r="P37" s="46"/>
      <c r="Q37" s="46"/>
    </row>
    <row r="38" spans="2:17" x14ac:dyDescent="0.3">
      <c r="B38" s="292"/>
      <c r="C38" s="9" t="s">
        <v>218</v>
      </c>
      <c r="D38" s="86">
        <v>19.083872929529903</v>
      </c>
      <c r="E38" s="86">
        <v>29.558622061814678</v>
      </c>
      <c r="F38" s="88">
        <v>3.2642072086657676</v>
      </c>
      <c r="G38" s="88">
        <v>8.858176462226016</v>
      </c>
      <c r="H38" s="86">
        <v>60.766840650861468</v>
      </c>
      <c r="I38" s="88">
        <v>7.7912748246736721</v>
      </c>
      <c r="J38" s="46"/>
      <c r="K38" s="46"/>
      <c r="L38" s="46"/>
      <c r="M38" s="105"/>
      <c r="N38" s="46"/>
      <c r="O38" s="46"/>
      <c r="P38" s="46"/>
      <c r="Q38" s="46"/>
    </row>
    <row r="39" spans="2:17" x14ac:dyDescent="0.3">
      <c r="B39" s="292"/>
      <c r="C39" s="9" t="s">
        <v>219</v>
      </c>
      <c r="D39" s="86">
        <v>17.240772451894973</v>
      </c>
      <c r="E39" s="86">
        <v>36.31511553497365</v>
      </c>
      <c r="F39" s="88">
        <v>2.170736957689805</v>
      </c>
      <c r="G39" s="88">
        <v>6.115723071259084</v>
      </c>
      <c r="H39" s="86">
        <v>59.386952839681506</v>
      </c>
      <c r="I39" s="88">
        <v>4.5540894520546535</v>
      </c>
      <c r="J39" s="46"/>
      <c r="K39" s="46"/>
      <c r="L39" s="46"/>
      <c r="M39" s="105"/>
      <c r="N39" s="46"/>
      <c r="O39" s="46"/>
      <c r="P39" s="46"/>
      <c r="Q39" s="46"/>
    </row>
    <row r="40" spans="2:17" x14ac:dyDescent="0.3">
      <c r="B40" s="292"/>
      <c r="C40" s="9" t="s">
        <v>220</v>
      </c>
      <c r="D40" s="86">
        <v>20.671037757989811</v>
      </c>
      <c r="E40" s="86">
        <v>33.78834525386339</v>
      </c>
      <c r="F40" s="88">
        <v>1.2351248148426544</v>
      </c>
      <c r="G40" s="88">
        <v>9.9243790974250636</v>
      </c>
      <c r="H40" s="86">
        <v>54.884015698734899</v>
      </c>
      <c r="I40" s="88">
        <v>8.6507467251908743</v>
      </c>
      <c r="J40" s="46"/>
      <c r="K40" s="46"/>
      <c r="L40" s="46"/>
      <c r="M40" s="105"/>
      <c r="N40" s="46"/>
      <c r="O40" s="46"/>
      <c r="P40" s="46"/>
      <c r="Q40" s="46"/>
    </row>
    <row r="41" spans="2:17" x14ac:dyDescent="0.3">
      <c r="B41" s="295"/>
      <c r="C41" s="9" t="s">
        <v>221</v>
      </c>
      <c r="D41" s="90">
        <v>24.487780965942274</v>
      </c>
      <c r="E41" s="90">
        <v>26.997184499930839</v>
      </c>
      <c r="F41" s="91">
        <v>0</v>
      </c>
      <c r="G41" s="91">
        <v>4.4055525078594773</v>
      </c>
      <c r="H41" s="90">
        <v>58.155166877940367</v>
      </c>
      <c r="I41" s="91">
        <v>12.386396773230853</v>
      </c>
      <c r="J41" s="46"/>
      <c r="K41" s="46"/>
      <c r="L41" s="46"/>
      <c r="M41" s="105"/>
      <c r="N41" s="46"/>
      <c r="O41" s="46"/>
      <c r="P41" s="46"/>
      <c r="Q41" s="46"/>
    </row>
    <row r="42" spans="2:17" ht="16.5" customHeight="1" x14ac:dyDescent="0.3">
      <c r="B42" s="291" t="s">
        <v>222</v>
      </c>
      <c r="C42" s="13" t="s">
        <v>226</v>
      </c>
      <c r="D42" s="84">
        <v>13.944467214747577</v>
      </c>
      <c r="E42" s="84">
        <v>31.208108779171873</v>
      </c>
      <c r="F42" s="84">
        <v>4.5793627902339029</v>
      </c>
      <c r="G42" s="84">
        <v>12.191652217260335</v>
      </c>
      <c r="H42" s="84">
        <v>55.978469863020308</v>
      </c>
      <c r="I42" s="84">
        <v>11.635965654640852</v>
      </c>
      <c r="J42" s="46"/>
      <c r="K42" s="46"/>
      <c r="L42" s="46"/>
      <c r="M42" s="46"/>
      <c r="N42" s="46"/>
      <c r="O42" s="46"/>
      <c r="P42" s="46"/>
      <c r="Q42" s="46"/>
    </row>
    <row r="43" spans="2:17" x14ac:dyDescent="0.3">
      <c r="B43" s="294"/>
      <c r="C43" s="9" t="s">
        <v>227</v>
      </c>
      <c r="D43" s="86">
        <v>16.096287635678745</v>
      </c>
      <c r="E43" s="86">
        <v>33.605072228822436</v>
      </c>
      <c r="F43" s="86">
        <v>4.5000632726693102</v>
      </c>
      <c r="G43" s="86">
        <v>12.836750136770803</v>
      </c>
      <c r="H43" s="86">
        <v>53.256296824258243</v>
      </c>
      <c r="I43" s="86">
        <v>9.7379101311782712</v>
      </c>
      <c r="J43" s="46"/>
      <c r="K43" s="46"/>
      <c r="L43" s="46"/>
      <c r="M43" s="46"/>
      <c r="N43" s="46"/>
      <c r="O43" s="46"/>
      <c r="P43" s="46"/>
      <c r="Q43" s="46"/>
    </row>
    <row r="44" spans="2:17" x14ac:dyDescent="0.3">
      <c r="B44" s="292"/>
      <c r="C44" s="9" t="s">
        <v>228</v>
      </c>
      <c r="D44" s="86">
        <v>17.899739792111706</v>
      </c>
      <c r="E44" s="86">
        <v>32.5636797974052</v>
      </c>
      <c r="F44" s="86">
        <v>5.3050663581258997</v>
      </c>
      <c r="G44" s="86">
        <v>16.019391257918965</v>
      </c>
      <c r="H44" s="86">
        <v>52.256470507467299</v>
      </c>
      <c r="I44" s="86">
        <v>5.9593737977223995</v>
      </c>
      <c r="J44" s="46"/>
      <c r="K44" s="46"/>
      <c r="L44" s="46"/>
      <c r="M44" s="46"/>
      <c r="N44" s="46"/>
      <c r="O44" s="46"/>
      <c r="P44" s="46"/>
      <c r="Q44" s="46"/>
    </row>
    <row r="45" spans="2:17" x14ac:dyDescent="0.3">
      <c r="B45" s="295"/>
      <c r="C45" s="12" t="s">
        <v>229</v>
      </c>
      <c r="D45" s="90">
        <v>17.569292630314902</v>
      </c>
      <c r="E45" s="90">
        <v>31.874929589003187</v>
      </c>
      <c r="F45" s="90">
        <v>4.3695537471306025</v>
      </c>
      <c r="G45" s="90">
        <v>15.394416091829141</v>
      </c>
      <c r="H45" s="90">
        <v>49.828930144338315</v>
      </c>
      <c r="I45" s="90">
        <v>8.6223438247949034</v>
      </c>
      <c r="J45" s="46"/>
      <c r="K45" s="46"/>
      <c r="L45" s="46"/>
      <c r="M45" s="46"/>
      <c r="N45" s="46"/>
      <c r="O45" s="46"/>
      <c r="P45" s="46"/>
      <c r="Q45" s="46"/>
    </row>
    <row r="46" spans="2:17" x14ac:dyDescent="0.3">
      <c r="B46" s="296" t="s">
        <v>199</v>
      </c>
      <c r="C46" s="13" t="s">
        <v>192</v>
      </c>
      <c r="D46" s="84">
        <v>18.178198766502426</v>
      </c>
      <c r="E46" s="84">
        <v>33.466385881247604</v>
      </c>
      <c r="F46" s="84">
        <v>4.4830564821222341</v>
      </c>
      <c r="G46" s="84">
        <v>13.659828662341198</v>
      </c>
      <c r="H46" s="84">
        <v>53.663874635335674</v>
      </c>
      <c r="I46" s="84">
        <v>9.0756265577859647</v>
      </c>
      <c r="J46" s="46"/>
      <c r="K46" s="46"/>
      <c r="L46" s="46"/>
      <c r="M46" s="46"/>
      <c r="N46" s="46"/>
      <c r="O46" s="46"/>
      <c r="P46" s="46"/>
      <c r="Q46" s="46"/>
    </row>
    <row r="47" spans="2:17" ht="16.5" customHeight="1" x14ac:dyDescent="0.3">
      <c r="B47" s="292"/>
      <c r="C47" s="9" t="s">
        <v>200</v>
      </c>
      <c r="D47" s="86">
        <v>14.075126158447334</v>
      </c>
      <c r="E47" s="86">
        <v>41.375594632003974</v>
      </c>
      <c r="F47" s="86">
        <v>4.7740033962472266</v>
      </c>
      <c r="G47" s="86">
        <v>11.838458169771702</v>
      </c>
      <c r="H47" s="86">
        <v>50.758332347417557</v>
      </c>
      <c r="I47" s="86">
        <v>8.1082435238063155</v>
      </c>
      <c r="J47" s="46"/>
      <c r="K47" s="46"/>
      <c r="L47" s="46"/>
      <c r="M47" s="46"/>
      <c r="N47" s="46"/>
      <c r="O47" s="46"/>
      <c r="P47" s="46"/>
      <c r="Q47" s="46"/>
    </row>
    <row r="48" spans="2:17" x14ac:dyDescent="0.3">
      <c r="B48" s="292"/>
      <c r="C48" s="9" t="s">
        <v>201</v>
      </c>
      <c r="D48" s="86">
        <v>12.894554929397753</v>
      </c>
      <c r="E48" s="86">
        <v>28.485536247270332</v>
      </c>
      <c r="F48" s="86">
        <v>4.1531807100618376</v>
      </c>
      <c r="G48" s="86">
        <v>13.288291618230744</v>
      </c>
      <c r="H48" s="86">
        <v>50.358800788354877</v>
      </c>
      <c r="I48" s="86">
        <v>12.225624380879657</v>
      </c>
      <c r="J48" s="46"/>
      <c r="K48" s="46"/>
      <c r="L48" s="46"/>
      <c r="M48" s="46"/>
      <c r="N48" s="46"/>
      <c r="O48" s="46"/>
      <c r="P48" s="46"/>
      <c r="Q48" s="46"/>
    </row>
    <row r="49" spans="2:51" x14ac:dyDescent="0.3">
      <c r="B49" s="292"/>
      <c r="C49" s="9" t="s">
        <v>202</v>
      </c>
      <c r="D49" s="86">
        <v>19.179865374479355</v>
      </c>
      <c r="E49" s="86">
        <v>32.447999209135865</v>
      </c>
      <c r="F49" s="86">
        <v>6.4394253237974128</v>
      </c>
      <c r="G49" s="86">
        <v>16.262742216828883</v>
      </c>
      <c r="H49" s="86">
        <v>50.555479758117606</v>
      </c>
      <c r="I49" s="86">
        <v>12.02146716047457</v>
      </c>
      <c r="J49" s="46"/>
      <c r="K49" s="46"/>
      <c r="L49" s="46"/>
      <c r="M49" s="46"/>
      <c r="N49" s="46"/>
      <c r="O49" s="46"/>
      <c r="P49" s="46"/>
      <c r="Q49" s="46"/>
    </row>
    <row r="50" spans="2:51" x14ac:dyDescent="0.3">
      <c r="B50" s="295"/>
      <c r="C50" s="12" t="s">
        <v>203</v>
      </c>
      <c r="D50" s="90">
        <v>12.986588791992592</v>
      </c>
      <c r="E50" s="90">
        <v>30.058815735970327</v>
      </c>
      <c r="F50" s="90">
        <v>4.5950911931981597</v>
      </c>
      <c r="G50" s="90">
        <v>14.199165417493944</v>
      </c>
      <c r="H50" s="90">
        <v>53.921698003824361</v>
      </c>
      <c r="I50" s="90">
        <v>7.6747762580910148</v>
      </c>
      <c r="J50" s="46"/>
      <c r="K50" s="46"/>
      <c r="L50" s="46"/>
      <c r="M50" s="46"/>
      <c r="N50" s="46"/>
      <c r="O50" s="46"/>
      <c r="P50" s="46"/>
      <c r="Q50" s="46"/>
    </row>
    <row r="51" spans="2:51" x14ac:dyDescent="0.3">
      <c r="B51" s="291" t="s">
        <v>204</v>
      </c>
      <c r="C51" s="13" t="s">
        <v>192</v>
      </c>
      <c r="D51" s="84">
        <v>18.178198766502426</v>
      </c>
      <c r="E51" s="84">
        <v>33.466385881247604</v>
      </c>
      <c r="F51" s="84">
        <v>4.4830564821222341</v>
      </c>
      <c r="G51" s="84">
        <v>13.659828662341198</v>
      </c>
      <c r="H51" s="84">
        <v>53.663874635335674</v>
      </c>
      <c r="I51" s="84">
        <v>9.0756265577859647</v>
      </c>
      <c r="J51" s="46"/>
      <c r="K51" s="46"/>
      <c r="L51" s="46"/>
      <c r="M51" s="46"/>
      <c r="N51" s="46"/>
      <c r="O51" s="46"/>
      <c r="P51" s="46"/>
      <c r="Q51" s="46"/>
    </row>
    <row r="52" spans="2:51" x14ac:dyDescent="0.3">
      <c r="B52" s="295"/>
      <c r="C52" s="12" t="s">
        <v>193</v>
      </c>
      <c r="D52" s="90">
        <v>14.107088719830415</v>
      </c>
      <c r="E52" s="90">
        <v>31.106496095324804</v>
      </c>
      <c r="F52" s="90">
        <v>4.8244651230042814</v>
      </c>
      <c r="G52" s="90">
        <v>14.13933116041998</v>
      </c>
      <c r="H52" s="90">
        <v>52.289061581590026</v>
      </c>
      <c r="I52" s="90">
        <v>9.4518916012472012</v>
      </c>
      <c r="J52" s="46"/>
      <c r="K52" s="46"/>
      <c r="L52" s="46"/>
      <c r="M52" s="46"/>
      <c r="N52" s="46"/>
      <c r="O52" s="46"/>
      <c r="P52" s="46"/>
      <c r="Q52" s="46"/>
    </row>
    <row r="53" spans="2:51" x14ac:dyDescent="0.3">
      <c r="B53" s="291" t="s">
        <v>209</v>
      </c>
      <c r="C53" s="13" t="s">
        <v>205</v>
      </c>
      <c r="D53" s="84">
        <v>13.904993590590346</v>
      </c>
      <c r="E53" s="84">
        <v>31.999011477661021</v>
      </c>
      <c r="F53" s="84">
        <v>2.6783304337634117</v>
      </c>
      <c r="G53" s="84">
        <v>12.985531650921494</v>
      </c>
      <c r="H53" s="84">
        <v>55.469181778831341</v>
      </c>
      <c r="I53" s="84">
        <v>13.794962591343484</v>
      </c>
      <c r="J53" s="46"/>
      <c r="K53" s="46"/>
      <c r="L53" s="46"/>
      <c r="M53" s="46"/>
      <c r="N53" s="46"/>
      <c r="O53" s="46"/>
      <c r="P53" s="46"/>
      <c r="Q53" s="46"/>
    </row>
    <row r="54" spans="2:51" x14ac:dyDescent="0.3">
      <c r="B54" s="292"/>
      <c r="C54" s="9" t="s">
        <v>206</v>
      </c>
      <c r="D54" s="86">
        <v>15.439844230017091</v>
      </c>
      <c r="E54" s="86">
        <v>30.477136800162295</v>
      </c>
      <c r="F54" s="86">
        <v>3.6583676175160664</v>
      </c>
      <c r="G54" s="86">
        <v>10.722718065975252</v>
      </c>
      <c r="H54" s="86">
        <v>53.32992031042567</v>
      </c>
      <c r="I54" s="86">
        <v>10.510528752665701</v>
      </c>
      <c r="J54" s="46"/>
      <c r="K54" s="46"/>
      <c r="L54" s="46"/>
      <c r="M54" s="46"/>
      <c r="N54" s="46"/>
      <c r="O54" s="46"/>
      <c r="P54" s="46"/>
      <c r="Q54" s="46"/>
    </row>
    <row r="55" spans="2:51" x14ac:dyDescent="0.3">
      <c r="B55" s="292"/>
      <c r="C55" s="9" t="s">
        <v>207</v>
      </c>
      <c r="D55" s="86">
        <v>18.009420404523951</v>
      </c>
      <c r="E55" s="86">
        <v>36.026425488288744</v>
      </c>
      <c r="F55" s="86">
        <v>5.4685674976762462</v>
      </c>
      <c r="G55" s="86">
        <v>13.500649181499874</v>
      </c>
      <c r="H55" s="86">
        <v>52.721931533025426</v>
      </c>
      <c r="I55" s="86">
        <v>5.6233188042708511</v>
      </c>
      <c r="J55" s="46"/>
      <c r="K55" s="46"/>
      <c r="L55" s="46"/>
      <c r="M55" s="46"/>
      <c r="N55" s="46"/>
      <c r="O55" s="46"/>
      <c r="P55" s="46"/>
      <c r="Q55" s="46"/>
    </row>
    <row r="56" spans="2:51" x14ac:dyDescent="0.3">
      <c r="B56" s="293"/>
      <c r="C56" s="25" t="s">
        <v>208</v>
      </c>
      <c r="D56" s="87">
        <v>16.494779250119183</v>
      </c>
      <c r="E56" s="87">
        <v>30.845342860681953</v>
      </c>
      <c r="F56" s="87">
        <v>5.718086648097505</v>
      </c>
      <c r="G56" s="87">
        <v>16.936308598373408</v>
      </c>
      <c r="H56" s="87">
        <v>51.702591138113952</v>
      </c>
      <c r="I56" s="87">
        <v>8.9249299831524791</v>
      </c>
      <c r="J56" s="46"/>
      <c r="K56" s="46"/>
      <c r="L56" s="46"/>
      <c r="M56" s="46"/>
      <c r="N56" s="46"/>
      <c r="O56" s="46"/>
      <c r="P56" s="46"/>
      <c r="Q56" s="46"/>
    </row>
    <row r="59" spans="2:51" ht="18.75" customHeight="1" x14ac:dyDescent="0.3">
      <c r="B59" s="1" t="s">
        <v>136</v>
      </c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</row>
    <row r="60" spans="2:51" ht="13.5" customHeight="1" x14ac:dyDescent="0.3">
      <c r="I60" s="30" t="s">
        <v>53</v>
      </c>
      <c r="M60" s="30"/>
      <c r="N60" s="30"/>
      <c r="P60" s="30"/>
      <c r="Q60" s="30"/>
    </row>
    <row r="61" spans="2:51" ht="28.5" customHeight="1" x14ac:dyDescent="0.3">
      <c r="B61" s="305"/>
      <c r="C61" s="306"/>
      <c r="D61" s="226" t="s">
        <v>255</v>
      </c>
      <c r="E61" s="226" t="s">
        <v>251</v>
      </c>
      <c r="F61" s="226" t="s">
        <v>252</v>
      </c>
      <c r="G61" s="226" t="s">
        <v>253</v>
      </c>
      <c r="H61" s="226" t="s">
        <v>254</v>
      </c>
      <c r="I61" s="226" t="s">
        <v>12</v>
      </c>
      <c r="J61" s="106"/>
      <c r="K61" s="106"/>
      <c r="L61" s="106"/>
      <c r="M61" s="106"/>
      <c r="N61" s="107"/>
      <c r="O61" s="107"/>
      <c r="P61" s="107"/>
      <c r="Q61" s="107"/>
    </row>
    <row r="62" spans="2:51" x14ac:dyDescent="0.3">
      <c r="B62" s="292" t="s">
        <v>20</v>
      </c>
      <c r="C62" s="292"/>
      <c r="D62" s="72">
        <v>1.2123972176407354</v>
      </c>
      <c r="E62" s="72">
        <v>1.2663212810417619</v>
      </c>
      <c r="F62" s="73">
        <v>1.3947803678291486</v>
      </c>
      <c r="G62" s="72">
        <v>1.1588556903503862</v>
      </c>
      <c r="H62" s="73">
        <v>4.8444936183564513</v>
      </c>
      <c r="I62" s="72">
        <v>1.4857123594741843</v>
      </c>
      <c r="J62" s="72"/>
      <c r="K62" s="72"/>
      <c r="L62" s="108"/>
      <c r="M62" s="72"/>
      <c r="N62" s="72"/>
      <c r="O62" s="72"/>
      <c r="P62" s="72"/>
      <c r="Q62" s="72"/>
    </row>
    <row r="63" spans="2:51" x14ac:dyDescent="0.3">
      <c r="B63" s="296" t="s">
        <v>5</v>
      </c>
      <c r="C63" s="13" t="s">
        <v>0</v>
      </c>
      <c r="D63" s="74">
        <v>1.261712231512722</v>
      </c>
      <c r="E63" s="74">
        <v>1.3063192298980033</v>
      </c>
      <c r="F63" s="75">
        <v>1.5330051950605954</v>
      </c>
      <c r="G63" s="74">
        <v>1.1698706267608774</v>
      </c>
      <c r="H63" s="75">
        <v>5.5090789186972255</v>
      </c>
      <c r="I63" s="74">
        <v>1.2646790888541795</v>
      </c>
      <c r="J63" s="72"/>
      <c r="K63" s="72"/>
      <c r="L63" s="108"/>
      <c r="M63" s="72"/>
      <c r="N63" s="72"/>
      <c r="O63" s="72"/>
      <c r="P63" s="72"/>
      <c r="Q63" s="72"/>
    </row>
    <row r="64" spans="2:51" x14ac:dyDescent="0.3">
      <c r="B64" s="295"/>
      <c r="C64" s="12" t="s">
        <v>1</v>
      </c>
      <c r="D64" s="76">
        <v>1.198472616340418</v>
      </c>
      <c r="E64" s="76">
        <v>1.2427039330460803</v>
      </c>
      <c r="F64" s="76">
        <v>1.0657185197746382</v>
      </c>
      <c r="G64" s="76">
        <v>1.1404352129760322</v>
      </c>
      <c r="H64" s="76">
        <v>4.506786632481429</v>
      </c>
      <c r="I64" s="76">
        <v>1.6536400703653023</v>
      </c>
      <c r="J64" s="72"/>
      <c r="K64" s="72"/>
      <c r="L64" s="72"/>
      <c r="M64" s="72"/>
      <c r="N64" s="72"/>
      <c r="O64" s="72"/>
      <c r="P64" s="72"/>
      <c r="Q64" s="72"/>
    </row>
    <row r="65" spans="2:17" x14ac:dyDescent="0.3">
      <c r="B65" s="296" t="s">
        <v>4</v>
      </c>
      <c r="C65" s="9" t="s">
        <v>175</v>
      </c>
      <c r="D65" s="72">
        <v>1.2878375974881189</v>
      </c>
      <c r="E65" s="72">
        <v>1.207348675392873</v>
      </c>
      <c r="F65" s="73">
        <v>1</v>
      </c>
      <c r="G65" s="72">
        <v>1</v>
      </c>
      <c r="H65" s="73">
        <v>3.8890490483577338</v>
      </c>
      <c r="I65" s="72">
        <v>1.0667313399746046</v>
      </c>
      <c r="J65" s="72"/>
      <c r="K65" s="72"/>
      <c r="L65" s="108"/>
      <c r="M65" s="72"/>
      <c r="N65" s="72"/>
      <c r="O65" s="72"/>
      <c r="P65" s="72"/>
      <c r="Q65" s="72"/>
    </row>
    <row r="66" spans="2:17" x14ac:dyDescent="0.3">
      <c r="B66" s="292"/>
      <c r="C66" s="9" t="s">
        <v>176</v>
      </c>
      <c r="D66" s="72">
        <v>1.2670658296653512</v>
      </c>
      <c r="E66" s="72">
        <v>1.2655567170866813</v>
      </c>
      <c r="F66" s="73">
        <v>1.6994299572064095</v>
      </c>
      <c r="G66" s="72">
        <v>1.1200481256534407</v>
      </c>
      <c r="H66" s="73">
        <v>4.0038050115961168</v>
      </c>
      <c r="I66" s="72">
        <v>1.856150757155361</v>
      </c>
      <c r="J66" s="72"/>
      <c r="K66" s="72"/>
      <c r="L66" s="108"/>
      <c r="M66" s="72"/>
      <c r="N66" s="72"/>
      <c r="O66" s="72"/>
      <c r="P66" s="72"/>
      <c r="Q66" s="72"/>
    </row>
    <row r="67" spans="2:17" x14ac:dyDescent="0.3">
      <c r="B67" s="292"/>
      <c r="C67" s="9" t="s">
        <v>177</v>
      </c>
      <c r="D67" s="72">
        <v>1.019553628022934</v>
      </c>
      <c r="E67" s="72">
        <v>1.3079429198849446</v>
      </c>
      <c r="F67" s="73">
        <v>1.0800394568410523</v>
      </c>
      <c r="G67" s="72">
        <v>1.2099957482182351</v>
      </c>
      <c r="H67" s="73">
        <v>5.4340704578551851</v>
      </c>
      <c r="I67" s="72">
        <v>1.1634003432899183</v>
      </c>
      <c r="J67" s="72"/>
      <c r="K67" s="72"/>
      <c r="L67" s="108"/>
      <c r="M67" s="72"/>
      <c r="N67" s="72"/>
      <c r="O67" s="72"/>
      <c r="P67" s="72"/>
      <c r="Q67" s="72"/>
    </row>
    <row r="68" spans="2:17" x14ac:dyDescent="0.3">
      <c r="B68" s="292"/>
      <c r="C68" s="9" t="s">
        <v>178</v>
      </c>
      <c r="D68" s="72">
        <v>1.3258585548872677</v>
      </c>
      <c r="E68" s="72">
        <v>1.2197277727780607</v>
      </c>
      <c r="F68" s="73">
        <v>1.1950161868613181</v>
      </c>
      <c r="G68" s="72">
        <v>1.0386094637916445</v>
      </c>
      <c r="H68" s="73">
        <v>4.5892932220010163</v>
      </c>
      <c r="I68" s="72">
        <v>1.435430728696663</v>
      </c>
      <c r="J68" s="72"/>
      <c r="K68" s="72"/>
      <c r="L68" s="108"/>
      <c r="M68" s="72"/>
      <c r="N68" s="72"/>
      <c r="O68" s="72"/>
      <c r="P68" s="72"/>
      <c r="Q68" s="72"/>
    </row>
    <row r="69" spans="2:17" x14ac:dyDescent="0.3">
      <c r="B69" s="292"/>
      <c r="C69" s="9" t="s">
        <v>179</v>
      </c>
      <c r="D69" s="72">
        <v>1.2122820556731109</v>
      </c>
      <c r="E69" s="72">
        <v>1.3030678440492056</v>
      </c>
      <c r="F69" s="73">
        <v>1.4945941094546384</v>
      </c>
      <c r="G69" s="72">
        <v>1.2823268150060774</v>
      </c>
      <c r="H69" s="73">
        <v>5.2109579433923932</v>
      </c>
      <c r="I69" s="72">
        <v>1.5230885129744047</v>
      </c>
      <c r="J69" s="72"/>
      <c r="K69" s="72"/>
      <c r="L69" s="108"/>
      <c r="M69" s="72"/>
      <c r="N69" s="72"/>
      <c r="O69" s="72"/>
      <c r="P69" s="72"/>
      <c r="Q69" s="72"/>
    </row>
    <row r="70" spans="2:17" x14ac:dyDescent="0.3">
      <c r="B70" s="298"/>
      <c r="C70" s="12" t="s">
        <v>180</v>
      </c>
      <c r="D70" s="76">
        <v>1.219497079713695</v>
      </c>
      <c r="E70" s="76">
        <v>1.253850788571828</v>
      </c>
      <c r="F70" s="77">
        <v>1.1493247769382429</v>
      </c>
      <c r="G70" s="76">
        <v>1.0927315216621618</v>
      </c>
      <c r="H70" s="77">
        <v>5.1533091736056766</v>
      </c>
      <c r="I70" s="76">
        <v>1.5936435722616773</v>
      </c>
      <c r="J70" s="72"/>
      <c r="K70" s="72"/>
      <c r="L70" s="108"/>
      <c r="M70" s="72"/>
      <c r="N70" s="72"/>
      <c r="O70" s="72"/>
      <c r="P70" s="72"/>
      <c r="Q70" s="72"/>
    </row>
    <row r="71" spans="2:17" x14ac:dyDescent="0.3">
      <c r="B71" s="292" t="s">
        <v>223</v>
      </c>
      <c r="C71" s="9" t="s">
        <v>210</v>
      </c>
      <c r="D71" s="72">
        <v>1.7261373352535994</v>
      </c>
      <c r="E71" s="72">
        <v>1.2430736525289423</v>
      </c>
      <c r="F71" s="73">
        <v>1</v>
      </c>
      <c r="G71" s="72">
        <v>1</v>
      </c>
      <c r="H71" s="73">
        <v>3.4375128212405204</v>
      </c>
      <c r="I71" s="72">
        <v>1.0994687443643996</v>
      </c>
      <c r="J71" s="72"/>
      <c r="K71" s="72"/>
      <c r="L71" s="108"/>
      <c r="M71" s="72"/>
      <c r="N71" s="72"/>
      <c r="O71" s="72"/>
      <c r="P71" s="72"/>
      <c r="Q71" s="72"/>
    </row>
    <row r="72" spans="2:17" x14ac:dyDescent="0.3">
      <c r="B72" s="292"/>
      <c r="C72" s="9" t="s">
        <v>211</v>
      </c>
      <c r="D72" s="72">
        <v>1.5299393254649585</v>
      </c>
      <c r="E72" s="72">
        <v>1.3345288840987022</v>
      </c>
      <c r="F72" s="73">
        <v>1.9047485853437909</v>
      </c>
      <c r="G72" s="72">
        <v>1.1960076473930821</v>
      </c>
      <c r="H72" s="73">
        <v>4.4738322653388298</v>
      </c>
      <c r="I72" s="72">
        <v>1.1529482222578784</v>
      </c>
      <c r="J72" s="72"/>
      <c r="K72" s="72"/>
      <c r="L72" s="108"/>
      <c r="M72" s="72"/>
      <c r="N72" s="72"/>
      <c r="O72" s="72"/>
      <c r="P72" s="72"/>
      <c r="Q72" s="72"/>
    </row>
    <row r="73" spans="2:17" x14ac:dyDescent="0.3">
      <c r="B73" s="292"/>
      <c r="C73" s="9" t="s">
        <v>212</v>
      </c>
      <c r="D73" s="72">
        <v>1.0674676841102411</v>
      </c>
      <c r="E73" s="72">
        <v>1.372168805891288</v>
      </c>
      <c r="F73" s="73">
        <v>1.1226504326891253</v>
      </c>
      <c r="G73" s="72">
        <v>1.2679334136431577</v>
      </c>
      <c r="H73" s="73">
        <v>6.516138667698729</v>
      </c>
      <c r="I73" s="72">
        <v>1.1504410716300513</v>
      </c>
      <c r="J73" s="72"/>
      <c r="K73" s="72"/>
      <c r="L73" s="108"/>
      <c r="M73" s="72"/>
      <c r="N73" s="72"/>
      <c r="O73" s="72"/>
      <c r="P73" s="72"/>
      <c r="Q73" s="72"/>
    </row>
    <row r="74" spans="2:17" x14ac:dyDescent="0.3">
      <c r="B74" s="292"/>
      <c r="C74" s="9" t="s">
        <v>213</v>
      </c>
      <c r="D74" s="72">
        <v>1.0908591486550607</v>
      </c>
      <c r="E74" s="72">
        <v>1.3049248809973439</v>
      </c>
      <c r="F74" s="73">
        <v>1.3687699890332994</v>
      </c>
      <c r="G74" s="72">
        <v>1.0268152010346561</v>
      </c>
      <c r="H74" s="73">
        <v>4.8006294967611582</v>
      </c>
      <c r="I74" s="72">
        <v>1.244957433926092</v>
      </c>
      <c r="J74" s="72"/>
      <c r="K74" s="72"/>
      <c r="L74" s="108"/>
      <c r="M74" s="72"/>
      <c r="N74" s="72"/>
      <c r="O74" s="72"/>
      <c r="P74" s="72"/>
      <c r="Q74" s="72"/>
    </row>
    <row r="75" spans="2:17" x14ac:dyDescent="0.3">
      <c r="B75" s="292"/>
      <c r="C75" s="9" t="s">
        <v>214</v>
      </c>
      <c r="D75" s="72">
        <v>1.0765255886070979</v>
      </c>
      <c r="E75" s="72">
        <v>1.1736852887860385</v>
      </c>
      <c r="F75" s="73">
        <v>1.5828364211604944</v>
      </c>
      <c r="G75" s="72">
        <v>1.2556005307091893</v>
      </c>
      <c r="H75" s="73">
        <v>6.0616656272629896</v>
      </c>
      <c r="I75" s="72">
        <v>1.3506778745239598</v>
      </c>
      <c r="J75" s="72"/>
      <c r="K75" s="72"/>
      <c r="L75" s="108"/>
      <c r="M75" s="72"/>
      <c r="N75" s="72"/>
      <c r="O75" s="72"/>
      <c r="P75" s="72"/>
      <c r="Q75" s="72"/>
    </row>
    <row r="76" spans="2:17" x14ac:dyDescent="0.3">
      <c r="B76" s="292"/>
      <c r="C76" s="12" t="s">
        <v>215</v>
      </c>
      <c r="D76" s="76">
        <v>1</v>
      </c>
      <c r="E76" s="76">
        <v>1.3749580999421034</v>
      </c>
      <c r="F76" s="77">
        <v>1.1493247769382429</v>
      </c>
      <c r="G76" s="76">
        <v>1.0836838382407896</v>
      </c>
      <c r="H76" s="77">
        <v>6.1464013429313793</v>
      </c>
      <c r="I76" s="76">
        <v>1.5152595994558575</v>
      </c>
      <c r="J76" s="72"/>
      <c r="K76" s="72"/>
      <c r="L76" s="108"/>
      <c r="M76" s="72"/>
      <c r="N76" s="72"/>
      <c r="O76" s="72"/>
      <c r="P76" s="72"/>
      <c r="Q76" s="72"/>
    </row>
    <row r="77" spans="2:17" x14ac:dyDescent="0.3">
      <c r="B77" s="292"/>
      <c r="C77" s="9" t="s">
        <v>216</v>
      </c>
      <c r="D77" s="72">
        <v>1.1678270172995782</v>
      </c>
      <c r="E77" s="72">
        <v>1.1939412567712724</v>
      </c>
      <c r="F77" s="73">
        <v>1</v>
      </c>
      <c r="G77" s="72">
        <v>1</v>
      </c>
      <c r="H77" s="73">
        <v>4.0688290486378458</v>
      </c>
      <c r="I77" s="72">
        <v>1</v>
      </c>
      <c r="J77" s="72"/>
      <c r="K77" s="72"/>
      <c r="L77" s="108"/>
      <c r="M77" s="72"/>
      <c r="N77" s="72"/>
      <c r="O77" s="72"/>
      <c r="P77" s="72"/>
      <c r="Q77" s="72"/>
    </row>
    <row r="78" spans="2:17" x14ac:dyDescent="0.3">
      <c r="B78" s="292"/>
      <c r="C78" s="9" t="s">
        <v>217</v>
      </c>
      <c r="D78" s="72">
        <v>1.1376297304167127</v>
      </c>
      <c r="E78" s="72">
        <v>1.2324184106432794</v>
      </c>
      <c r="F78" s="73">
        <v>1.1267155546667249</v>
      </c>
      <c r="G78" s="72">
        <v>1.0359101729552629</v>
      </c>
      <c r="H78" s="73">
        <v>3.7700666636760629</v>
      </c>
      <c r="I78" s="72">
        <v>2.1614523364465255</v>
      </c>
      <c r="J78" s="72"/>
      <c r="K78" s="72"/>
      <c r="L78" s="108"/>
      <c r="M78" s="72"/>
      <c r="N78" s="72"/>
      <c r="O78" s="72"/>
      <c r="P78" s="72"/>
      <c r="Q78" s="72"/>
    </row>
    <row r="79" spans="2:17" x14ac:dyDescent="0.3">
      <c r="B79" s="292"/>
      <c r="C79" s="9" t="s">
        <v>218</v>
      </c>
      <c r="D79" s="72">
        <v>1</v>
      </c>
      <c r="E79" s="72">
        <v>1.2618293249837014</v>
      </c>
      <c r="F79" s="73">
        <v>1</v>
      </c>
      <c r="G79" s="72">
        <v>1.1401938979319008</v>
      </c>
      <c r="H79" s="73">
        <v>4.995935278572059</v>
      </c>
      <c r="I79" s="72">
        <v>1.1750352932426997</v>
      </c>
      <c r="J79" s="72"/>
      <c r="K79" s="72"/>
      <c r="L79" s="108"/>
      <c r="M79" s="72"/>
      <c r="N79" s="72"/>
      <c r="O79" s="72"/>
      <c r="P79" s="72"/>
      <c r="Q79" s="72"/>
    </row>
    <row r="80" spans="2:17" x14ac:dyDescent="0.3">
      <c r="B80" s="292"/>
      <c r="C80" s="9" t="s">
        <v>219</v>
      </c>
      <c r="D80" s="72">
        <v>1.3956112371629115</v>
      </c>
      <c r="E80" s="72">
        <v>1.1711568682897142</v>
      </c>
      <c r="F80" s="73">
        <v>1</v>
      </c>
      <c r="G80" s="72">
        <v>1.0650035725696427</v>
      </c>
      <c r="H80" s="73">
        <v>4.4799315030594986</v>
      </c>
      <c r="I80" s="72">
        <v>1.6413256567435337</v>
      </c>
      <c r="J80" s="72"/>
      <c r="K80" s="72"/>
      <c r="L80" s="108"/>
      <c r="M80" s="72"/>
      <c r="N80" s="72"/>
      <c r="O80" s="72"/>
      <c r="P80" s="72"/>
      <c r="Q80" s="72"/>
    </row>
    <row r="81" spans="2:17" x14ac:dyDescent="0.3">
      <c r="B81" s="292"/>
      <c r="C81" s="9" t="s">
        <v>220</v>
      </c>
      <c r="D81" s="72">
        <v>1.236494442619688</v>
      </c>
      <c r="E81" s="72">
        <v>1.3757445318925785</v>
      </c>
      <c r="F81" s="73">
        <v>1.1934319747486115</v>
      </c>
      <c r="G81" s="72">
        <v>1.3390145880079198</v>
      </c>
      <c r="H81" s="73">
        <v>4.7100992281342942</v>
      </c>
      <c r="I81" s="72">
        <v>1.6573773099102209</v>
      </c>
      <c r="J81" s="72"/>
      <c r="K81" s="72"/>
      <c r="L81" s="108"/>
      <c r="M81" s="72"/>
      <c r="N81" s="72"/>
      <c r="O81" s="72"/>
      <c r="P81" s="72"/>
      <c r="Q81" s="72"/>
    </row>
    <row r="82" spans="2:17" x14ac:dyDescent="0.3">
      <c r="B82" s="295"/>
      <c r="C82" s="9" t="s">
        <v>221</v>
      </c>
      <c r="D82" s="76">
        <v>1.2324521055224842</v>
      </c>
      <c r="E82" s="76">
        <v>1.160025487581599</v>
      </c>
      <c r="F82" s="77">
        <v>0</v>
      </c>
      <c r="G82" s="76">
        <v>1.1229114282057013</v>
      </c>
      <c r="H82" s="77">
        <v>4.5878976552881445</v>
      </c>
      <c r="I82" s="76">
        <v>1.6375133690376191</v>
      </c>
      <c r="J82" s="72"/>
      <c r="K82" s="72"/>
      <c r="L82" s="108"/>
      <c r="M82" s="72"/>
      <c r="N82" s="72"/>
      <c r="O82" s="72"/>
      <c r="P82" s="72"/>
      <c r="Q82" s="72"/>
    </row>
    <row r="83" spans="2:17" ht="16.5" customHeight="1" x14ac:dyDescent="0.3">
      <c r="B83" s="291" t="s">
        <v>222</v>
      </c>
      <c r="C83" s="13" t="s">
        <v>226</v>
      </c>
      <c r="D83" s="74">
        <v>1.1675456356877572</v>
      </c>
      <c r="E83" s="74">
        <v>1.2486962151949026</v>
      </c>
      <c r="F83" s="74">
        <v>1.2760677349668577</v>
      </c>
      <c r="G83" s="74">
        <v>1.0988833857858062</v>
      </c>
      <c r="H83" s="74">
        <v>4.4771576154301682</v>
      </c>
      <c r="I83" s="74">
        <v>1.6949393566565287</v>
      </c>
      <c r="J83" s="72"/>
      <c r="K83" s="72"/>
      <c r="L83" s="72"/>
      <c r="M83" s="72"/>
      <c r="N83" s="72"/>
      <c r="O83" s="72"/>
      <c r="P83" s="72"/>
      <c r="Q83" s="72"/>
    </row>
    <row r="84" spans="2:17" x14ac:dyDescent="0.3">
      <c r="B84" s="294"/>
      <c r="C84" s="9" t="s">
        <v>227</v>
      </c>
      <c r="D84" s="72">
        <v>1.3259476951421065</v>
      </c>
      <c r="E84" s="72">
        <v>1.3167042584273636</v>
      </c>
      <c r="F84" s="72">
        <v>1.5045672160334216</v>
      </c>
      <c r="G84" s="72">
        <v>1.2183370101283317</v>
      </c>
      <c r="H84" s="72">
        <v>4.9211597048413198</v>
      </c>
      <c r="I84" s="72">
        <v>1.4151393015728659</v>
      </c>
      <c r="J84" s="72"/>
      <c r="K84" s="72"/>
      <c r="L84" s="72"/>
      <c r="M84" s="72"/>
      <c r="N84" s="72"/>
      <c r="O84" s="72"/>
      <c r="P84" s="72"/>
      <c r="Q84" s="72"/>
    </row>
    <row r="85" spans="2:17" x14ac:dyDescent="0.3">
      <c r="B85" s="292"/>
      <c r="C85" s="9" t="s">
        <v>228</v>
      </c>
      <c r="D85" s="72">
        <v>1.1976415800941183</v>
      </c>
      <c r="E85" s="72">
        <v>1.2239184359954074</v>
      </c>
      <c r="F85" s="72">
        <v>1.2734580294205808</v>
      </c>
      <c r="G85" s="72">
        <v>1.2075235241618032</v>
      </c>
      <c r="H85" s="72">
        <v>5.1125239477109261</v>
      </c>
      <c r="I85" s="72">
        <v>1.552440797960764</v>
      </c>
      <c r="J85" s="72"/>
      <c r="K85" s="72"/>
      <c r="L85" s="72"/>
      <c r="M85" s="72"/>
      <c r="N85" s="72"/>
      <c r="O85" s="72"/>
      <c r="P85" s="72"/>
      <c r="Q85" s="72"/>
    </row>
    <row r="86" spans="2:17" x14ac:dyDescent="0.3">
      <c r="B86" s="295"/>
      <c r="C86" s="12" t="s">
        <v>229</v>
      </c>
      <c r="D86" s="76">
        <v>1.1409352271295354</v>
      </c>
      <c r="E86" s="76">
        <v>1.2579860265772977</v>
      </c>
      <c r="F86" s="76">
        <v>1.5240806144968402</v>
      </c>
      <c r="G86" s="76">
        <v>1.1128537124122202</v>
      </c>
      <c r="H86" s="76">
        <v>4.9949611732877033</v>
      </c>
      <c r="I86" s="76">
        <v>1.2157115560791028</v>
      </c>
      <c r="J86" s="72"/>
      <c r="K86" s="72"/>
      <c r="L86" s="72"/>
      <c r="M86" s="72"/>
      <c r="N86" s="72"/>
      <c r="O86" s="72"/>
      <c r="P86" s="72"/>
      <c r="Q86" s="72"/>
    </row>
    <row r="87" spans="2:17" x14ac:dyDescent="0.3">
      <c r="B87" s="296" t="s">
        <v>199</v>
      </c>
      <c r="C87" s="13" t="s">
        <v>192</v>
      </c>
      <c r="D87" s="74">
        <v>1.2010082565020725</v>
      </c>
      <c r="E87" s="74">
        <v>1.2649848941331101</v>
      </c>
      <c r="F87" s="74">
        <v>1.2621066234964797</v>
      </c>
      <c r="G87" s="74">
        <v>1.1733296519952414</v>
      </c>
      <c r="H87" s="74">
        <v>4.9029125741603927</v>
      </c>
      <c r="I87" s="74">
        <v>1.3109240876024577</v>
      </c>
      <c r="J87" s="72"/>
      <c r="K87" s="72"/>
      <c r="L87" s="72"/>
      <c r="M87" s="72"/>
      <c r="N87" s="72"/>
      <c r="O87" s="72"/>
      <c r="P87" s="72"/>
      <c r="Q87" s="72"/>
    </row>
    <row r="88" spans="2:17" ht="16.5" customHeight="1" x14ac:dyDescent="0.3">
      <c r="B88" s="292"/>
      <c r="C88" s="9" t="s">
        <v>200</v>
      </c>
      <c r="D88" s="72">
        <v>1.0634004325235278</v>
      </c>
      <c r="E88" s="72">
        <v>1.3489752002114543</v>
      </c>
      <c r="F88" s="72">
        <v>1.4051747467253433</v>
      </c>
      <c r="G88" s="72">
        <v>1.1979865872938018</v>
      </c>
      <c r="H88" s="72">
        <v>4.4915441241914937</v>
      </c>
      <c r="I88" s="72">
        <v>1.3511837158831226</v>
      </c>
      <c r="J88" s="72"/>
      <c r="K88" s="72"/>
      <c r="L88" s="72"/>
      <c r="M88" s="72"/>
      <c r="N88" s="72"/>
      <c r="O88" s="72"/>
      <c r="P88" s="72"/>
      <c r="Q88" s="72"/>
    </row>
    <row r="89" spans="2:17" ht="16.5" customHeight="1" x14ac:dyDescent="0.3">
      <c r="B89" s="292"/>
      <c r="C89" s="9" t="s">
        <v>201</v>
      </c>
      <c r="D89" s="72">
        <v>1.118425378323294</v>
      </c>
      <c r="E89" s="72">
        <v>1.2093646613248237</v>
      </c>
      <c r="F89" s="72">
        <v>1.9655611147879557</v>
      </c>
      <c r="G89" s="72">
        <v>1.1312717643799521</v>
      </c>
      <c r="H89" s="72">
        <v>5.3380527671139202</v>
      </c>
      <c r="I89" s="72">
        <v>1.6529376458944744</v>
      </c>
      <c r="J89" s="72"/>
      <c r="K89" s="72"/>
      <c r="L89" s="72"/>
      <c r="M89" s="72"/>
      <c r="N89" s="72"/>
      <c r="O89" s="72"/>
      <c r="P89" s="72"/>
      <c r="Q89" s="72"/>
    </row>
    <row r="90" spans="2:17" ht="16.5" customHeight="1" x14ac:dyDescent="0.3">
      <c r="B90" s="292"/>
      <c r="C90" s="9" t="s">
        <v>202</v>
      </c>
      <c r="D90" s="72">
        <v>1.1987492505889557</v>
      </c>
      <c r="E90" s="72">
        <v>1.3612967377179952</v>
      </c>
      <c r="F90" s="72">
        <v>1.0774019391606593</v>
      </c>
      <c r="G90" s="72">
        <v>1.1855405212823142</v>
      </c>
      <c r="H90" s="72">
        <v>5.0861725472640513</v>
      </c>
      <c r="I90" s="72">
        <v>1.7400586109285892</v>
      </c>
      <c r="J90" s="72"/>
      <c r="K90" s="72"/>
      <c r="L90" s="72"/>
      <c r="M90" s="72"/>
      <c r="N90" s="72"/>
      <c r="O90" s="72"/>
      <c r="P90" s="72"/>
      <c r="Q90" s="72"/>
    </row>
    <row r="91" spans="2:17" x14ac:dyDescent="0.3">
      <c r="B91" s="295"/>
      <c r="C91" s="12" t="s">
        <v>203</v>
      </c>
      <c r="D91" s="76">
        <v>1.3178394550661079</v>
      </c>
      <c r="E91" s="76">
        <v>1.2399666619797409</v>
      </c>
      <c r="F91" s="76">
        <v>1.5816434734242302</v>
      </c>
      <c r="G91" s="76">
        <v>1.1261219913804204</v>
      </c>
      <c r="H91" s="76">
        <v>4.5139994471803639</v>
      </c>
      <c r="I91" s="76">
        <v>1.6883953051616556</v>
      </c>
      <c r="J91" s="72"/>
      <c r="K91" s="72"/>
      <c r="L91" s="72"/>
      <c r="M91" s="72"/>
      <c r="N91" s="72"/>
      <c r="O91" s="72"/>
      <c r="P91" s="72"/>
      <c r="Q91" s="72"/>
    </row>
    <row r="92" spans="2:17" x14ac:dyDescent="0.3">
      <c r="B92" s="291" t="s">
        <v>204</v>
      </c>
      <c r="C92" s="13" t="s">
        <v>192</v>
      </c>
      <c r="D92" s="74">
        <v>1.2010082565020725</v>
      </c>
      <c r="E92" s="74">
        <v>1.2649848941331101</v>
      </c>
      <c r="F92" s="74">
        <v>1.2621066234964797</v>
      </c>
      <c r="G92" s="74">
        <v>1.1733296519952414</v>
      </c>
      <c r="H92" s="74">
        <v>4.9029125741603927</v>
      </c>
      <c r="I92" s="74">
        <v>1.3109240876024577</v>
      </c>
      <c r="J92" s="72"/>
      <c r="K92" s="72"/>
      <c r="L92" s="72"/>
      <c r="M92" s="72"/>
      <c r="N92" s="72"/>
      <c r="O92" s="72"/>
      <c r="P92" s="72"/>
      <c r="Q92" s="72"/>
    </row>
    <row r="93" spans="2:17" x14ac:dyDescent="0.3">
      <c r="B93" s="295"/>
      <c r="C93" s="12" t="s">
        <v>193</v>
      </c>
      <c r="D93" s="76">
        <v>1.2279871462035534</v>
      </c>
      <c r="E93" s="76">
        <v>1.2678486237535265</v>
      </c>
      <c r="F93" s="76">
        <v>1.5257457725409165</v>
      </c>
      <c r="G93" s="76">
        <v>1.1440014527297453</v>
      </c>
      <c r="H93" s="76">
        <v>4.7808035767578181</v>
      </c>
      <c r="I93" s="76">
        <v>1.6639981526205028</v>
      </c>
      <c r="J93" s="72"/>
      <c r="K93" s="72"/>
      <c r="L93" s="72"/>
      <c r="M93" s="72"/>
      <c r="N93" s="72"/>
      <c r="O93" s="72"/>
      <c r="P93" s="72"/>
      <c r="Q93" s="72"/>
    </row>
    <row r="94" spans="2:17" x14ac:dyDescent="0.3">
      <c r="B94" s="291" t="s">
        <v>209</v>
      </c>
      <c r="C94" s="13" t="s">
        <v>205</v>
      </c>
      <c r="D94" s="74">
        <v>1.1494502386359948</v>
      </c>
      <c r="E94" s="74">
        <v>1.2500862607436327</v>
      </c>
      <c r="F94" s="74">
        <v>1.1883197627808859</v>
      </c>
      <c r="G94" s="74">
        <v>1</v>
      </c>
      <c r="H94" s="74">
        <v>4.6397759109385159</v>
      </c>
      <c r="I94" s="74">
        <v>1.4441919171673241</v>
      </c>
      <c r="J94" s="72"/>
      <c r="K94" s="72"/>
      <c r="L94" s="72"/>
      <c r="M94" s="72"/>
      <c r="N94" s="72"/>
      <c r="O94" s="72"/>
      <c r="P94" s="72"/>
      <c r="Q94" s="72"/>
    </row>
    <row r="95" spans="2:17" x14ac:dyDescent="0.3">
      <c r="B95" s="292"/>
      <c r="C95" s="9" t="s">
        <v>206</v>
      </c>
      <c r="D95" s="72">
        <v>1.3253096380374758</v>
      </c>
      <c r="E95" s="72">
        <v>1.3152637790554993</v>
      </c>
      <c r="F95" s="72">
        <v>1.2725587292410214</v>
      </c>
      <c r="G95" s="72">
        <v>1.1065734557013907</v>
      </c>
      <c r="H95" s="72">
        <v>5.3724254448720705</v>
      </c>
      <c r="I95" s="72">
        <v>1.505866036852654</v>
      </c>
      <c r="J95" s="72"/>
      <c r="K95" s="72"/>
      <c r="L95" s="72"/>
      <c r="M95" s="72"/>
      <c r="N95" s="72"/>
      <c r="O95" s="72"/>
      <c r="P95" s="72"/>
      <c r="Q95" s="72"/>
    </row>
    <row r="96" spans="2:17" x14ac:dyDescent="0.3">
      <c r="B96" s="292"/>
      <c r="C96" s="9" t="s">
        <v>207</v>
      </c>
      <c r="D96" s="72">
        <v>1.2810998464678083</v>
      </c>
      <c r="E96" s="72">
        <v>1.2882679249597135</v>
      </c>
      <c r="F96" s="72">
        <v>1.5632601479704658</v>
      </c>
      <c r="G96" s="72">
        <v>1.3450372680904004</v>
      </c>
      <c r="H96" s="72">
        <v>4.8580537470809313</v>
      </c>
      <c r="I96" s="72">
        <v>1.7285013415654664</v>
      </c>
      <c r="J96" s="72"/>
      <c r="K96" s="72"/>
      <c r="L96" s="72"/>
      <c r="M96" s="72"/>
      <c r="N96" s="72"/>
      <c r="O96" s="72"/>
      <c r="P96" s="72"/>
      <c r="Q96" s="72"/>
    </row>
    <row r="97" spans="2:51" x14ac:dyDescent="0.3">
      <c r="B97" s="293"/>
      <c r="C97" s="25" t="s">
        <v>208</v>
      </c>
      <c r="D97" s="78">
        <v>1.1044244817070956</v>
      </c>
      <c r="E97" s="78">
        <v>1.2200200793749498</v>
      </c>
      <c r="F97" s="78">
        <v>1.3717853448782904</v>
      </c>
      <c r="G97" s="78">
        <v>1.1267998217279551</v>
      </c>
      <c r="H97" s="78">
        <v>4.5582351552986706</v>
      </c>
      <c r="I97" s="78">
        <v>1.3796718892119386</v>
      </c>
      <c r="J97" s="72"/>
      <c r="K97" s="72"/>
      <c r="L97" s="72"/>
      <c r="M97" s="72"/>
      <c r="N97" s="72"/>
      <c r="O97" s="72"/>
      <c r="P97" s="72"/>
      <c r="Q97" s="72"/>
    </row>
    <row r="98" spans="2:51" x14ac:dyDescent="0.3">
      <c r="B98" s="60"/>
      <c r="C98" s="9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</row>
    <row r="99" spans="2:51" x14ac:dyDescent="0.3">
      <c r="B99" s="60"/>
      <c r="C99" s="9"/>
      <c r="D99" s="58"/>
      <c r="E99" s="58"/>
      <c r="F99" s="65"/>
      <c r="G99" s="58"/>
      <c r="H99" s="65"/>
      <c r="I99" s="58"/>
      <c r="J99" s="58"/>
      <c r="K99" s="58"/>
      <c r="L99" s="65"/>
      <c r="M99" s="58"/>
      <c r="N99" s="58"/>
    </row>
    <row r="100" spans="2:51" ht="18.75" customHeight="1" x14ac:dyDescent="0.3">
      <c r="B100" s="1" t="s">
        <v>135</v>
      </c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</row>
    <row r="101" spans="2:51" ht="13.5" customHeight="1" x14ac:dyDescent="0.3">
      <c r="I101" s="30" t="s">
        <v>225</v>
      </c>
      <c r="M101" s="30"/>
      <c r="N101" s="30"/>
      <c r="O101" s="30"/>
      <c r="P101" s="30"/>
    </row>
    <row r="102" spans="2:51" ht="28.5" customHeight="1" x14ac:dyDescent="0.3">
      <c r="B102" s="305"/>
      <c r="C102" s="306"/>
      <c r="D102" s="226" t="s">
        <v>255</v>
      </c>
      <c r="E102" s="226" t="s">
        <v>251</v>
      </c>
      <c r="F102" s="226" t="s">
        <v>252</v>
      </c>
      <c r="G102" s="226" t="s">
        <v>253</v>
      </c>
      <c r="H102" s="226" t="s">
        <v>254</v>
      </c>
      <c r="I102" s="226" t="s">
        <v>12</v>
      </c>
      <c r="J102" s="106"/>
      <c r="K102" s="106"/>
      <c r="L102" s="106"/>
      <c r="M102" s="106"/>
      <c r="N102" s="107"/>
      <c r="O102" s="107"/>
      <c r="P102" s="107"/>
      <c r="Q102" s="107"/>
    </row>
    <row r="103" spans="2:51" x14ac:dyDescent="0.3">
      <c r="B103" s="292" t="s">
        <v>20</v>
      </c>
      <c r="C103" s="292"/>
      <c r="D103" s="86">
        <v>6.277880110752811</v>
      </c>
      <c r="E103" s="86">
        <v>3.677606874820857</v>
      </c>
      <c r="F103" s="88">
        <v>5.9999102255660004</v>
      </c>
      <c r="G103" s="86">
        <v>5.4331223540533857</v>
      </c>
      <c r="H103" s="88">
        <v>1.6359541109289422</v>
      </c>
      <c r="I103" s="86">
        <v>7.6121649857573512</v>
      </c>
      <c r="J103" s="86"/>
      <c r="K103" s="86"/>
      <c r="L103" s="109"/>
      <c r="M103" s="86"/>
      <c r="N103" s="86"/>
      <c r="O103" s="86"/>
      <c r="P103" s="86"/>
      <c r="Q103" s="86"/>
    </row>
    <row r="104" spans="2:51" x14ac:dyDescent="0.3">
      <c r="B104" s="296" t="s">
        <v>5</v>
      </c>
      <c r="C104" s="13" t="s">
        <v>0</v>
      </c>
      <c r="D104" s="84">
        <v>5.9475052351431019</v>
      </c>
      <c r="E104" s="84">
        <v>3.2756761228220737</v>
      </c>
      <c r="F104" s="89">
        <v>5.6459672093839082</v>
      </c>
      <c r="G104" s="84">
        <v>4.4969049079586805</v>
      </c>
      <c r="H104" s="89">
        <v>1.6904105227697748</v>
      </c>
      <c r="I104" s="84">
        <v>3.4090155020469339</v>
      </c>
      <c r="J104" s="86"/>
      <c r="K104" s="86"/>
      <c r="L104" s="109"/>
      <c r="M104" s="86"/>
      <c r="N104" s="86"/>
      <c r="O104" s="86"/>
      <c r="P104" s="86"/>
      <c r="Q104" s="86"/>
    </row>
    <row r="105" spans="2:51" x14ac:dyDescent="0.3">
      <c r="B105" s="295"/>
      <c r="C105" s="12" t="s">
        <v>1</v>
      </c>
      <c r="D105" s="90">
        <v>6.3711648543087831</v>
      </c>
      <c r="E105" s="90">
        <v>3.9149325055485287</v>
      </c>
      <c r="F105" s="90">
        <v>6.8425167626380272</v>
      </c>
      <c r="G105" s="90">
        <v>6.9987757214970578</v>
      </c>
      <c r="H105" s="90">
        <v>1.6082822519592843</v>
      </c>
      <c r="I105" s="90">
        <v>10.805463756357884</v>
      </c>
      <c r="J105" s="86"/>
      <c r="K105" s="86"/>
      <c r="L105" s="86"/>
      <c r="M105" s="86"/>
      <c r="N105" s="86"/>
      <c r="O105" s="86"/>
      <c r="P105" s="86"/>
      <c r="Q105" s="86"/>
    </row>
    <row r="106" spans="2:51" x14ac:dyDescent="0.3">
      <c r="B106" s="296" t="s">
        <v>4</v>
      </c>
      <c r="C106" s="9" t="s">
        <v>175</v>
      </c>
      <c r="D106" s="86">
        <v>2.046880143466578</v>
      </c>
      <c r="E106" s="86">
        <v>2.4211706728494016</v>
      </c>
      <c r="F106" s="88">
        <v>9.8742707133853784</v>
      </c>
      <c r="G106" s="86">
        <v>2.1932055596097069</v>
      </c>
      <c r="H106" s="88">
        <v>1.3127868097659667</v>
      </c>
      <c r="I106" s="86">
        <v>2.5415072363407356</v>
      </c>
      <c r="J106" s="86"/>
      <c r="K106" s="86"/>
      <c r="L106" s="109"/>
      <c r="M106" s="86"/>
      <c r="N106" s="86"/>
      <c r="O106" s="86"/>
      <c r="P106" s="86"/>
      <c r="Q106" s="86"/>
    </row>
    <row r="107" spans="2:51" x14ac:dyDescent="0.3">
      <c r="B107" s="292"/>
      <c r="C107" s="9" t="s">
        <v>176</v>
      </c>
      <c r="D107" s="86">
        <v>4.9922131286861946</v>
      </c>
      <c r="E107" s="86">
        <v>4.5367716044248994</v>
      </c>
      <c r="F107" s="88">
        <v>6.0669500728818013</v>
      </c>
      <c r="G107" s="86">
        <v>5.7496068161250813</v>
      </c>
      <c r="H107" s="88">
        <v>1.4092780252625303</v>
      </c>
      <c r="I107" s="86">
        <v>11.997243929566913</v>
      </c>
      <c r="J107" s="86"/>
      <c r="K107" s="86"/>
      <c r="L107" s="109"/>
      <c r="M107" s="86"/>
      <c r="N107" s="86"/>
      <c r="O107" s="86"/>
      <c r="P107" s="86"/>
      <c r="Q107" s="86"/>
    </row>
    <row r="108" spans="2:51" x14ac:dyDescent="0.3">
      <c r="B108" s="292"/>
      <c r="C108" s="9" t="s">
        <v>177</v>
      </c>
      <c r="D108" s="86">
        <v>8.5040877535874912</v>
      </c>
      <c r="E108" s="86">
        <v>3.6550884146270963</v>
      </c>
      <c r="F108" s="88">
        <v>5.3658382396406274</v>
      </c>
      <c r="G108" s="86">
        <v>4.5266616016917576</v>
      </c>
      <c r="H108" s="88">
        <v>1.6740023946900606</v>
      </c>
      <c r="I108" s="86">
        <v>8.1576196885427112</v>
      </c>
      <c r="J108" s="86"/>
      <c r="K108" s="86"/>
      <c r="L108" s="109"/>
      <c r="M108" s="86"/>
      <c r="N108" s="86"/>
      <c r="O108" s="86"/>
      <c r="P108" s="86"/>
      <c r="Q108" s="86"/>
    </row>
    <row r="109" spans="2:51" x14ac:dyDescent="0.3">
      <c r="B109" s="292"/>
      <c r="C109" s="9" t="s">
        <v>178</v>
      </c>
      <c r="D109" s="86">
        <v>8.5979084513622492</v>
      </c>
      <c r="E109" s="86">
        <v>3.8719959901319396</v>
      </c>
      <c r="F109" s="88">
        <v>3.8083099697784752</v>
      </c>
      <c r="G109" s="86">
        <v>5.5226927107385775</v>
      </c>
      <c r="H109" s="88">
        <v>1.5192549303668557</v>
      </c>
      <c r="I109" s="86">
        <v>17.382173781140292</v>
      </c>
      <c r="J109" s="86"/>
      <c r="K109" s="86"/>
      <c r="L109" s="109"/>
      <c r="M109" s="86"/>
      <c r="N109" s="86"/>
      <c r="O109" s="86"/>
      <c r="P109" s="86"/>
      <c r="Q109" s="86"/>
    </row>
    <row r="110" spans="2:51" x14ac:dyDescent="0.3">
      <c r="B110" s="292"/>
      <c r="C110" s="9" t="s">
        <v>179</v>
      </c>
      <c r="D110" s="86">
        <v>6.7422705640928502</v>
      </c>
      <c r="E110" s="86">
        <v>3.4790278176788867</v>
      </c>
      <c r="F110" s="88">
        <v>8.3805379528191573</v>
      </c>
      <c r="G110" s="86">
        <v>6.8733096487870178</v>
      </c>
      <c r="H110" s="88">
        <v>2.0159023245435579</v>
      </c>
      <c r="I110" s="86">
        <v>3.3717089236980446</v>
      </c>
      <c r="J110" s="86"/>
      <c r="K110" s="86"/>
      <c r="L110" s="109"/>
      <c r="M110" s="86"/>
      <c r="N110" s="86"/>
      <c r="O110" s="86"/>
      <c r="P110" s="86"/>
      <c r="Q110" s="86"/>
    </row>
    <row r="111" spans="2:51" x14ac:dyDescent="0.3">
      <c r="B111" s="298"/>
      <c r="C111" s="12" t="s">
        <v>180</v>
      </c>
      <c r="D111" s="90">
        <v>3.7566753604615881</v>
      </c>
      <c r="E111" s="90">
        <v>3.049945851208935</v>
      </c>
      <c r="F111" s="91">
        <v>3.7126825997909325</v>
      </c>
      <c r="G111" s="90">
        <v>3.7625424193390957</v>
      </c>
      <c r="H111" s="91">
        <v>1.5778096304621447</v>
      </c>
      <c r="I111" s="90">
        <v>3.260700774964405</v>
      </c>
      <c r="J111" s="86"/>
      <c r="K111" s="86"/>
      <c r="L111" s="109"/>
      <c r="M111" s="86"/>
      <c r="N111" s="86"/>
      <c r="O111" s="86"/>
      <c r="P111" s="86"/>
      <c r="Q111" s="86"/>
    </row>
    <row r="112" spans="2:51" x14ac:dyDescent="0.3">
      <c r="B112" s="292" t="s">
        <v>223</v>
      </c>
      <c r="C112" s="9" t="s">
        <v>210</v>
      </c>
      <c r="D112" s="86">
        <v>2.9135959715137099</v>
      </c>
      <c r="E112" s="86">
        <v>2.549040367602883</v>
      </c>
      <c r="F112" s="88">
        <v>16.739993225152674</v>
      </c>
      <c r="G112" s="86">
        <v>1.6871634469896899</v>
      </c>
      <c r="H112" s="88">
        <v>2.3037994752691353</v>
      </c>
      <c r="I112" s="86">
        <v>3.0236762349183972</v>
      </c>
      <c r="J112" s="86"/>
      <c r="K112" s="86"/>
      <c r="L112" s="109"/>
      <c r="M112" s="86"/>
      <c r="N112" s="86"/>
      <c r="O112" s="86"/>
      <c r="P112" s="86"/>
      <c r="Q112" s="86"/>
    </row>
    <row r="113" spans="2:17" x14ac:dyDescent="0.3">
      <c r="B113" s="292"/>
      <c r="C113" s="9" t="s">
        <v>211</v>
      </c>
      <c r="D113" s="86">
        <v>3.6649522067909173</v>
      </c>
      <c r="E113" s="86">
        <v>4.1248614425167816</v>
      </c>
      <c r="F113" s="88">
        <v>6.1378850800461509</v>
      </c>
      <c r="G113" s="86">
        <v>3.6394407524592891</v>
      </c>
      <c r="H113" s="88">
        <v>1.2932153618779219</v>
      </c>
      <c r="I113" s="86">
        <v>3.0445925479609786</v>
      </c>
      <c r="J113" s="86"/>
      <c r="K113" s="86"/>
      <c r="L113" s="109"/>
      <c r="M113" s="86"/>
      <c r="N113" s="86"/>
      <c r="O113" s="86"/>
      <c r="P113" s="86"/>
      <c r="Q113" s="86"/>
    </row>
    <row r="114" spans="2:17" x14ac:dyDescent="0.3">
      <c r="B114" s="292"/>
      <c r="C114" s="9" t="s">
        <v>212</v>
      </c>
      <c r="D114" s="86">
        <v>9.4281063054659793</v>
      </c>
      <c r="E114" s="86">
        <v>3.6306296643770257</v>
      </c>
      <c r="F114" s="88">
        <v>3.8306866624598315</v>
      </c>
      <c r="G114" s="86">
        <v>3.0989882562445281</v>
      </c>
      <c r="H114" s="88">
        <v>2.029519559735002</v>
      </c>
      <c r="I114" s="86">
        <v>5.9545618336100699</v>
      </c>
      <c r="J114" s="86"/>
      <c r="K114" s="86"/>
      <c r="L114" s="109"/>
      <c r="M114" s="86"/>
      <c r="N114" s="86"/>
      <c r="O114" s="86"/>
      <c r="P114" s="86"/>
      <c r="Q114" s="86"/>
    </row>
    <row r="115" spans="2:17" x14ac:dyDescent="0.3">
      <c r="B115" s="292"/>
      <c r="C115" s="9" t="s">
        <v>213</v>
      </c>
      <c r="D115" s="86">
        <v>5.8565779353234495</v>
      </c>
      <c r="E115" s="86">
        <v>3.3626497815846035</v>
      </c>
      <c r="F115" s="88">
        <v>2.1222595526454131</v>
      </c>
      <c r="G115" s="86">
        <v>6.2559305325609795</v>
      </c>
      <c r="H115" s="88">
        <v>1.2954734057868931</v>
      </c>
      <c r="I115" s="86">
        <v>2.4486003696943213</v>
      </c>
      <c r="J115" s="86"/>
      <c r="K115" s="86"/>
      <c r="L115" s="109"/>
      <c r="M115" s="86"/>
      <c r="N115" s="86"/>
      <c r="O115" s="86"/>
      <c r="P115" s="86"/>
      <c r="Q115" s="86"/>
    </row>
    <row r="116" spans="2:17" x14ac:dyDescent="0.3">
      <c r="B116" s="292"/>
      <c r="C116" s="9" t="s">
        <v>214</v>
      </c>
      <c r="D116" s="86">
        <v>6.455068623689006</v>
      </c>
      <c r="E116" s="86">
        <v>2.7541014019805359</v>
      </c>
      <c r="F116" s="88">
        <v>7.3992635830285032</v>
      </c>
      <c r="G116" s="86">
        <v>4.8243517250483379</v>
      </c>
      <c r="H116" s="88">
        <v>1.9713080772853668</v>
      </c>
      <c r="I116" s="86">
        <v>3.1023273317209625</v>
      </c>
      <c r="J116" s="86"/>
      <c r="K116" s="86"/>
      <c r="L116" s="109"/>
      <c r="M116" s="86"/>
      <c r="N116" s="86"/>
      <c r="O116" s="86"/>
      <c r="P116" s="86"/>
      <c r="Q116" s="86"/>
    </row>
    <row r="117" spans="2:17" x14ac:dyDescent="0.3">
      <c r="B117" s="292"/>
      <c r="C117" s="12" t="s">
        <v>215</v>
      </c>
      <c r="D117" s="90">
        <v>5.7107335424768753</v>
      </c>
      <c r="E117" s="90">
        <v>2.7150605231921139</v>
      </c>
      <c r="F117" s="91">
        <v>3.7126825997909325</v>
      </c>
      <c r="G117" s="90">
        <v>4.0736738125648468</v>
      </c>
      <c r="H117" s="91">
        <v>1.7384657023153176</v>
      </c>
      <c r="I117" s="90">
        <v>2.1598436846302991</v>
      </c>
      <c r="J117" s="86"/>
      <c r="K117" s="86"/>
      <c r="L117" s="109"/>
      <c r="M117" s="86"/>
      <c r="N117" s="86"/>
      <c r="O117" s="86"/>
      <c r="P117" s="86"/>
      <c r="Q117" s="86"/>
    </row>
    <row r="118" spans="2:17" x14ac:dyDescent="0.3">
      <c r="B118" s="292"/>
      <c r="C118" s="9" t="s">
        <v>216</v>
      </c>
      <c r="D118" s="86">
        <v>1.8095652184957967</v>
      </c>
      <c r="E118" s="86">
        <v>2.3731817680546858</v>
      </c>
      <c r="F118" s="88">
        <v>0.65297353336817676</v>
      </c>
      <c r="G118" s="86">
        <v>2.3629069776042217</v>
      </c>
      <c r="H118" s="88">
        <v>0.91821324826188488</v>
      </c>
      <c r="I118" s="86">
        <v>1.5586625677105443</v>
      </c>
      <c r="J118" s="86"/>
      <c r="K118" s="86"/>
      <c r="L118" s="109"/>
      <c r="M118" s="86"/>
      <c r="N118" s="86"/>
      <c r="O118" s="86"/>
      <c r="P118" s="86"/>
      <c r="Q118" s="86"/>
    </row>
    <row r="119" spans="2:17" x14ac:dyDescent="0.3">
      <c r="B119" s="292"/>
      <c r="C119" s="9" t="s">
        <v>217</v>
      </c>
      <c r="D119" s="86">
        <v>5.6457422183827743</v>
      </c>
      <c r="E119" s="86">
        <v>4.7346775969984414</v>
      </c>
      <c r="F119" s="88">
        <v>5.8690844402510622</v>
      </c>
      <c r="G119" s="86">
        <v>8.0869708276912355</v>
      </c>
      <c r="H119" s="88">
        <v>1.4669944554880203</v>
      </c>
      <c r="I119" s="86">
        <v>15.884116444959627</v>
      </c>
      <c r="J119" s="86"/>
      <c r="K119" s="86"/>
      <c r="L119" s="109"/>
      <c r="M119" s="86"/>
      <c r="N119" s="86"/>
      <c r="O119" s="86"/>
      <c r="P119" s="86"/>
      <c r="Q119" s="86"/>
    </row>
    <row r="120" spans="2:17" x14ac:dyDescent="0.3">
      <c r="B120" s="292"/>
      <c r="C120" s="9" t="s">
        <v>218</v>
      </c>
      <c r="D120" s="86">
        <v>8.1269976776231498</v>
      </c>
      <c r="E120" s="86">
        <v>3.6726495721440324</v>
      </c>
      <c r="F120" s="88">
        <v>8.2494309281613312</v>
      </c>
      <c r="G120" s="86">
        <v>6.2466867422599792</v>
      </c>
      <c r="H120" s="88">
        <v>1.53005160172876</v>
      </c>
      <c r="I120" s="86">
        <v>10.135544726151384</v>
      </c>
      <c r="J120" s="86"/>
      <c r="K120" s="86"/>
      <c r="L120" s="109"/>
      <c r="M120" s="86"/>
      <c r="N120" s="86"/>
      <c r="O120" s="86"/>
      <c r="P120" s="86"/>
      <c r="Q120" s="86"/>
    </row>
    <row r="121" spans="2:17" x14ac:dyDescent="0.3">
      <c r="B121" s="292"/>
      <c r="C121" s="9" t="s">
        <v>219</v>
      </c>
      <c r="D121" s="86">
        <v>9.4115920242851541</v>
      </c>
      <c r="E121" s="86">
        <v>4.1623744614666576</v>
      </c>
      <c r="F121" s="88">
        <v>5.7006836565411403</v>
      </c>
      <c r="G121" s="86">
        <v>3.8817966896747609</v>
      </c>
      <c r="H121" s="88">
        <v>1.6350567832347314</v>
      </c>
      <c r="I121" s="86">
        <v>33.524841060224844</v>
      </c>
      <c r="J121" s="86"/>
      <c r="K121" s="86"/>
      <c r="L121" s="109"/>
      <c r="M121" s="86"/>
      <c r="N121" s="86"/>
      <c r="O121" s="86"/>
      <c r="P121" s="86"/>
      <c r="Q121" s="86"/>
    </row>
    <row r="122" spans="2:17" x14ac:dyDescent="0.3">
      <c r="B122" s="292"/>
      <c r="C122" s="9" t="s">
        <v>220</v>
      </c>
      <c r="D122" s="86">
        <v>6.7934934978001982</v>
      </c>
      <c r="E122" s="86">
        <v>3.886233029509496</v>
      </c>
      <c r="F122" s="88">
        <v>11.729528683292648</v>
      </c>
      <c r="G122" s="86">
        <v>11.219250909493653</v>
      </c>
      <c r="H122" s="88">
        <v>2.0421574269872269</v>
      </c>
      <c r="I122" s="86">
        <v>3.5815273561821561</v>
      </c>
      <c r="J122" s="86"/>
      <c r="K122" s="86"/>
      <c r="L122" s="109"/>
      <c r="M122" s="86"/>
      <c r="N122" s="86"/>
      <c r="O122" s="86"/>
      <c r="P122" s="86"/>
      <c r="Q122" s="86"/>
    </row>
    <row r="123" spans="2:17" x14ac:dyDescent="0.3">
      <c r="B123" s="295"/>
      <c r="C123" s="9" t="s">
        <v>221</v>
      </c>
      <c r="D123" s="90">
        <v>3.6413441031487168</v>
      </c>
      <c r="E123" s="90">
        <v>3.3093911013996848</v>
      </c>
      <c r="F123" s="91">
        <v>0</v>
      </c>
      <c r="G123" s="90">
        <v>2.7247169414787749</v>
      </c>
      <c r="H123" s="91">
        <v>1.4863409870479982</v>
      </c>
      <c r="I123" s="90">
        <v>3.8768264331005557</v>
      </c>
      <c r="J123" s="86"/>
      <c r="K123" s="86"/>
      <c r="L123" s="109"/>
      <c r="M123" s="86"/>
      <c r="N123" s="86"/>
      <c r="O123" s="86"/>
      <c r="P123" s="86"/>
      <c r="Q123" s="86"/>
    </row>
    <row r="124" spans="2:17" ht="16.5" customHeight="1" x14ac:dyDescent="0.3">
      <c r="B124" s="291" t="s">
        <v>222</v>
      </c>
      <c r="C124" s="13" t="s">
        <v>226</v>
      </c>
      <c r="D124" s="80">
        <v>4.0739799388110836</v>
      </c>
      <c r="E124" s="80">
        <v>3.3400682099821917</v>
      </c>
      <c r="F124" s="80">
        <v>4.5236315401872291</v>
      </c>
      <c r="G124" s="80">
        <v>2.6431624695997167</v>
      </c>
      <c r="H124" s="80">
        <v>1.3103498611828606</v>
      </c>
      <c r="I124" s="80">
        <v>7.8617281935531205</v>
      </c>
      <c r="J124" s="79"/>
      <c r="K124" s="79"/>
      <c r="L124" s="79"/>
      <c r="M124" s="79"/>
      <c r="N124" s="79"/>
      <c r="O124" s="79"/>
      <c r="P124" s="79"/>
      <c r="Q124" s="79"/>
    </row>
    <row r="125" spans="2:17" ht="16.5" customHeight="1" x14ac:dyDescent="0.3">
      <c r="B125" s="294"/>
      <c r="C125" s="9" t="s">
        <v>227</v>
      </c>
      <c r="D125" s="79">
        <v>4.5923245597414057</v>
      </c>
      <c r="E125" s="79">
        <v>3.5082421011286411</v>
      </c>
      <c r="F125" s="79">
        <v>4.4212270139225138</v>
      </c>
      <c r="G125" s="79">
        <v>4.2556764609750104</v>
      </c>
      <c r="H125" s="79">
        <v>1.4226213913499191</v>
      </c>
      <c r="I125" s="79">
        <v>4.1265717217909437</v>
      </c>
      <c r="J125" s="79"/>
      <c r="K125" s="79"/>
      <c r="L125" s="79"/>
      <c r="M125" s="79"/>
      <c r="N125" s="79"/>
      <c r="O125" s="79"/>
      <c r="P125" s="79"/>
      <c r="Q125" s="79"/>
    </row>
    <row r="126" spans="2:17" ht="16.5" customHeight="1" x14ac:dyDescent="0.3">
      <c r="B126" s="292"/>
      <c r="C126" s="9" t="s">
        <v>228</v>
      </c>
      <c r="D126" s="79">
        <v>6.746887590898722</v>
      </c>
      <c r="E126" s="79">
        <v>3.7438495472935891</v>
      </c>
      <c r="F126" s="79">
        <v>7.9613448810209402</v>
      </c>
      <c r="G126" s="79">
        <v>5.015419472256883</v>
      </c>
      <c r="H126" s="79">
        <v>1.950389474076061</v>
      </c>
      <c r="I126" s="79">
        <v>20.831031579170087</v>
      </c>
      <c r="J126" s="79"/>
      <c r="K126" s="79"/>
      <c r="L126" s="79"/>
      <c r="M126" s="79"/>
      <c r="N126" s="79"/>
      <c r="O126" s="79"/>
      <c r="P126" s="79"/>
      <c r="Q126" s="79"/>
    </row>
    <row r="127" spans="2:17" ht="16.5" customHeight="1" x14ac:dyDescent="0.3">
      <c r="B127" s="295"/>
      <c r="C127" s="12" t="s">
        <v>229</v>
      </c>
      <c r="D127" s="81">
        <v>9.7762909166483656</v>
      </c>
      <c r="E127" s="81">
        <v>4.2209186898537832</v>
      </c>
      <c r="F127" s="81">
        <v>7.8011157192020448</v>
      </c>
      <c r="G127" s="81">
        <v>9.5378966121103428</v>
      </c>
      <c r="H127" s="81">
        <v>2.0649156354628069</v>
      </c>
      <c r="I127" s="81">
        <v>4.4661882903577999</v>
      </c>
      <c r="J127" s="79"/>
      <c r="K127" s="79"/>
      <c r="L127" s="79"/>
      <c r="M127" s="79"/>
      <c r="N127" s="79"/>
      <c r="O127" s="79"/>
      <c r="P127" s="79"/>
      <c r="Q127" s="79"/>
    </row>
    <row r="128" spans="2:17" x14ac:dyDescent="0.3">
      <c r="B128" s="296" t="s">
        <v>199</v>
      </c>
      <c r="C128" s="13" t="s">
        <v>192</v>
      </c>
      <c r="D128" s="80">
        <v>6.9741259152303403</v>
      </c>
      <c r="E128" s="80">
        <v>3.6977509421791726</v>
      </c>
      <c r="F128" s="80">
        <v>7.0962253180487922</v>
      </c>
      <c r="G128" s="80">
        <v>6.3525691069468744</v>
      </c>
      <c r="H128" s="80">
        <v>1.7243254722937227</v>
      </c>
      <c r="I128" s="80">
        <v>7.2292222998619948</v>
      </c>
      <c r="J128" s="79"/>
      <c r="K128" s="79"/>
      <c r="L128" s="79"/>
      <c r="M128" s="79"/>
      <c r="N128" s="79"/>
      <c r="O128" s="79"/>
      <c r="P128" s="79"/>
      <c r="Q128" s="79"/>
    </row>
    <row r="129" spans="2:21" x14ac:dyDescent="0.3">
      <c r="B129" s="292"/>
      <c r="C129" s="9" t="s">
        <v>200</v>
      </c>
      <c r="D129" s="79">
        <v>2.372721495639921</v>
      </c>
      <c r="E129" s="79">
        <v>2.7775703207919524</v>
      </c>
      <c r="F129" s="79">
        <v>4.6628012725704417</v>
      </c>
      <c r="G129" s="79">
        <v>4.1977168106126195</v>
      </c>
      <c r="H129" s="79">
        <v>1.5080595331012774</v>
      </c>
      <c r="I129" s="79">
        <v>2.2079149982100299</v>
      </c>
      <c r="J129" s="79"/>
      <c r="K129" s="79"/>
      <c r="L129" s="79"/>
      <c r="M129" s="79"/>
      <c r="N129" s="79"/>
      <c r="O129" s="79"/>
      <c r="P129" s="79"/>
      <c r="Q129" s="79"/>
    </row>
    <row r="130" spans="2:21" x14ac:dyDescent="0.3">
      <c r="B130" s="292"/>
      <c r="C130" s="9" t="s">
        <v>201</v>
      </c>
      <c r="D130" s="79">
        <v>5.1636332221822547</v>
      </c>
      <c r="E130" s="79">
        <v>4.7109206303564708</v>
      </c>
      <c r="F130" s="79">
        <v>9.0968957392006722</v>
      </c>
      <c r="G130" s="79">
        <v>6.5438884206077947</v>
      </c>
      <c r="H130" s="79">
        <v>1.3649310478238874</v>
      </c>
      <c r="I130" s="79">
        <v>16.308850673137119</v>
      </c>
      <c r="J130" s="79"/>
      <c r="K130" s="79"/>
      <c r="L130" s="79"/>
      <c r="M130" s="79"/>
      <c r="N130" s="79"/>
      <c r="O130" s="79"/>
      <c r="P130" s="79"/>
      <c r="Q130" s="79"/>
    </row>
    <row r="131" spans="2:21" x14ac:dyDescent="0.3">
      <c r="B131" s="292"/>
      <c r="C131" s="9" t="s">
        <v>202</v>
      </c>
      <c r="D131" s="79">
        <v>6.8854660355941153</v>
      </c>
      <c r="E131" s="79">
        <v>3.8906233126490055</v>
      </c>
      <c r="F131" s="79">
        <v>3.6926320684621117</v>
      </c>
      <c r="G131" s="79">
        <v>5.9322495744377086</v>
      </c>
      <c r="H131" s="79">
        <v>1.8389378922727386</v>
      </c>
      <c r="I131" s="79">
        <v>4.0032210682634277</v>
      </c>
      <c r="J131" s="79"/>
      <c r="K131" s="79"/>
      <c r="L131" s="79"/>
      <c r="M131" s="79"/>
      <c r="N131" s="79"/>
      <c r="O131" s="79"/>
      <c r="P131" s="79"/>
      <c r="Q131" s="79"/>
    </row>
    <row r="132" spans="2:21" ht="16.5" customHeight="1" x14ac:dyDescent="0.3">
      <c r="B132" s="295"/>
      <c r="C132" s="12" t="s">
        <v>203</v>
      </c>
      <c r="D132" s="81">
        <v>5.1846433084394219</v>
      </c>
      <c r="E132" s="81">
        <v>3.3515890199303069</v>
      </c>
      <c r="F132" s="81">
        <v>3.9198655388767474</v>
      </c>
      <c r="G132" s="81">
        <v>3.18388890421926</v>
      </c>
      <c r="H132" s="81">
        <v>1.5229091554405161</v>
      </c>
      <c r="I132" s="81">
        <v>5.4597628093122355</v>
      </c>
      <c r="J132" s="79"/>
      <c r="K132" s="79"/>
      <c r="L132" s="79"/>
      <c r="M132" s="79"/>
      <c r="N132" s="79"/>
      <c r="O132" s="79"/>
      <c r="P132" s="79"/>
      <c r="Q132" s="79"/>
    </row>
    <row r="133" spans="2:21" x14ac:dyDescent="0.3">
      <c r="B133" s="291" t="s">
        <v>204</v>
      </c>
      <c r="C133" s="13" t="s">
        <v>192</v>
      </c>
      <c r="D133" s="80">
        <v>6.9741259152303403</v>
      </c>
      <c r="E133" s="80">
        <v>3.6977509421791726</v>
      </c>
      <c r="F133" s="80">
        <v>7.0962253180487922</v>
      </c>
      <c r="G133" s="80">
        <v>6.3525691069468744</v>
      </c>
      <c r="H133" s="80">
        <v>1.7243254722937227</v>
      </c>
      <c r="I133" s="80">
        <v>7.2292222998619948</v>
      </c>
      <c r="J133" s="79"/>
      <c r="K133" s="79"/>
      <c r="L133" s="79"/>
      <c r="M133" s="79"/>
      <c r="N133" s="79"/>
      <c r="O133" s="79"/>
      <c r="P133" s="79"/>
      <c r="Q133" s="79"/>
    </row>
    <row r="134" spans="2:21" x14ac:dyDescent="0.3">
      <c r="B134" s="295"/>
      <c r="C134" s="12" t="s">
        <v>193</v>
      </c>
      <c r="D134" s="81">
        <v>5.3248149258067174</v>
      </c>
      <c r="E134" s="81">
        <v>3.6545844295499936</v>
      </c>
      <c r="F134" s="81">
        <v>4.9177115546774095</v>
      </c>
      <c r="G134" s="81">
        <v>4.4895188761581704</v>
      </c>
      <c r="H134" s="81">
        <v>1.5396090872290702</v>
      </c>
      <c r="I134" s="81">
        <v>8.0027703722248145</v>
      </c>
      <c r="J134" s="79"/>
      <c r="K134" s="79"/>
      <c r="L134" s="79"/>
      <c r="M134" s="79"/>
      <c r="N134" s="79"/>
      <c r="O134" s="79"/>
      <c r="P134" s="79"/>
      <c r="Q134" s="79"/>
    </row>
    <row r="135" spans="2:21" x14ac:dyDescent="0.3">
      <c r="B135" s="291" t="s">
        <v>209</v>
      </c>
      <c r="C135" s="13" t="s">
        <v>205</v>
      </c>
      <c r="D135" s="80">
        <v>3.9420763438898612</v>
      </c>
      <c r="E135" s="80">
        <v>3.4798834983561888</v>
      </c>
      <c r="F135" s="80">
        <v>7.0308010218864458</v>
      </c>
      <c r="G135" s="80">
        <v>5.265414197606737</v>
      </c>
      <c r="H135" s="80">
        <v>1.4040689218918854</v>
      </c>
      <c r="I135" s="80">
        <v>5.798890961232237</v>
      </c>
      <c r="J135" s="79"/>
      <c r="K135" s="79"/>
      <c r="L135" s="79"/>
      <c r="M135" s="79"/>
      <c r="N135" s="79"/>
      <c r="O135" s="79"/>
      <c r="P135" s="79"/>
      <c r="Q135" s="79"/>
    </row>
    <row r="136" spans="2:21" x14ac:dyDescent="0.3">
      <c r="B136" s="292"/>
      <c r="C136" s="9" t="s">
        <v>206</v>
      </c>
      <c r="D136" s="79">
        <v>8.293593723440976</v>
      </c>
      <c r="E136" s="79">
        <v>4.1762772694806074</v>
      </c>
      <c r="F136" s="79">
        <v>8.8292872245436413</v>
      </c>
      <c r="G136" s="79">
        <v>4.1871282845467075</v>
      </c>
      <c r="H136" s="79">
        <v>1.7569572273904195</v>
      </c>
      <c r="I136" s="79">
        <v>3.9397818705233285</v>
      </c>
      <c r="J136" s="79"/>
      <c r="K136" s="79"/>
      <c r="L136" s="79"/>
      <c r="M136" s="79"/>
      <c r="N136" s="79"/>
      <c r="O136" s="79"/>
      <c r="P136" s="79"/>
      <c r="Q136" s="79"/>
    </row>
    <row r="137" spans="2:21" x14ac:dyDescent="0.3">
      <c r="B137" s="292"/>
      <c r="C137" s="9" t="s">
        <v>207</v>
      </c>
      <c r="D137" s="79">
        <v>7.1188427968259029</v>
      </c>
      <c r="E137" s="79">
        <v>3.2881595332772728</v>
      </c>
      <c r="F137" s="79">
        <v>4.9163052332268773</v>
      </c>
      <c r="G137" s="79">
        <v>9.4753571030313335</v>
      </c>
      <c r="H137" s="79">
        <v>1.7604559884391426</v>
      </c>
      <c r="I137" s="79">
        <v>5.8472259492587018</v>
      </c>
      <c r="J137" s="79"/>
      <c r="K137" s="79"/>
      <c r="L137" s="79"/>
      <c r="M137" s="79"/>
      <c r="N137" s="79"/>
      <c r="O137" s="79"/>
      <c r="P137" s="79"/>
      <c r="Q137" s="79"/>
    </row>
    <row r="138" spans="2:21" x14ac:dyDescent="0.3">
      <c r="B138" s="293"/>
      <c r="C138" s="25" t="s">
        <v>208</v>
      </c>
      <c r="D138" s="82">
        <v>5.2146785147614017</v>
      </c>
      <c r="E138" s="82">
        <v>3.795427765833669</v>
      </c>
      <c r="F138" s="82">
        <v>5.2865800151696227</v>
      </c>
      <c r="G138" s="82">
        <v>3.48738635953175</v>
      </c>
      <c r="H138" s="82">
        <v>1.5739397094942724</v>
      </c>
      <c r="I138" s="82">
        <v>13.035973433653712</v>
      </c>
      <c r="J138" s="79"/>
      <c r="K138" s="79"/>
      <c r="L138" s="79"/>
      <c r="M138" s="79"/>
      <c r="N138" s="79"/>
      <c r="O138" s="79"/>
      <c r="P138" s="79"/>
      <c r="Q138" s="79"/>
    </row>
    <row r="139" spans="2:21" x14ac:dyDescent="0.3">
      <c r="B139" s="60"/>
      <c r="C139" s="9"/>
      <c r="D139" s="58"/>
      <c r="E139" s="58"/>
      <c r="F139" s="50"/>
      <c r="G139" s="58"/>
      <c r="H139" s="50"/>
      <c r="I139" s="58"/>
      <c r="J139" s="58"/>
      <c r="K139" s="58"/>
      <c r="L139" s="50"/>
      <c r="M139" s="58"/>
      <c r="N139" s="58"/>
    </row>
    <row r="140" spans="2:21" x14ac:dyDescent="0.3">
      <c r="B140" s="60"/>
      <c r="C140" s="9"/>
      <c r="D140" s="58"/>
      <c r="E140" s="58"/>
      <c r="F140" s="50"/>
      <c r="G140" s="58"/>
      <c r="H140" s="50"/>
      <c r="I140" s="58"/>
      <c r="J140" s="58"/>
      <c r="K140" s="58"/>
      <c r="L140" s="50"/>
      <c r="M140" s="58"/>
      <c r="N140" s="58"/>
    </row>
    <row r="141" spans="2:21" ht="17.25" customHeight="1" x14ac:dyDescent="0.3">
      <c r="B141" s="1" t="s">
        <v>487</v>
      </c>
      <c r="D141" s="59"/>
      <c r="E141" s="59"/>
      <c r="F141" s="304"/>
      <c r="G141" s="304"/>
      <c r="H141" s="304"/>
      <c r="I141" s="304"/>
      <c r="J141" s="304"/>
      <c r="K141" s="304"/>
      <c r="L141" s="304"/>
      <c r="M141" s="304"/>
      <c r="N141" s="304"/>
      <c r="O141" s="304"/>
      <c r="P141" s="304"/>
      <c r="Q141" s="304"/>
      <c r="R141" s="304"/>
      <c r="S141" s="304"/>
      <c r="T141" s="304"/>
      <c r="U141" s="304"/>
    </row>
    <row r="142" spans="2:21" ht="10.5" customHeight="1" x14ac:dyDescent="0.3"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30"/>
      <c r="P142" s="30"/>
      <c r="Q142" s="30" t="s">
        <v>52</v>
      </c>
    </row>
    <row r="143" spans="2:21" s="22" customFormat="1" ht="20.25" customHeight="1" x14ac:dyDescent="0.3">
      <c r="B143" s="307"/>
      <c r="C143" s="307"/>
      <c r="D143" s="300" t="s">
        <v>120</v>
      </c>
      <c r="E143" s="300"/>
      <c r="F143" s="300"/>
      <c r="G143" s="300"/>
      <c r="H143" s="300"/>
      <c r="I143" s="300"/>
      <c r="J143" s="301"/>
      <c r="K143" s="299" t="s">
        <v>125</v>
      </c>
      <c r="L143" s="300"/>
      <c r="M143" s="300"/>
      <c r="N143" s="300"/>
      <c r="O143" s="300"/>
      <c r="P143" s="301"/>
      <c r="Q143" s="212" t="s">
        <v>38</v>
      </c>
    </row>
    <row r="144" spans="2:21" s="22" customFormat="1" ht="27" x14ac:dyDescent="0.3">
      <c r="B144" s="300"/>
      <c r="C144" s="300"/>
      <c r="D144" s="202" t="s">
        <v>39</v>
      </c>
      <c r="E144" s="202" t="s">
        <v>40</v>
      </c>
      <c r="F144" s="202" t="s">
        <v>116</v>
      </c>
      <c r="G144" s="202" t="s">
        <v>117</v>
      </c>
      <c r="H144" s="202" t="s">
        <v>115</v>
      </c>
      <c r="I144" s="202" t="s">
        <v>119</v>
      </c>
      <c r="J144" s="202" t="s">
        <v>300</v>
      </c>
      <c r="K144" s="214" t="s">
        <v>298</v>
      </c>
      <c r="L144" s="202" t="s">
        <v>299</v>
      </c>
      <c r="M144" s="202" t="s">
        <v>121</v>
      </c>
      <c r="N144" s="202" t="s">
        <v>118</v>
      </c>
      <c r="O144" s="202" t="s">
        <v>122</v>
      </c>
      <c r="P144" s="202" t="s">
        <v>124</v>
      </c>
      <c r="Q144" s="214" t="s">
        <v>38</v>
      </c>
    </row>
    <row r="145" spans="2:17" ht="21.75" customHeight="1" x14ac:dyDescent="0.3">
      <c r="B145" s="292" t="s">
        <v>20</v>
      </c>
      <c r="C145" s="292"/>
      <c r="D145" s="86">
        <v>11.894302530057356</v>
      </c>
      <c r="E145" s="86">
        <v>6.809943896638436</v>
      </c>
      <c r="F145" s="88">
        <v>7.3157267599870472</v>
      </c>
      <c r="G145" s="88">
        <v>12.906338818709026</v>
      </c>
      <c r="H145" s="88">
        <v>7.469851614883523</v>
      </c>
      <c r="I145" s="86">
        <v>0.8698778622061264</v>
      </c>
      <c r="J145" s="86">
        <v>5.8943607751255023</v>
      </c>
      <c r="K145" s="92">
        <v>14.644675768551988</v>
      </c>
      <c r="L145" s="86">
        <v>2.8973735488428223</v>
      </c>
      <c r="M145" s="88">
        <v>3.1297043338828252</v>
      </c>
      <c r="N145" s="86">
        <v>22.23395347326565</v>
      </c>
      <c r="O145" s="86">
        <v>1.3957504560843705</v>
      </c>
      <c r="P145" s="86">
        <v>1.2437156220848533</v>
      </c>
      <c r="Q145" s="92">
        <v>1.2944245396802538</v>
      </c>
    </row>
    <row r="146" spans="2:17" x14ac:dyDescent="0.3">
      <c r="B146" s="296" t="s">
        <v>5</v>
      </c>
      <c r="C146" s="13" t="s">
        <v>0</v>
      </c>
      <c r="D146" s="84">
        <v>11.989357292136523</v>
      </c>
      <c r="E146" s="84">
        <v>7.2159723692091617</v>
      </c>
      <c r="F146" s="89">
        <v>5.9280274802016484</v>
      </c>
      <c r="G146" s="89">
        <v>14.43810402856357</v>
      </c>
      <c r="H146" s="89">
        <v>8.3686837357656145</v>
      </c>
      <c r="I146" s="84">
        <v>0.81008390363407445</v>
      </c>
      <c r="J146" s="84">
        <v>6.8486076585407663</v>
      </c>
      <c r="K146" s="93">
        <v>9.9744933390724242</v>
      </c>
      <c r="L146" s="84">
        <v>2.3548603697595656</v>
      </c>
      <c r="M146" s="89">
        <v>2.2835403582245286</v>
      </c>
      <c r="N146" s="84">
        <v>26.408628622260082</v>
      </c>
      <c r="O146" s="84">
        <v>0.62299588453487997</v>
      </c>
      <c r="P146" s="84">
        <v>1.8888760830047511</v>
      </c>
      <c r="Q146" s="93">
        <v>0.86776887509244194</v>
      </c>
    </row>
    <row r="147" spans="2:17" x14ac:dyDescent="0.3">
      <c r="B147" s="295"/>
      <c r="C147" s="12" t="s">
        <v>1</v>
      </c>
      <c r="D147" s="90">
        <v>11.831917394888352</v>
      </c>
      <c r="E147" s="90">
        <v>6.5434644421665284</v>
      </c>
      <c r="F147" s="91">
        <v>8.2264839408985697</v>
      </c>
      <c r="G147" s="91">
        <v>11.9010301148225</v>
      </c>
      <c r="H147" s="91">
        <v>6.8799415238054173</v>
      </c>
      <c r="I147" s="90">
        <v>0.90912107428954492</v>
      </c>
      <c r="J147" s="90">
        <v>5.2680815703346617</v>
      </c>
      <c r="K147" s="94">
        <v>17.709750634392542</v>
      </c>
      <c r="L147" s="90">
        <v>3.2534289138536203</v>
      </c>
      <c r="M147" s="91">
        <v>3.6850479362651831</v>
      </c>
      <c r="N147" s="90">
        <v>19.494083657589663</v>
      </c>
      <c r="O147" s="90">
        <v>1.9029149299534678</v>
      </c>
      <c r="P147" s="90">
        <v>0.8202920956895513</v>
      </c>
      <c r="Q147" s="94">
        <v>1.5744417710504479</v>
      </c>
    </row>
    <row r="148" spans="2:17" x14ac:dyDescent="0.3">
      <c r="B148" s="296" t="s">
        <v>4</v>
      </c>
      <c r="C148" s="9" t="s">
        <v>175</v>
      </c>
      <c r="D148" s="86">
        <v>14.757055818868171</v>
      </c>
      <c r="E148" s="86">
        <v>5.8337050038000759</v>
      </c>
      <c r="F148" s="88">
        <v>11.401501813669862</v>
      </c>
      <c r="G148" s="88">
        <v>5.4753392708569706</v>
      </c>
      <c r="H148" s="88">
        <v>2.3222578196882524</v>
      </c>
      <c r="I148" s="86">
        <v>0</v>
      </c>
      <c r="J148" s="86">
        <v>7.8485133046369659</v>
      </c>
      <c r="K148" s="92">
        <v>35.688576631102208</v>
      </c>
      <c r="L148" s="86">
        <v>3.1941931001822681</v>
      </c>
      <c r="M148" s="88">
        <v>1.6265071672914695</v>
      </c>
      <c r="N148" s="86">
        <v>6.0954164386040262</v>
      </c>
      <c r="O148" s="86">
        <v>0</v>
      </c>
      <c r="P148" s="86">
        <v>4.5311618982883113</v>
      </c>
      <c r="Q148" s="92">
        <v>1.2257717330114009</v>
      </c>
    </row>
    <row r="149" spans="2:17" x14ac:dyDescent="0.3">
      <c r="B149" s="292"/>
      <c r="C149" s="9" t="s">
        <v>176</v>
      </c>
      <c r="D149" s="86">
        <v>10.422696884607362</v>
      </c>
      <c r="E149" s="86">
        <v>8.4173698804621928</v>
      </c>
      <c r="F149" s="88">
        <v>8.8386340473657334</v>
      </c>
      <c r="G149" s="88">
        <v>5.0908800974354582</v>
      </c>
      <c r="H149" s="88">
        <v>4.7912866925438014</v>
      </c>
      <c r="I149" s="86">
        <v>1.6344220499652988</v>
      </c>
      <c r="J149" s="86">
        <v>4.4067397351803388</v>
      </c>
      <c r="K149" s="92">
        <v>34.67970982111602</v>
      </c>
      <c r="L149" s="86">
        <v>5.4921166917342301</v>
      </c>
      <c r="M149" s="88">
        <v>2.2501537578076842</v>
      </c>
      <c r="N149" s="86">
        <v>11.012197671196818</v>
      </c>
      <c r="O149" s="86">
        <v>0</v>
      </c>
      <c r="P149" s="86">
        <v>1.4408981030986747</v>
      </c>
      <c r="Q149" s="92">
        <v>1.5228945674863419</v>
      </c>
    </row>
    <row r="150" spans="2:17" x14ac:dyDescent="0.3">
      <c r="B150" s="292"/>
      <c r="C150" s="9" t="s">
        <v>177</v>
      </c>
      <c r="D150" s="86">
        <v>10.740411716791645</v>
      </c>
      <c r="E150" s="86">
        <v>6.1413851633680325</v>
      </c>
      <c r="F150" s="88">
        <v>10.789595008991713</v>
      </c>
      <c r="G150" s="88">
        <v>8.9236128483821098</v>
      </c>
      <c r="H150" s="88">
        <v>8.6200763018099416</v>
      </c>
      <c r="I150" s="86">
        <v>0.49813929730630152</v>
      </c>
      <c r="J150" s="86">
        <v>3.6013998688207116</v>
      </c>
      <c r="K150" s="92">
        <v>14.621816287510303</v>
      </c>
      <c r="L150" s="86">
        <v>2.9569486566566461</v>
      </c>
      <c r="M150" s="88">
        <v>2.6813418259972677</v>
      </c>
      <c r="N150" s="86">
        <v>24.702303876991394</v>
      </c>
      <c r="O150" s="86">
        <v>1.9351221238131151</v>
      </c>
      <c r="P150" s="86">
        <v>1.6907340801525796</v>
      </c>
      <c r="Q150" s="92">
        <v>2.0971129434082769</v>
      </c>
    </row>
    <row r="151" spans="2:17" x14ac:dyDescent="0.3">
      <c r="B151" s="292"/>
      <c r="C151" s="9" t="s">
        <v>178</v>
      </c>
      <c r="D151" s="86">
        <v>14.959404989282815</v>
      </c>
      <c r="E151" s="86">
        <v>4.9720426080401943</v>
      </c>
      <c r="F151" s="88">
        <v>5.8548799094658852</v>
      </c>
      <c r="G151" s="88">
        <v>14.651778352852466</v>
      </c>
      <c r="H151" s="88">
        <v>6.9800190098038204</v>
      </c>
      <c r="I151" s="86">
        <v>1.8686703390476376</v>
      </c>
      <c r="J151" s="86">
        <v>6.0357514791526148</v>
      </c>
      <c r="K151" s="92">
        <v>8.6271237154669347</v>
      </c>
      <c r="L151" s="86">
        <v>1.3515713816320871</v>
      </c>
      <c r="M151" s="88">
        <v>4.6590573142260885</v>
      </c>
      <c r="N151" s="86">
        <v>28.251961532176047</v>
      </c>
      <c r="O151" s="86">
        <v>0.44338299831526534</v>
      </c>
      <c r="P151" s="86">
        <v>0.89893709114291387</v>
      </c>
      <c r="Q151" s="92">
        <v>0.44541927939513754</v>
      </c>
    </row>
    <row r="152" spans="2:17" x14ac:dyDescent="0.3">
      <c r="B152" s="292"/>
      <c r="C152" s="9" t="s">
        <v>179</v>
      </c>
      <c r="D152" s="86">
        <v>10.628317953911463</v>
      </c>
      <c r="E152" s="86">
        <v>8.6817780213693325</v>
      </c>
      <c r="F152" s="88">
        <v>4.5185777355816432</v>
      </c>
      <c r="G152" s="88">
        <v>12.784278273515056</v>
      </c>
      <c r="H152" s="88">
        <v>8.2925675329604509</v>
      </c>
      <c r="I152" s="86">
        <v>0.47614055712033398</v>
      </c>
      <c r="J152" s="86">
        <v>4.6785470592840586</v>
      </c>
      <c r="K152" s="92">
        <v>3.3027349036560771</v>
      </c>
      <c r="L152" s="86">
        <v>2.0101024321049881</v>
      </c>
      <c r="M152" s="88">
        <v>3.5369889230716662</v>
      </c>
      <c r="N152" s="86">
        <v>35.093821075761134</v>
      </c>
      <c r="O152" s="86">
        <v>3.9759629762748667</v>
      </c>
      <c r="P152" s="86">
        <v>0.35078357376381392</v>
      </c>
      <c r="Q152" s="92">
        <v>1.6693989816251475</v>
      </c>
    </row>
    <row r="153" spans="2:17" x14ac:dyDescent="0.3">
      <c r="B153" s="298"/>
      <c r="C153" s="12" t="s">
        <v>180</v>
      </c>
      <c r="D153" s="90">
        <v>11.565808645049069</v>
      </c>
      <c r="E153" s="90">
        <v>6.213788834612668</v>
      </c>
      <c r="F153" s="91">
        <v>4.6955753794866455</v>
      </c>
      <c r="G153" s="91">
        <v>27.88394982275917</v>
      </c>
      <c r="H153" s="91">
        <v>10.969618266316983</v>
      </c>
      <c r="I153" s="90">
        <v>0</v>
      </c>
      <c r="J153" s="90">
        <v>10.829006177317611</v>
      </c>
      <c r="K153" s="94">
        <v>2.9671181136064675</v>
      </c>
      <c r="L153" s="90">
        <v>2.558041329725917</v>
      </c>
      <c r="M153" s="91">
        <v>2.9751895900226715</v>
      </c>
      <c r="N153" s="90">
        <v>16.893823155862588</v>
      </c>
      <c r="O153" s="90">
        <v>1.1580024756762</v>
      </c>
      <c r="P153" s="90">
        <v>0.59374957672849782</v>
      </c>
      <c r="Q153" s="94">
        <v>0.69632863283550861</v>
      </c>
    </row>
    <row r="154" spans="2:17" x14ac:dyDescent="0.3">
      <c r="B154" s="292" t="s">
        <v>223</v>
      </c>
      <c r="C154" s="9" t="s">
        <v>210</v>
      </c>
      <c r="D154" s="86">
        <v>18.778715263259624</v>
      </c>
      <c r="E154" s="86">
        <v>7.0034562681617532</v>
      </c>
      <c r="F154" s="88">
        <v>9.0924832237412048</v>
      </c>
      <c r="G154" s="88">
        <v>2.8093126099034431</v>
      </c>
      <c r="H154" s="88">
        <v>6.1732567380057155</v>
      </c>
      <c r="I154" s="86">
        <v>0</v>
      </c>
      <c r="J154" s="86">
        <v>11.043372696391943</v>
      </c>
      <c r="K154" s="92">
        <v>26.645331696196838</v>
      </c>
      <c r="L154" s="86">
        <v>2.085143073041217</v>
      </c>
      <c r="M154" s="88">
        <v>4.3237431454723527</v>
      </c>
      <c r="N154" s="86">
        <v>0</v>
      </c>
      <c r="O154" s="86">
        <v>0</v>
      </c>
      <c r="P154" s="86">
        <v>12.045185285825905</v>
      </c>
      <c r="Q154" s="92">
        <v>0</v>
      </c>
    </row>
    <row r="155" spans="2:17" x14ac:dyDescent="0.3">
      <c r="B155" s="292"/>
      <c r="C155" s="9" t="s">
        <v>211</v>
      </c>
      <c r="D155" s="86">
        <v>13.644394169567098</v>
      </c>
      <c r="E155" s="86">
        <v>8.2742225398608049</v>
      </c>
      <c r="F155" s="88">
        <v>4.5602078529525008</v>
      </c>
      <c r="G155" s="88">
        <v>7.8615281703329032</v>
      </c>
      <c r="H155" s="88">
        <v>3.7475477378377335</v>
      </c>
      <c r="I155" s="86">
        <v>3.559080228617542</v>
      </c>
      <c r="J155" s="86">
        <v>6.1184864492781399</v>
      </c>
      <c r="K155" s="92">
        <v>28.892099291611768</v>
      </c>
      <c r="L155" s="86">
        <v>2.148111159697339</v>
      </c>
      <c r="M155" s="88">
        <v>2.6580922019726452</v>
      </c>
      <c r="N155" s="86">
        <v>14.31054428807577</v>
      </c>
      <c r="O155" s="86">
        <v>0</v>
      </c>
      <c r="P155" s="86">
        <v>4.2256859101957671</v>
      </c>
      <c r="Q155" s="92">
        <v>0</v>
      </c>
    </row>
    <row r="156" spans="2:17" x14ac:dyDescent="0.3">
      <c r="B156" s="292"/>
      <c r="C156" s="9" t="s">
        <v>212</v>
      </c>
      <c r="D156" s="86">
        <v>8.1701210581703929</v>
      </c>
      <c r="E156" s="86">
        <v>8.5714281964396335</v>
      </c>
      <c r="F156" s="88">
        <v>7.8162535651444776</v>
      </c>
      <c r="G156" s="88">
        <v>11.203956480208479</v>
      </c>
      <c r="H156" s="88">
        <v>10.912250182085462</v>
      </c>
      <c r="I156" s="86">
        <v>0</v>
      </c>
      <c r="J156" s="86">
        <v>3.9496956403686849</v>
      </c>
      <c r="K156" s="92">
        <v>10.134865761580874</v>
      </c>
      <c r="L156" s="86">
        <v>5.2118337991238999</v>
      </c>
      <c r="M156" s="88">
        <v>3.7478958572926713</v>
      </c>
      <c r="N156" s="86">
        <v>24.117625091159038</v>
      </c>
      <c r="O156" s="86">
        <v>1.2970837496200844</v>
      </c>
      <c r="P156" s="86">
        <v>2.404641519006975</v>
      </c>
      <c r="Q156" s="92">
        <v>2.4623490997993471</v>
      </c>
    </row>
    <row r="157" spans="2:17" x14ac:dyDescent="0.3">
      <c r="B157" s="292"/>
      <c r="C157" s="9" t="s">
        <v>213</v>
      </c>
      <c r="D157" s="86">
        <v>16.081293649748826</v>
      </c>
      <c r="E157" s="86">
        <v>5.2244797534594349</v>
      </c>
      <c r="F157" s="88">
        <v>8.1189886005855474</v>
      </c>
      <c r="G157" s="88">
        <v>13.009013573056885</v>
      </c>
      <c r="H157" s="88">
        <v>9.1572023905273614</v>
      </c>
      <c r="I157" s="86">
        <v>0</v>
      </c>
      <c r="J157" s="86">
        <v>5.1594113496142295</v>
      </c>
      <c r="K157" s="92">
        <v>5.4335832187563682</v>
      </c>
      <c r="L157" s="86">
        <v>1.0977642401933307</v>
      </c>
      <c r="M157" s="88">
        <v>1.249795840582832</v>
      </c>
      <c r="N157" s="86">
        <v>35.468467383475236</v>
      </c>
      <c r="O157" s="86">
        <v>0</v>
      </c>
      <c r="P157" s="86">
        <v>0</v>
      </c>
      <c r="Q157" s="92">
        <v>0</v>
      </c>
    </row>
    <row r="158" spans="2:17" x14ac:dyDescent="0.3">
      <c r="B158" s="292"/>
      <c r="C158" s="9" t="s">
        <v>214</v>
      </c>
      <c r="D158" s="86">
        <v>8.6420147705082915</v>
      </c>
      <c r="E158" s="86">
        <v>8.9596094216006943</v>
      </c>
      <c r="F158" s="88">
        <v>5.4909670641830886</v>
      </c>
      <c r="G158" s="88">
        <v>15.985897674628241</v>
      </c>
      <c r="H158" s="88">
        <v>6.5145608225586473</v>
      </c>
      <c r="I158" s="86">
        <v>1.0609380400134418</v>
      </c>
      <c r="J158" s="86">
        <v>3.6811146489978128</v>
      </c>
      <c r="K158" s="92">
        <v>0.69403511821523667</v>
      </c>
      <c r="L158" s="86">
        <v>1.4739217678526395</v>
      </c>
      <c r="M158" s="88">
        <v>1.4759094138228412</v>
      </c>
      <c r="N158" s="86">
        <v>43.138220194765076</v>
      </c>
      <c r="O158" s="86">
        <v>0.92114943088258439</v>
      </c>
      <c r="P158" s="86">
        <v>0</v>
      </c>
      <c r="Q158" s="92">
        <v>1.9616616319714282</v>
      </c>
    </row>
    <row r="159" spans="2:17" x14ac:dyDescent="0.3">
      <c r="B159" s="292"/>
      <c r="C159" s="12" t="s">
        <v>215</v>
      </c>
      <c r="D159" s="90">
        <v>11.109466784540517</v>
      </c>
      <c r="E159" s="90">
        <v>5.0647545694468592</v>
      </c>
      <c r="F159" s="91">
        <v>1.8047790243928694</v>
      </c>
      <c r="G159" s="91">
        <v>28.666204632713587</v>
      </c>
      <c r="H159" s="91">
        <v>12.287196429316198</v>
      </c>
      <c r="I159" s="90">
        <v>0</v>
      </c>
      <c r="J159" s="90">
        <v>15.334037379227244</v>
      </c>
      <c r="K159" s="94">
        <v>2.393674556546423</v>
      </c>
      <c r="L159" s="90">
        <v>2.2080913446917863</v>
      </c>
      <c r="M159" s="91">
        <v>1.8636943475722292</v>
      </c>
      <c r="N159" s="90">
        <v>18.133341180491119</v>
      </c>
      <c r="O159" s="90">
        <v>1.1347597510611656</v>
      </c>
      <c r="P159" s="90">
        <v>0</v>
      </c>
      <c r="Q159" s="94">
        <v>0</v>
      </c>
    </row>
    <row r="160" spans="2:17" x14ac:dyDescent="0.3">
      <c r="B160" s="292"/>
      <c r="C160" s="9" t="s">
        <v>216</v>
      </c>
      <c r="D160" s="86">
        <v>12.331885027872055</v>
      </c>
      <c r="E160" s="86">
        <v>5.1283129540040795</v>
      </c>
      <c r="F160" s="88">
        <v>12.793903263268335</v>
      </c>
      <c r="G160" s="88">
        <v>7.0830263650932093</v>
      </c>
      <c r="H160" s="88">
        <v>0</v>
      </c>
      <c r="I160" s="86">
        <v>0</v>
      </c>
      <c r="J160" s="86">
        <v>5.9219255899489038</v>
      </c>
      <c r="K160" s="92">
        <v>41.141901005084549</v>
      </c>
      <c r="L160" s="86">
        <v>3.8629806414363803</v>
      </c>
      <c r="M160" s="88">
        <v>0</v>
      </c>
      <c r="N160" s="86">
        <v>9.7711194935893122</v>
      </c>
      <c r="O160" s="86">
        <v>0</v>
      </c>
      <c r="P160" s="86">
        <v>0</v>
      </c>
      <c r="Q160" s="92">
        <v>1.9649456597031896</v>
      </c>
    </row>
    <row r="161" spans="2:17" x14ac:dyDescent="0.3">
      <c r="B161" s="292"/>
      <c r="C161" s="9" t="s">
        <v>217</v>
      </c>
      <c r="D161" s="86">
        <v>8.7557341469703918</v>
      </c>
      <c r="E161" s="86">
        <v>8.4914368276854297</v>
      </c>
      <c r="F161" s="88">
        <v>11.052366875434952</v>
      </c>
      <c r="G161" s="88">
        <v>3.6572981410588694</v>
      </c>
      <c r="H161" s="88">
        <v>5.3313355523288815</v>
      </c>
      <c r="I161" s="86">
        <v>0.63857011766880056</v>
      </c>
      <c r="J161" s="86">
        <v>3.5210519326687435</v>
      </c>
      <c r="K161" s="92">
        <v>37.674321120470196</v>
      </c>
      <c r="L161" s="86">
        <v>7.2223638637391216</v>
      </c>
      <c r="M161" s="88">
        <v>2.0390792447405488</v>
      </c>
      <c r="N161" s="86">
        <v>9.3055752235148983</v>
      </c>
      <c r="O161" s="86">
        <v>0</v>
      </c>
      <c r="P161" s="86">
        <v>0</v>
      </c>
      <c r="Q161" s="92">
        <v>2.3108669537191595</v>
      </c>
    </row>
    <row r="162" spans="2:17" x14ac:dyDescent="0.3">
      <c r="B162" s="292"/>
      <c r="C162" s="9" t="s">
        <v>218</v>
      </c>
      <c r="D162" s="86">
        <v>12.27373423477788</v>
      </c>
      <c r="E162" s="86">
        <v>4.6917282190118144</v>
      </c>
      <c r="F162" s="88">
        <v>12.563359923173925</v>
      </c>
      <c r="G162" s="88">
        <v>7.5632599919073424</v>
      </c>
      <c r="H162" s="88">
        <v>7.2526660387031203</v>
      </c>
      <c r="I162" s="86">
        <v>0.79530732345603916</v>
      </c>
      <c r="J162" s="86">
        <v>3.3936219089068866</v>
      </c>
      <c r="K162" s="92">
        <v>17.298533901302779</v>
      </c>
      <c r="L162" s="86">
        <v>1.6117832167790218</v>
      </c>
      <c r="M162" s="88">
        <v>2.0450825347187251</v>
      </c>
      <c r="N162" s="86">
        <v>25.051097561121484</v>
      </c>
      <c r="O162" s="86">
        <v>2.315747794769055</v>
      </c>
      <c r="P162" s="86">
        <v>1.2648482574415789</v>
      </c>
      <c r="Q162" s="92">
        <v>1.8792290939305036</v>
      </c>
    </row>
    <row r="163" spans="2:17" x14ac:dyDescent="0.3">
      <c r="B163" s="292"/>
      <c r="C163" s="9" t="s">
        <v>219</v>
      </c>
      <c r="D163" s="86">
        <v>14.145904834780747</v>
      </c>
      <c r="E163" s="86">
        <v>4.7889962291639598</v>
      </c>
      <c r="F163" s="88">
        <v>4.2131369852881102</v>
      </c>
      <c r="G163" s="88">
        <v>15.842974457481244</v>
      </c>
      <c r="H163" s="88">
        <v>5.4013070760703341</v>
      </c>
      <c r="I163" s="86">
        <v>3.2236743274980397</v>
      </c>
      <c r="J163" s="86">
        <v>6.6712003038869119</v>
      </c>
      <c r="K163" s="92">
        <v>10.942813123009028</v>
      </c>
      <c r="L163" s="86">
        <v>1.5356111674414907</v>
      </c>
      <c r="M163" s="88">
        <v>7.1311695953100038</v>
      </c>
      <c r="N163" s="86">
        <v>23.019152937285256</v>
      </c>
      <c r="O163" s="86">
        <v>0.76488739562617414</v>
      </c>
      <c r="P163" s="86">
        <v>1.5507713491241444</v>
      </c>
      <c r="Q163" s="92">
        <v>0.76840021803448599</v>
      </c>
    </row>
    <row r="164" spans="2:17" x14ac:dyDescent="0.3">
      <c r="B164" s="292"/>
      <c r="C164" s="9" t="s">
        <v>220</v>
      </c>
      <c r="D164" s="86">
        <v>12.245560729438859</v>
      </c>
      <c r="E164" s="86">
        <v>8.455568433330015</v>
      </c>
      <c r="F164" s="88">
        <v>3.7268609272813809</v>
      </c>
      <c r="G164" s="88">
        <v>10.177528261884214</v>
      </c>
      <c r="H164" s="88">
        <v>9.7402158734871644</v>
      </c>
      <c r="I164" s="86">
        <v>0</v>
      </c>
      <c r="J164" s="86">
        <v>5.4906538781678522</v>
      </c>
      <c r="K164" s="92">
        <v>5.426731339233311</v>
      </c>
      <c r="L164" s="86">
        <v>2.4466593046333354</v>
      </c>
      <c r="M164" s="88">
        <v>5.2151143844673671</v>
      </c>
      <c r="N164" s="86">
        <v>28.544092682143933</v>
      </c>
      <c r="O164" s="86">
        <v>6.4631840501516322</v>
      </c>
      <c r="P164" s="86">
        <v>0.6363906277037048</v>
      </c>
      <c r="Q164" s="92">
        <v>1.4314395080773119</v>
      </c>
    </row>
    <row r="165" spans="2:17" x14ac:dyDescent="0.3">
      <c r="B165" s="295"/>
      <c r="C165" s="9" t="s">
        <v>221</v>
      </c>
      <c r="D165" s="86">
        <v>11.878816387176755</v>
      </c>
      <c r="E165" s="86">
        <v>7.0019186383656953</v>
      </c>
      <c r="F165" s="88">
        <v>6.6783907167657723</v>
      </c>
      <c r="G165" s="88">
        <v>27.347396346031239</v>
      </c>
      <c r="H165" s="88">
        <v>10.065883146734631</v>
      </c>
      <c r="I165" s="86">
        <v>0</v>
      </c>
      <c r="J165" s="86">
        <v>7.7389770418070682</v>
      </c>
      <c r="K165" s="92">
        <v>3.3604466433034919</v>
      </c>
      <c r="L165" s="86">
        <v>2.798074217682069</v>
      </c>
      <c r="M165" s="88">
        <v>3.7375711428290868</v>
      </c>
      <c r="N165" s="86">
        <v>16.043629974410475</v>
      </c>
      <c r="O165" s="86">
        <v>1.1739448061574316</v>
      </c>
      <c r="P165" s="86">
        <v>1.0010061325788544</v>
      </c>
      <c r="Q165" s="92">
        <v>1.1739448061574316</v>
      </c>
    </row>
    <row r="166" spans="2:17" ht="16.5" customHeight="1" x14ac:dyDescent="0.3">
      <c r="B166" s="291" t="s">
        <v>222</v>
      </c>
      <c r="C166" s="13" t="s">
        <v>226</v>
      </c>
      <c r="D166" s="84">
        <v>7.6836598278881274</v>
      </c>
      <c r="E166" s="84">
        <v>7.3055655589525257</v>
      </c>
      <c r="F166" s="89">
        <v>6.9986830098008239</v>
      </c>
      <c r="G166" s="89">
        <v>14.301725761311474</v>
      </c>
      <c r="H166" s="89">
        <v>5.13528200981587</v>
      </c>
      <c r="I166" s="84">
        <v>1.1405035822487066</v>
      </c>
      <c r="J166" s="84">
        <v>7.6027662298457255</v>
      </c>
      <c r="K166" s="93">
        <v>14.841740550098228</v>
      </c>
      <c r="L166" s="84">
        <v>2.2383632656858752</v>
      </c>
      <c r="M166" s="89">
        <v>2.535675730766759</v>
      </c>
      <c r="N166" s="84">
        <v>24.773880162135544</v>
      </c>
      <c r="O166" s="84">
        <v>2.0071074893306924</v>
      </c>
      <c r="P166" s="84">
        <v>2.1964579707939986</v>
      </c>
      <c r="Q166" s="93">
        <v>1.2385888513256009</v>
      </c>
    </row>
    <row r="167" spans="2:17" ht="16.5" customHeight="1" x14ac:dyDescent="0.3">
      <c r="B167" s="294"/>
      <c r="C167" s="9" t="s">
        <v>227</v>
      </c>
      <c r="D167" s="86">
        <v>7.8018045161721918</v>
      </c>
      <c r="E167" s="86">
        <v>5.7247489004865653</v>
      </c>
      <c r="F167" s="88">
        <v>7.9807202791322336</v>
      </c>
      <c r="G167" s="88">
        <v>14.064172238205009</v>
      </c>
      <c r="H167" s="88">
        <v>6.7091940201068399</v>
      </c>
      <c r="I167" s="86">
        <v>1.2032474480030995</v>
      </c>
      <c r="J167" s="86">
        <v>6.3756749881321451</v>
      </c>
      <c r="K167" s="92">
        <v>13.730341616721603</v>
      </c>
      <c r="L167" s="86">
        <v>2.1023225870412561</v>
      </c>
      <c r="M167" s="88">
        <v>3.1759669157045916</v>
      </c>
      <c r="N167" s="86">
        <v>28.294347856774248</v>
      </c>
      <c r="O167" s="86">
        <v>0.77144964197540478</v>
      </c>
      <c r="P167" s="86">
        <v>0.28684415491356685</v>
      </c>
      <c r="Q167" s="92">
        <v>1.7791648366312567</v>
      </c>
    </row>
    <row r="168" spans="2:17" x14ac:dyDescent="0.3">
      <c r="B168" s="292"/>
      <c r="C168" s="9" t="s">
        <v>228</v>
      </c>
      <c r="D168" s="86">
        <v>16.206923094621278</v>
      </c>
      <c r="E168" s="86">
        <v>8.7825876172750785</v>
      </c>
      <c r="F168" s="88">
        <v>7.0457036618267574</v>
      </c>
      <c r="G168" s="88">
        <v>13.199734349972111</v>
      </c>
      <c r="H168" s="88">
        <v>7.5976090197962378</v>
      </c>
      <c r="I168" s="86">
        <v>0.4899236968410729</v>
      </c>
      <c r="J168" s="86">
        <v>4.7657255838914825</v>
      </c>
      <c r="K168" s="92">
        <v>12.961191850764948</v>
      </c>
      <c r="L168" s="86">
        <v>3.4299673187785658</v>
      </c>
      <c r="M168" s="88">
        <v>2.3398469156329766</v>
      </c>
      <c r="N168" s="86">
        <v>19.698868510003496</v>
      </c>
      <c r="O168" s="86">
        <v>1.2181331292882733</v>
      </c>
      <c r="P168" s="86">
        <v>0.94359649138677038</v>
      </c>
      <c r="Q168" s="92">
        <v>1.3201887599209607</v>
      </c>
    </row>
    <row r="169" spans="2:17" x14ac:dyDescent="0.3">
      <c r="B169" s="295"/>
      <c r="C169" s="12" t="s">
        <v>229</v>
      </c>
      <c r="D169" s="90">
        <v>18.876390477985449</v>
      </c>
      <c r="E169" s="90">
        <v>6.0053395670264376</v>
      </c>
      <c r="F169" s="91">
        <v>7.1020291497828989</v>
      </c>
      <c r="G169" s="91">
        <v>9.5092764318902372</v>
      </c>
      <c r="H169" s="91">
        <v>11.228648729647905</v>
      </c>
      <c r="I169" s="90">
        <v>0.41375394392673154</v>
      </c>
      <c r="J169" s="90">
        <v>4.0341178327848048</v>
      </c>
      <c r="K169" s="94">
        <v>16.820753989063896</v>
      </c>
      <c r="L169" s="90">
        <v>4.2900562102935051</v>
      </c>
      <c r="M169" s="91">
        <v>4.4246853838385789</v>
      </c>
      <c r="N169" s="90">
        <v>13.550446768183694</v>
      </c>
      <c r="O169" s="90">
        <v>1.5360685344173786</v>
      </c>
      <c r="P169" s="90">
        <v>1.460613010831078</v>
      </c>
      <c r="Q169" s="94">
        <v>0.74781997032739533</v>
      </c>
    </row>
    <row r="170" spans="2:17" x14ac:dyDescent="0.3">
      <c r="B170" s="296" t="s">
        <v>199</v>
      </c>
      <c r="C170" s="13" t="s">
        <v>192</v>
      </c>
      <c r="D170" s="84">
        <v>11.878400036010857</v>
      </c>
      <c r="E170" s="84">
        <v>8.3924060652524002</v>
      </c>
      <c r="F170" s="89">
        <v>7.8251456490219553</v>
      </c>
      <c r="G170" s="89">
        <v>11.23408205286664</v>
      </c>
      <c r="H170" s="89">
        <v>8.2428299413184689</v>
      </c>
      <c r="I170" s="84">
        <v>1.3740834679146368</v>
      </c>
      <c r="J170" s="84">
        <v>5.1960364265635146</v>
      </c>
      <c r="K170" s="93">
        <v>16.64580312346386</v>
      </c>
      <c r="L170" s="84">
        <v>3.0218731039020459</v>
      </c>
      <c r="M170" s="89">
        <v>2.7054156520149708</v>
      </c>
      <c r="N170" s="84">
        <v>19.598585178646395</v>
      </c>
      <c r="O170" s="84">
        <v>1.348603625973757</v>
      </c>
      <c r="P170" s="84">
        <v>1.5343836518787275</v>
      </c>
      <c r="Q170" s="93">
        <v>1.0023520251720757</v>
      </c>
    </row>
    <row r="171" spans="2:17" x14ac:dyDescent="0.3">
      <c r="B171" s="292"/>
      <c r="C171" s="9" t="s">
        <v>200</v>
      </c>
      <c r="D171" s="86">
        <v>6.8828528003276741</v>
      </c>
      <c r="E171" s="86">
        <v>1.0039189560210118</v>
      </c>
      <c r="F171" s="88">
        <v>7.5551442917574461</v>
      </c>
      <c r="G171" s="88">
        <v>28.364991388604892</v>
      </c>
      <c r="H171" s="88">
        <v>4.6016457174849883</v>
      </c>
      <c r="I171" s="86">
        <v>0</v>
      </c>
      <c r="J171" s="86">
        <v>7.9615184037861528</v>
      </c>
      <c r="K171" s="92">
        <v>14.66842442727282</v>
      </c>
      <c r="L171" s="86">
        <v>1.9399316209849728</v>
      </c>
      <c r="M171" s="88">
        <v>1.637826781500612</v>
      </c>
      <c r="N171" s="86">
        <v>25.383745612259467</v>
      </c>
      <c r="O171" s="86">
        <v>0</v>
      </c>
      <c r="P171" s="86">
        <v>0</v>
      </c>
      <c r="Q171" s="92">
        <v>0</v>
      </c>
    </row>
    <row r="172" spans="2:17" x14ac:dyDescent="0.3">
      <c r="B172" s="292"/>
      <c r="C172" s="9" t="s">
        <v>201</v>
      </c>
      <c r="D172" s="86">
        <v>14.070501211974316</v>
      </c>
      <c r="E172" s="86">
        <v>4.15072952962492</v>
      </c>
      <c r="F172" s="88">
        <v>6.282597917393991</v>
      </c>
      <c r="G172" s="88">
        <v>7.9516242230589453</v>
      </c>
      <c r="H172" s="88">
        <v>9.4157409987100689</v>
      </c>
      <c r="I172" s="86">
        <v>0</v>
      </c>
      <c r="J172" s="86">
        <v>4.0863272157337294</v>
      </c>
      <c r="K172" s="92">
        <v>15.834664379992317</v>
      </c>
      <c r="L172" s="86">
        <v>1.3230175948878087</v>
      </c>
      <c r="M172" s="88">
        <v>1.8610467346962467</v>
      </c>
      <c r="N172" s="86">
        <v>28.478077759264615</v>
      </c>
      <c r="O172" s="86">
        <v>3.3194315837690733</v>
      </c>
      <c r="P172" s="86">
        <v>0</v>
      </c>
      <c r="Q172" s="92">
        <v>3.2262408508940124</v>
      </c>
    </row>
    <row r="173" spans="2:17" x14ac:dyDescent="0.3">
      <c r="B173" s="292"/>
      <c r="C173" s="9" t="s">
        <v>202</v>
      </c>
      <c r="D173" s="86">
        <v>8.3925219017853898</v>
      </c>
      <c r="E173" s="86">
        <v>8.1503625353504976</v>
      </c>
      <c r="F173" s="88">
        <v>8.4384637979083497</v>
      </c>
      <c r="G173" s="88">
        <v>7.5641423266761789</v>
      </c>
      <c r="H173" s="88">
        <v>4.2910211307559099</v>
      </c>
      <c r="I173" s="86">
        <v>0</v>
      </c>
      <c r="J173" s="86">
        <v>4.4978921872964337</v>
      </c>
      <c r="K173" s="92">
        <v>13.303493764334165</v>
      </c>
      <c r="L173" s="86">
        <v>5.4990979441803107</v>
      </c>
      <c r="M173" s="88">
        <v>4.0145389714975765</v>
      </c>
      <c r="N173" s="86">
        <v>29.253591204037949</v>
      </c>
      <c r="O173" s="86">
        <v>0</v>
      </c>
      <c r="P173" s="86">
        <v>3.906447915559931</v>
      </c>
      <c r="Q173" s="92">
        <v>2.6884263206172898</v>
      </c>
    </row>
    <row r="174" spans="2:17" x14ac:dyDescent="0.3">
      <c r="B174" s="295"/>
      <c r="C174" s="12" t="s">
        <v>203</v>
      </c>
      <c r="D174" s="90">
        <v>13.010088036077603</v>
      </c>
      <c r="E174" s="90">
        <v>5.1548410982042077</v>
      </c>
      <c r="F174" s="91">
        <v>6.2652724021956043</v>
      </c>
      <c r="G174" s="91">
        <v>16.998543191817362</v>
      </c>
      <c r="H174" s="91">
        <v>6.504620124184604</v>
      </c>
      <c r="I174" s="90">
        <v>0.53404250219962268</v>
      </c>
      <c r="J174" s="90">
        <v>8.0826819665273799</v>
      </c>
      <c r="K174" s="94">
        <v>10.298759386264413</v>
      </c>
      <c r="L174" s="90">
        <v>2.6801056536848997</v>
      </c>
      <c r="M174" s="91">
        <v>4.5466214467026065</v>
      </c>
      <c r="N174" s="90">
        <v>22.904139762430763</v>
      </c>
      <c r="O174" s="90">
        <v>1.4120186099587655</v>
      </c>
      <c r="P174" s="90">
        <v>0.58194003319062049</v>
      </c>
      <c r="Q174" s="94">
        <v>1.0263257865615227</v>
      </c>
    </row>
    <row r="175" spans="2:17" x14ac:dyDescent="0.3">
      <c r="B175" s="291" t="s">
        <v>204</v>
      </c>
      <c r="C175" s="13" t="s">
        <v>192</v>
      </c>
      <c r="D175" s="84">
        <v>11.878400036010857</v>
      </c>
      <c r="E175" s="84">
        <v>8.3924060652524002</v>
      </c>
      <c r="F175" s="89">
        <v>7.8251456490219553</v>
      </c>
      <c r="G175" s="89">
        <v>11.23408205286664</v>
      </c>
      <c r="H175" s="89">
        <v>8.2428299413184689</v>
      </c>
      <c r="I175" s="84">
        <v>1.3740834679146368</v>
      </c>
      <c r="J175" s="84">
        <v>5.1960364265635146</v>
      </c>
      <c r="K175" s="93">
        <v>16.64580312346386</v>
      </c>
      <c r="L175" s="84">
        <v>3.0218731039020459</v>
      </c>
      <c r="M175" s="89">
        <v>2.7054156520149708</v>
      </c>
      <c r="N175" s="84">
        <v>19.598585178646395</v>
      </c>
      <c r="O175" s="84">
        <v>1.348603625973757</v>
      </c>
      <c r="P175" s="84">
        <v>1.5343836518787275</v>
      </c>
      <c r="Q175" s="93">
        <v>1.0023520251720757</v>
      </c>
    </row>
    <row r="176" spans="2:17" x14ac:dyDescent="0.3">
      <c r="B176" s="295"/>
      <c r="C176" s="12" t="s">
        <v>193</v>
      </c>
      <c r="D176" s="90">
        <v>11.912628151371615</v>
      </c>
      <c r="E176" s="90">
        <v>4.9863555738754552</v>
      </c>
      <c r="F176" s="91">
        <v>6.7286856566584632</v>
      </c>
      <c r="G176" s="91">
        <v>14.83340410427145</v>
      </c>
      <c r="H176" s="91">
        <v>6.579091457836471</v>
      </c>
      <c r="I176" s="90">
        <v>0.28884441124721955</v>
      </c>
      <c r="J176" s="90">
        <v>6.6990916260716515</v>
      </c>
      <c r="K176" s="94">
        <v>12.33862855354967</v>
      </c>
      <c r="L176" s="90">
        <v>2.7539034935719178</v>
      </c>
      <c r="M176" s="91">
        <v>3.6186435964324368</v>
      </c>
      <c r="N176" s="90">
        <v>25.270883482440571</v>
      </c>
      <c r="O176" s="90">
        <v>1.4500812391831706</v>
      </c>
      <c r="P176" s="90">
        <v>0.90875733022445804</v>
      </c>
      <c r="Q176" s="94">
        <v>1.6310013232653358</v>
      </c>
    </row>
    <row r="177" spans="2:21" ht="16.5" customHeight="1" x14ac:dyDescent="0.3">
      <c r="B177" s="291" t="s">
        <v>209</v>
      </c>
      <c r="C177" s="13" t="s">
        <v>205</v>
      </c>
      <c r="D177" s="84">
        <v>9.0921512985461206</v>
      </c>
      <c r="E177" s="84">
        <v>5.7565977842329206</v>
      </c>
      <c r="F177" s="89">
        <v>5.8951094456744544</v>
      </c>
      <c r="G177" s="89">
        <v>11.419869941032635</v>
      </c>
      <c r="H177" s="89">
        <v>8.0825615942037388</v>
      </c>
      <c r="I177" s="84">
        <v>0.44308893298983137</v>
      </c>
      <c r="J177" s="84">
        <v>6.6628608222892431</v>
      </c>
      <c r="K177" s="93">
        <v>16.079745245461773</v>
      </c>
      <c r="L177" s="84">
        <v>4.4255914713714279</v>
      </c>
      <c r="M177" s="89">
        <v>0.77103790516423565</v>
      </c>
      <c r="N177" s="84">
        <v>28.302358561005292</v>
      </c>
      <c r="O177" s="84">
        <v>0.68824320335886946</v>
      </c>
      <c r="P177" s="84">
        <v>0.87913741810296364</v>
      </c>
      <c r="Q177" s="93">
        <v>1.5016463765665253</v>
      </c>
    </row>
    <row r="178" spans="2:21" x14ac:dyDescent="0.3">
      <c r="B178" s="292"/>
      <c r="C178" s="9" t="s">
        <v>206</v>
      </c>
      <c r="D178" s="86">
        <v>12.015384933226461</v>
      </c>
      <c r="E178" s="86">
        <v>5.4301361116278217</v>
      </c>
      <c r="F178" s="88">
        <v>7.6039885105667571</v>
      </c>
      <c r="G178" s="88">
        <v>15.712476877379334</v>
      </c>
      <c r="H178" s="88">
        <v>8.8814850955754387</v>
      </c>
      <c r="I178" s="86">
        <v>0.84925527578356852</v>
      </c>
      <c r="J178" s="86">
        <v>6.2333707847299422</v>
      </c>
      <c r="K178" s="92">
        <v>9.3790782649379381</v>
      </c>
      <c r="L178" s="86">
        <v>2.5207164522886663</v>
      </c>
      <c r="M178" s="88">
        <v>2.5825519741027589</v>
      </c>
      <c r="N178" s="86">
        <v>24.281285052436861</v>
      </c>
      <c r="O178" s="86">
        <v>2.0734909037000455</v>
      </c>
      <c r="P178" s="86">
        <v>1.1992054721793046</v>
      </c>
      <c r="Q178" s="92">
        <v>1.237574291465092</v>
      </c>
    </row>
    <row r="179" spans="2:21" x14ac:dyDescent="0.3">
      <c r="B179" s="292"/>
      <c r="C179" s="9" t="s">
        <v>207</v>
      </c>
      <c r="D179" s="86">
        <v>11.498494545125491</v>
      </c>
      <c r="E179" s="86">
        <v>8.4401550344857856</v>
      </c>
      <c r="F179" s="88">
        <v>5.2222271849741597</v>
      </c>
      <c r="G179" s="88">
        <v>13.265447418136231</v>
      </c>
      <c r="H179" s="88">
        <v>6.7809021878073086</v>
      </c>
      <c r="I179" s="86">
        <v>1.1312185043522911</v>
      </c>
      <c r="J179" s="86">
        <v>5.631156370369844</v>
      </c>
      <c r="K179" s="92">
        <v>14.493352771003762</v>
      </c>
      <c r="L179" s="86">
        <v>2.7027755733622758</v>
      </c>
      <c r="M179" s="88">
        <v>6.6262620499468019</v>
      </c>
      <c r="N179" s="86">
        <v>19.041463233768965</v>
      </c>
      <c r="O179" s="86">
        <v>2.3951833943373746</v>
      </c>
      <c r="P179" s="86">
        <v>1.1547498282633017</v>
      </c>
      <c r="Q179" s="92">
        <v>1.6166119040663527</v>
      </c>
    </row>
    <row r="180" spans="2:21" x14ac:dyDescent="0.3">
      <c r="B180" s="293"/>
      <c r="C180" s="25" t="s">
        <v>208</v>
      </c>
      <c r="D180" s="87">
        <v>13.838528706364016</v>
      </c>
      <c r="E180" s="87">
        <v>7.1983776977986196</v>
      </c>
      <c r="F180" s="95">
        <v>9.5829224834014504</v>
      </c>
      <c r="G180" s="95">
        <v>11.553862628878838</v>
      </c>
      <c r="H180" s="95">
        <v>6.613099121946914</v>
      </c>
      <c r="I180" s="87">
        <v>0.94861107084311425</v>
      </c>
      <c r="J180" s="87">
        <v>5.3798129550945566</v>
      </c>
      <c r="K180" s="96">
        <v>17.619633321501123</v>
      </c>
      <c r="L180" s="87">
        <v>2.370846806839833</v>
      </c>
      <c r="M180" s="95">
        <v>2.308508586097791</v>
      </c>
      <c r="N180" s="87">
        <v>19.467933187321112</v>
      </c>
      <c r="O180" s="87">
        <v>0.58834520460254836</v>
      </c>
      <c r="P180" s="87">
        <v>1.5680933977101661</v>
      </c>
      <c r="Q180" s="96">
        <v>0.96142483160001968</v>
      </c>
    </row>
    <row r="181" spans="2:21" x14ac:dyDescent="0.3">
      <c r="B181" s="136"/>
    </row>
    <row r="182" spans="2:21" x14ac:dyDescent="0.3">
      <c r="B182" s="60"/>
      <c r="C182" s="9"/>
      <c r="D182" s="58"/>
      <c r="E182" s="58"/>
      <c r="F182" s="50"/>
      <c r="G182" s="58"/>
      <c r="H182" s="50"/>
      <c r="I182" s="58"/>
      <c r="J182" s="58"/>
      <c r="K182" s="58"/>
      <c r="L182" s="50"/>
      <c r="M182" s="58"/>
      <c r="N182" s="58"/>
    </row>
    <row r="183" spans="2:21" ht="17.25" customHeight="1" x14ac:dyDescent="0.3">
      <c r="B183" s="1" t="s">
        <v>488</v>
      </c>
      <c r="D183" s="59"/>
      <c r="E183" s="59"/>
      <c r="F183" s="304"/>
      <c r="G183" s="304"/>
      <c r="H183" s="304"/>
      <c r="I183" s="304"/>
      <c r="J183" s="304"/>
      <c r="K183" s="304"/>
      <c r="L183" s="304"/>
      <c r="M183" s="304"/>
      <c r="N183" s="304"/>
      <c r="O183" s="304"/>
      <c r="P183" s="304"/>
      <c r="Q183" s="304"/>
      <c r="R183" s="304"/>
      <c r="S183" s="304"/>
      <c r="T183" s="304"/>
      <c r="U183" s="304"/>
    </row>
    <row r="184" spans="2:21" ht="10.5" customHeight="1" x14ac:dyDescent="0.3"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30"/>
      <c r="P184" s="30"/>
      <c r="Q184" s="30" t="s">
        <v>157</v>
      </c>
    </row>
    <row r="185" spans="2:21" s="22" customFormat="1" ht="20.25" customHeight="1" x14ac:dyDescent="0.3">
      <c r="B185" s="307"/>
      <c r="C185" s="307"/>
      <c r="D185" s="300" t="s">
        <v>120</v>
      </c>
      <c r="E185" s="300"/>
      <c r="F185" s="300"/>
      <c r="G185" s="300"/>
      <c r="H185" s="300"/>
      <c r="I185" s="300"/>
      <c r="J185" s="301"/>
      <c r="K185" s="299" t="s">
        <v>125</v>
      </c>
      <c r="L185" s="300"/>
      <c r="M185" s="300"/>
      <c r="N185" s="300"/>
      <c r="O185" s="300"/>
      <c r="P185" s="301"/>
      <c r="Q185" s="212" t="s">
        <v>38</v>
      </c>
    </row>
    <row r="186" spans="2:21" s="22" customFormat="1" ht="27" x14ac:dyDescent="0.3">
      <c r="B186" s="300"/>
      <c r="C186" s="300"/>
      <c r="D186" s="202" t="s">
        <v>39</v>
      </c>
      <c r="E186" s="202" t="s">
        <v>40</v>
      </c>
      <c r="F186" s="202" t="s">
        <v>116</v>
      </c>
      <c r="G186" s="202" t="s">
        <v>117</v>
      </c>
      <c r="H186" s="202" t="s">
        <v>115</v>
      </c>
      <c r="I186" s="202" t="s">
        <v>119</v>
      </c>
      <c r="J186" s="202" t="s">
        <v>300</v>
      </c>
      <c r="K186" s="214" t="s">
        <v>298</v>
      </c>
      <c r="L186" s="202" t="s">
        <v>299</v>
      </c>
      <c r="M186" s="202" t="s">
        <v>121</v>
      </c>
      <c r="N186" s="202" t="s">
        <v>118</v>
      </c>
      <c r="O186" s="202" t="s">
        <v>122</v>
      </c>
      <c r="P186" s="202" t="s">
        <v>124</v>
      </c>
      <c r="Q186" s="214" t="s">
        <v>38</v>
      </c>
    </row>
    <row r="187" spans="2:21" ht="21.75" customHeight="1" x14ac:dyDescent="0.3">
      <c r="B187" s="292" t="s">
        <v>20</v>
      </c>
      <c r="C187" s="292"/>
      <c r="D187" s="86">
        <v>20.353728357823584</v>
      </c>
      <c r="E187" s="86">
        <v>18.609196481244346</v>
      </c>
      <c r="F187" s="88">
        <v>21.600476406738249</v>
      </c>
      <c r="G187" s="88">
        <v>32.412824666951032</v>
      </c>
      <c r="H187" s="88">
        <v>30.729993391398036</v>
      </c>
      <c r="I187" s="86">
        <v>4.7588510151497943</v>
      </c>
      <c r="J187" s="86">
        <v>21.857068616693848</v>
      </c>
      <c r="K187" s="92">
        <v>36.56961504781723</v>
      </c>
      <c r="L187" s="86">
        <v>17.384141012834252</v>
      </c>
      <c r="M187" s="88">
        <v>23.797680479161262</v>
      </c>
      <c r="N187" s="86">
        <v>52.567933648258538</v>
      </c>
      <c r="O187" s="86">
        <v>10.210434531224417</v>
      </c>
      <c r="P187" s="86">
        <v>5.4313632665928724</v>
      </c>
      <c r="Q187" s="92">
        <v>3.7166930781117506</v>
      </c>
    </row>
    <row r="188" spans="2:21" x14ac:dyDescent="0.3">
      <c r="B188" s="296" t="s">
        <v>5</v>
      </c>
      <c r="C188" s="13" t="s">
        <v>0</v>
      </c>
      <c r="D188" s="84">
        <v>20.398445327267705</v>
      </c>
      <c r="E188" s="84">
        <v>19.288949455857761</v>
      </c>
      <c r="F188" s="89">
        <v>21.358315803265974</v>
      </c>
      <c r="G188" s="89">
        <v>36.050365722776576</v>
      </c>
      <c r="H188" s="89">
        <v>33.07864755917079</v>
      </c>
      <c r="I188" s="84">
        <v>5.4727346377076316</v>
      </c>
      <c r="J188" s="84">
        <v>23.906260063953898</v>
      </c>
      <c r="K188" s="93">
        <v>27.922210459739816</v>
      </c>
      <c r="L188" s="84">
        <v>15.895359096418819</v>
      </c>
      <c r="M188" s="89">
        <v>23.549571569313507</v>
      </c>
      <c r="N188" s="84">
        <v>55.406075570053183</v>
      </c>
      <c r="O188" s="84">
        <v>8.5964143796022654</v>
      </c>
      <c r="P188" s="84">
        <v>5.5442830367278084</v>
      </c>
      <c r="Q188" s="93">
        <v>3.5323673181442543</v>
      </c>
    </row>
    <row r="189" spans="2:21" x14ac:dyDescent="0.3">
      <c r="B189" s="295"/>
      <c r="C189" s="12" t="s">
        <v>1</v>
      </c>
      <c r="D189" s="90">
        <v>20.324380283912337</v>
      </c>
      <c r="E189" s="90">
        <v>18.163069635253077</v>
      </c>
      <c r="F189" s="91">
        <v>21.759408180905083</v>
      </c>
      <c r="G189" s="91">
        <v>30.025479882881161</v>
      </c>
      <c r="H189" s="91">
        <v>29.188554493262036</v>
      </c>
      <c r="I189" s="90">
        <v>4.2903239754296481</v>
      </c>
      <c r="J189" s="90">
        <v>20.512169290996304</v>
      </c>
      <c r="K189" s="94">
        <v>42.244969888425565</v>
      </c>
      <c r="L189" s="90">
        <v>18.361239467044218</v>
      </c>
      <c r="M189" s="91">
        <v>23.960516170282357</v>
      </c>
      <c r="N189" s="90">
        <v>50.705240359176749</v>
      </c>
      <c r="O189" s="90">
        <v>11.269727754647519</v>
      </c>
      <c r="P189" s="90">
        <v>5.3572531960499647</v>
      </c>
      <c r="Q189" s="94">
        <v>3.8376674217342011</v>
      </c>
    </row>
    <row r="190" spans="2:21" x14ac:dyDescent="0.3">
      <c r="B190" s="296" t="s">
        <v>4</v>
      </c>
      <c r="C190" s="9" t="s">
        <v>175</v>
      </c>
      <c r="D190" s="86">
        <v>28.187023064950225</v>
      </c>
      <c r="E190" s="86">
        <v>16.267850385428552</v>
      </c>
      <c r="F190" s="88">
        <v>29.362575980028588</v>
      </c>
      <c r="G190" s="88">
        <v>23.498859908511651</v>
      </c>
      <c r="H190" s="88">
        <v>24.161971654428953</v>
      </c>
      <c r="I190" s="86">
        <v>6.574239960033232</v>
      </c>
      <c r="J190" s="86">
        <v>22.626437571399013</v>
      </c>
      <c r="K190" s="92">
        <v>60.962952165461004</v>
      </c>
      <c r="L190" s="86">
        <v>27.902628485517994</v>
      </c>
      <c r="M190" s="88">
        <v>11.370665686646742</v>
      </c>
      <c r="N190" s="86">
        <v>28.228279608539395</v>
      </c>
      <c r="O190" s="86">
        <v>3.5988786784086577</v>
      </c>
      <c r="P190" s="86">
        <v>11.654362245640597</v>
      </c>
      <c r="Q190" s="92">
        <v>5.6032746050053293</v>
      </c>
    </row>
    <row r="191" spans="2:21" x14ac:dyDescent="0.3">
      <c r="B191" s="292"/>
      <c r="C191" s="9" t="s">
        <v>176</v>
      </c>
      <c r="D191" s="86">
        <v>21.161985026535941</v>
      </c>
      <c r="E191" s="86">
        <v>21.980913778601085</v>
      </c>
      <c r="F191" s="88">
        <v>26.889212225183694</v>
      </c>
      <c r="G191" s="88">
        <v>19.583772536456191</v>
      </c>
      <c r="H191" s="88">
        <v>22.368375788894426</v>
      </c>
      <c r="I191" s="86">
        <v>7.5895171910401737</v>
      </c>
      <c r="J191" s="86">
        <v>15.305856649847218</v>
      </c>
      <c r="K191" s="92">
        <v>60.978721120793509</v>
      </c>
      <c r="L191" s="86">
        <v>25.122831615455254</v>
      </c>
      <c r="M191" s="88">
        <v>19.074169294703498</v>
      </c>
      <c r="N191" s="86">
        <v>44.363604192771838</v>
      </c>
      <c r="O191" s="86">
        <v>3.3938385279663601</v>
      </c>
      <c r="P191" s="86">
        <v>8.5674565173034338</v>
      </c>
      <c r="Q191" s="92">
        <v>3.6197455344472473</v>
      </c>
    </row>
    <row r="192" spans="2:21" x14ac:dyDescent="0.3">
      <c r="B192" s="292"/>
      <c r="C192" s="9" t="s">
        <v>177</v>
      </c>
      <c r="D192" s="86">
        <v>19.51598066534693</v>
      </c>
      <c r="E192" s="86">
        <v>22.811254133552559</v>
      </c>
      <c r="F192" s="88">
        <v>25.021347740186002</v>
      </c>
      <c r="G192" s="88">
        <v>27.145640460651354</v>
      </c>
      <c r="H192" s="88">
        <v>27.095847455148704</v>
      </c>
      <c r="I192" s="86">
        <v>3.3819970845928866</v>
      </c>
      <c r="J192" s="86">
        <v>17.69360365957121</v>
      </c>
      <c r="K192" s="92">
        <v>41.256083701898113</v>
      </c>
      <c r="L192" s="86">
        <v>17.308758246049432</v>
      </c>
      <c r="M192" s="88">
        <v>24.459802680522937</v>
      </c>
      <c r="N192" s="86">
        <v>54.067956606032197</v>
      </c>
      <c r="O192" s="86">
        <v>9.5903047464855931</v>
      </c>
      <c r="P192" s="86">
        <v>5.7426053890503574</v>
      </c>
      <c r="Q192" s="92">
        <v>4.908817430911772</v>
      </c>
    </row>
    <row r="193" spans="2:17" x14ac:dyDescent="0.3">
      <c r="B193" s="292"/>
      <c r="C193" s="9" t="s">
        <v>178</v>
      </c>
      <c r="D193" s="86">
        <v>23.316194339598432</v>
      </c>
      <c r="E193" s="86">
        <v>17.327061189061375</v>
      </c>
      <c r="F193" s="88">
        <v>20.199091116075181</v>
      </c>
      <c r="G193" s="88">
        <v>33.47213590223744</v>
      </c>
      <c r="H193" s="88">
        <v>33.358265991479421</v>
      </c>
      <c r="I193" s="86">
        <v>5.0845342649020058</v>
      </c>
      <c r="J193" s="86">
        <v>24.366074972328846</v>
      </c>
      <c r="K193" s="92">
        <v>30.965925312847055</v>
      </c>
      <c r="L193" s="86">
        <v>13.689435759957242</v>
      </c>
      <c r="M193" s="88">
        <v>25.506662501050524</v>
      </c>
      <c r="N193" s="86">
        <v>57.884505860444413</v>
      </c>
      <c r="O193" s="86">
        <v>10.926176989703382</v>
      </c>
      <c r="P193" s="86">
        <v>2.9689588131643108</v>
      </c>
      <c r="Q193" s="92">
        <v>0.93497698715003341</v>
      </c>
    </row>
    <row r="194" spans="2:17" x14ac:dyDescent="0.3">
      <c r="B194" s="292"/>
      <c r="C194" s="9" t="s">
        <v>179</v>
      </c>
      <c r="D194" s="86">
        <v>15.124372286038218</v>
      </c>
      <c r="E194" s="86">
        <v>15.754289594117918</v>
      </c>
      <c r="F194" s="88">
        <v>17.319236641509075</v>
      </c>
      <c r="G194" s="88">
        <v>36.450166309693259</v>
      </c>
      <c r="H194" s="88">
        <v>33.877204919353062</v>
      </c>
      <c r="I194" s="86">
        <v>2.4773945897460496</v>
      </c>
      <c r="J194" s="86">
        <v>23.253984426962106</v>
      </c>
      <c r="K194" s="92">
        <v>22.902013452576128</v>
      </c>
      <c r="L194" s="86">
        <v>12.520809957625914</v>
      </c>
      <c r="M194" s="88">
        <v>33.0294187454652</v>
      </c>
      <c r="N194" s="86">
        <v>65.082147078460679</v>
      </c>
      <c r="O194" s="86">
        <v>15.778559994817417</v>
      </c>
      <c r="P194" s="86">
        <v>3.4398618976256317</v>
      </c>
      <c r="Q194" s="92">
        <v>2.9905401060094028</v>
      </c>
    </row>
    <row r="195" spans="2:17" x14ac:dyDescent="0.3">
      <c r="B195" s="298"/>
      <c r="C195" s="12" t="s">
        <v>180</v>
      </c>
      <c r="D195" s="90">
        <v>19.627508539261658</v>
      </c>
      <c r="E195" s="90">
        <v>15.380221501265293</v>
      </c>
      <c r="F195" s="91">
        <v>14.761164858428261</v>
      </c>
      <c r="G195" s="91">
        <v>51.497166350128317</v>
      </c>
      <c r="H195" s="91">
        <v>40.759756068858785</v>
      </c>
      <c r="I195" s="90">
        <v>4.5677202128494221</v>
      </c>
      <c r="J195" s="90">
        <v>29.586048777412614</v>
      </c>
      <c r="K195" s="94">
        <v>14.904614521585973</v>
      </c>
      <c r="L195" s="90">
        <v>14.21503043843626</v>
      </c>
      <c r="M195" s="91">
        <v>20.90370354526473</v>
      </c>
      <c r="N195" s="90">
        <v>49.400494472194609</v>
      </c>
      <c r="O195" s="90">
        <v>14.382711988685267</v>
      </c>
      <c r="P195" s="90">
        <v>4.1478886036136773</v>
      </c>
      <c r="Q195" s="94">
        <v>5.8659701220151153</v>
      </c>
    </row>
    <row r="196" spans="2:17" x14ac:dyDescent="0.3">
      <c r="B196" s="292" t="s">
        <v>223</v>
      </c>
      <c r="C196" s="9" t="s">
        <v>210</v>
      </c>
      <c r="D196" s="86">
        <v>45.413973684612024</v>
      </c>
      <c r="E196" s="86">
        <v>25.52407799069606</v>
      </c>
      <c r="F196" s="88">
        <v>26.605180423990472</v>
      </c>
      <c r="G196" s="88">
        <v>17.663810505632792</v>
      </c>
      <c r="H196" s="88">
        <v>32.055416425221814</v>
      </c>
      <c r="I196" s="86">
        <v>13.888099550978994</v>
      </c>
      <c r="J196" s="86">
        <v>13.852685306295387</v>
      </c>
      <c r="K196" s="92">
        <v>40.050497728002348</v>
      </c>
      <c r="L196" s="86">
        <v>20.510352748012995</v>
      </c>
      <c r="M196" s="88">
        <v>15.690169772742632</v>
      </c>
      <c r="N196" s="86">
        <v>18.910355698018158</v>
      </c>
      <c r="O196" s="86">
        <v>5.449087201143489</v>
      </c>
      <c r="P196" s="86">
        <v>21.022348836550528</v>
      </c>
      <c r="Q196" s="92">
        <v>3.3639441281022719</v>
      </c>
    </row>
    <row r="197" spans="2:17" x14ac:dyDescent="0.3">
      <c r="B197" s="292"/>
      <c r="C197" s="9" t="s">
        <v>211</v>
      </c>
      <c r="D197" s="86">
        <v>22.042434599300488</v>
      </c>
      <c r="E197" s="86">
        <v>24.108929795112175</v>
      </c>
      <c r="F197" s="88">
        <v>27.229384594206348</v>
      </c>
      <c r="G197" s="88">
        <v>24.85717530527808</v>
      </c>
      <c r="H197" s="88">
        <v>26.653187671609942</v>
      </c>
      <c r="I197" s="86">
        <v>9.6634227843325</v>
      </c>
      <c r="J197" s="86">
        <v>18.284737582286585</v>
      </c>
      <c r="K197" s="92">
        <v>50.009873241152178</v>
      </c>
      <c r="L197" s="86">
        <v>17.853037787134856</v>
      </c>
      <c r="M197" s="88">
        <v>18.807736072108231</v>
      </c>
      <c r="N197" s="86">
        <v>46.182851188189872</v>
      </c>
      <c r="O197" s="86">
        <v>2.7426657992014114</v>
      </c>
      <c r="P197" s="86">
        <v>9.1386814857186813</v>
      </c>
      <c r="Q197" s="92">
        <v>2.4258820943686956</v>
      </c>
    </row>
    <row r="198" spans="2:17" x14ac:dyDescent="0.3">
      <c r="B198" s="292"/>
      <c r="C198" s="9" t="s">
        <v>212</v>
      </c>
      <c r="D198" s="86">
        <v>16.951774414271057</v>
      </c>
      <c r="E198" s="86">
        <v>20.966729445143223</v>
      </c>
      <c r="F198" s="88">
        <v>20.989855705292783</v>
      </c>
      <c r="G198" s="88">
        <v>30.112757770816955</v>
      </c>
      <c r="H198" s="88">
        <v>30.135047852597246</v>
      </c>
      <c r="I198" s="86">
        <v>4.5355044962989775</v>
      </c>
      <c r="J198" s="86">
        <v>21.426162464527547</v>
      </c>
      <c r="K198" s="92">
        <v>35.536482536526293</v>
      </c>
      <c r="L198" s="86">
        <v>15.368073261135878</v>
      </c>
      <c r="M198" s="88">
        <v>23.201675983701602</v>
      </c>
      <c r="N198" s="86">
        <v>59.767999609282064</v>
      </c>
      <c r="O198" s="86">
        <v>11.406896907811252</v>
      </c>
      <c r="P198" s="86">
        <v>5.8761956031656526</v>
      </c>
      <c r="Q198" s="92">
        <v>3.724843949429562</v>
      </c>
    </row>
    <row r="199" spans="2:17" x14ac:dyDescent="0.3">
      <c r="B199" s="292"/>
      <c r="C199" s="9" t="s">
        <v>213</v>
      </c>
      <c r="D199" s="86">
        <v>25.123724399306376</v>
      </c>
      <c r="E199" s="86">
        <v>20.186674537872282</v>
      </c>
      <c r="F199" s="88">
        <v>22.132805448543124</v>
      </c>
      <c r="G199" s="88">
        <v>27.550771022054672</v>
      </c>
      <c r="H199" s="88">
        <v>38.681157885773906</v>
      </c>
      <c r="I199" s="86">
        <v>2.6187691996591762</v>
      </c>
      <c r="J199" s="86">
        <v>22.136212405558496</v>
      </c>
      <c r="K199" s="92">
        <v>22.812634573006736</v>
      </c>
      <c r="L199" s="86">
        <v>18.249345068994032</v>
      </c>
      <c r="M199" s="88">
        <v>27.422839260178606</v>
      </c>
      <c r="N199" s="86">
        <v>58.941057867728389</v>
      </c>
      <c r="O199" s="86">
        <v>10.086861084215951</v>
      </c>
      <c r="P199" s="86">
        <v>2.8924461630008604</v>
      </c>
      <c r="Q199" s="92">
        <v>1.1647010841075582</v>
      </c>
    </row>
    <row r="200" spans="2:17" x14ac:dyDescent="0.3">
      <c r="B200" s="292"/>
      <c r="C200" s="9" t="s">
        <v>214</v>
      </c>
      <c r="D200" s="86">
        <v>13.841391009997228</v>
      </c>
      <c r="E200" s="86">
        <v>12.939952142544719</v>
      </c>
      <c r="F200" s="88">
        <v>19.28699135451204</v>
      </c>
      <c r="G200" s="88">
        <v>47.303581359564561</v>
      </c>
      <c r="H200" s="88">
        <v>29.301302220132612</v>
      </c>
      <c r="I200" s="86">
        <v>4.4944599441284065</v>
      </c>
      <c r="J200" s="86">
        <v>27.513562007220742</v>
      </c>
      <c r="K200" s="92">
        <v>16.36212297339446</v>
      </c>
      <c r="L200" s="86">
        <v>12.378145402050954</v>
      </c>
      <c r="M200" s="88">
        <v>30.661445841823198</v>
      </c>
      <c r="N200" s="86">
        <v>69.524693506787614</v>
      </c>
      <c r="O200" s="86">
        <v>9.7050659469669487</v>
      </c>
      <c r="P200" s="86">
        <v>2.2217973711622956</v>
      </c>
      <c r="Q200" s="92">
        <v>4.4654889197143079</v>
      </c>
    </row>
    <row r="201" spans="2:17" x14ac:dyDescent="0.3">
      <c r="B201" s="292"/>
      <c r="C201" s="12" t="s">
        <v>215</v>
      </c>
      <c r="D201" s="90">
        <v>15.582642823962129</v>
      </c>
      <c r="E201" s="90">
        <v>17.257771013124845</v>
      </c>
      <c r="F201" s="91">
        <v>15.663605256685887</v>
      </c>
      <c r="G201" s="91">
        <v>56.975022492359706</v>
      </c>
      <c r="H201" s="91">
        <v>40.749208910270582</v>
      </c>
      <c r="I201" s="90">
        <v>4.0733024240601203</v>
      </c>
      <c r="J201" s="90">
        <v>33.601042201769339</v>
      </c>
      <c r="K201" s="94">
        <v>14.291458458647208</v>
      </c>
      <c r="L201" s="90">
        <v>14.304606194152605</v>
      </c>
      <c r="M201" s="91">
        <v>17.663305124822884</v>
      </c>
      <c r="N201" s="90">
        <v>50.989717664980539</v>
      </c>
      <c r="O201" s="90">
        <v>9.1602660375208416</v>
      </c>
      <c r="P201" s="90">
        <v>3.408770708037439</v>
      </c>
      <c r="Q201" s="94">
        <v>6.2792806896058497</v>
      </c>
    </row>
    <row r="202" spans="2:17" x14ac:dyDescent="0.3">
      <c r="B202" s="292"/>
      <c r="C202" s="9" t="s">
        <v>216</v>
      </c>
      <c r="D202" s="86">
        <v>17.798700026061468</v>
      </c>
      <c r="E202" s="86">
        <v>10.686091628005109</v>
      </c>
      <c r="F202" s="88">
        <v>31.025361020430758</v>
      </c>
      <c r="G202" s="88">
        <v>27.017554509969262</v>
      </c>
      <c r="H202" s="88">
        <v>19.402008270367592</v>
      </c>
      <c r="I202" s="86">
        <v>2.1637823132166298</v>
      </c>
      <c r="J202" s="86">
        <v>27.917250484570761</v>
      </c>
      <c r="K202" s="92">
        <v>73.573734945810571</v>
      </c>
      <c r="L202" s="86">
        <v>32.360373216387231</v>
      </c>
      <c r="M202" s="88">
        <v>8.7658864192731354</v>
      </c>
      <c r="N202" s="86">
        <v>33.847242927781842</v>
      </c>
      <c r="O202" s="86">
        <v>2.4831522653116478</v>
      </c>
      <c r="P202" s="86">
        <v>6.0052097589969025</v>
      </c>
      <c r="Q202" s="92">
        <v>6.9536522138171266</v>
      </c>
    </row>
    <row r="203" spans="2:17" x14ac:dyDescent="0.3">
      <c r="B203" s="292"/>
      <c r="C203" s="9" t="s">
        <v>217</v>
      </c>
      <c r="D203" s="86">
        <v>20.706424959791427</v>
      </c>
      <c r="E203" s="86">
        <v>20.879840930702244</v>
      </c>
      <c r="F203" s="88">
        <v>26.713201069144411</v>
      </c>
      <c r="G203" s="88">
        <v>16.855221360274669</v>
      </c>
      <c r="H203" s="88">
        <v>20.151338893585965</v>
      </c>
      <c r="I203" s="86">
        <v>6.5164420261156053</v>
      </c>
      <c r="J203" s="86">
        <v>13.764531356060109</v>
      </c>
      <c r="K203" s="92">
        <v>66.654195590580343</v>
      </c>
      <c r="L203" s="86">
        <v>28.884350575876422</v>
      </c>
      <c r="M203" s="88">
        <v>19.212026521764606</v>
      </c>
      <c r="N203" s="86">
        <v>43.422293857354141</v>
      </c>
      <c r="O203" s="86">
        <v>3.730766730278865</v>
      </c>
      <c r="P203" s="86">
        <v>8.27189468981536</v>
      </c>
      <c r="Q203" s="92">
        <v>4.2374714386558168</v>
      </c>
    </row>
    <row r="204" spans="2:17" x14ac:dyDescent="0.3">
      <c r="B204" s="292"/>
      <c r="C204" s="9" t="s">
        <v>218</v>
      </c>
      <c r="D204" s="86">
        <v>21.045673493022999</v>
      </c>
      <c r="E204" s="86">
        <v>23.911616549854823</v>
      </c>
      <c r="F204" s="88">
        <v>27.426358822278896</v>
      </c>
      <c r="G204" s="88">
        <v>25.375588591255386</v>
      </c>
      <c r="H204" s="88">
        <v>25.282793981818891</v>
      </c>
      <c r="I204" s="86">
        <v>2.6938652256140641</v>
      </c>
      <c r="J204" s="86">
        <v>15.466923013104056</v>
      </c>
      <c r="K204" s="92">
        <v>44.668146548311512</v>
      </c>
      <c r="L204" s="86">
        <v>18.466485671819228</v>
      </c>
      <c r="M204" s="88">
        <v>25.210345810050033</v>
      </c>
      <c r="N204" s="86">
        <v>50.66756130013291</v>
      </c>
      <c r="O204" s="86">
        <v>8.5066056490255395</v>
      </c>
      <c r="P204" s="86">
        <v>5.6629113346839732</v>
      </c>
      <c r="Q204" s="92">
        <v>5.6151240090281354</v>
      </c>
    </row>
    <row r="205" spans="2:17" x14ac:dyDescent="0.3">
      <c r="B205" s="292"/>
      <c r="C205" s="9" t="s">
        <v>219</v>
      </c>
      <c r="D205" s="86">
        <v>22.005524186083594</v>
      </c>
      <c r="E205" s="86">
        <v>15.25350791853668</v>
      </c>
      <c r="F205" s="88">
        <v>18.796922644587006</v>
      </c>
      <c r="G205" s="88">
        <v>37.765816206387285</v>
      </c>
      <c r="H205" s="88">
        <v>29.498548417894405</v>
      </c>
      <c r="I205" s="86">
        <v>6.8725015848566313</v>
      </c>
      <c r="J205" s="86">
        <v>25.982985461318574</v>
      </c>
      <c r="K205" s="92">
        <v>36.87801223402645</v>
      </c>
      <c r="L205" s="86">
        <v>10.382969567602592</v>
      </c>
      <c r="M205" s="88">
        <v>24.117210816106642</v>
      </c>
      <c r="N205" s="86">
        <v>57.118382401448201</v>
      </c>
      <c r="O205" s="86">
        <v>11.534778932882386</v>
      </c>
      <c r="P205" s="86">
        <v>3.0244394102348622</v>
      </c>
      <c r="Q205" s="92">
        <v>0.76840021803448599</v>
      </c>
    </row>
    <row r="206" spans="2:17" x14ac:dyDescent="0.3">
      <c r="B206" s="292"/>
      <c r="C206" s="9" t="s">
        <v>220</v>
      </c>
      <c r="D206" s="86">
        <v>16.168972232889871</v>
      </c>
      <c r="E206" s="86">
        <v>18.045715671205908</v>
      </c>
      <c r="F206" s="88">
        <v>15.717095981309553</v>
      </c>
      <c r="G206" s="88">
        <v>27.613344607010738</v>
      </c>
      <c r="H206" s="88">
        <v>37.602892741667979</v>
      </c>
      <c r="I206" s="86">
        <v>0.83510533632378936</v>
      </c>
      <c r="J206" s="86">
        <v>19.785847676222463</v>
      </c>
      <c r="K206" s="92">
        <v>28.226774908214441</v>
      </c>
      <c r="L206" s="86">
        <v>12.636967059802098</v>
      </c>
      <c r="M206" s="88">
        <v>34.957415993346729</v>
      </c>
      <c r="N206" s="86">
        <v>61.465037577660866</v>
      </c>
      <c r="O206" s="86">
        <v>20.723582714997534</v>
      </c>
      <c r="P206" s="86">
        <v>4.4316067994154702</v>
      </c>
      <c r="Q206" s="92">
        <v>1.7896406999327941</v>
      </c>
    </row>
    <row r="207" spans="2:17" x14ac:dyDescent="0.3">
      <c r="B207" s="295"/>
      <c r="C207" s="9" t="s">
        <v>221</v>
      </c>
      <c r="D207" s="86">
        <v>22.401907283537877</v>
      </c>
      <c r="E207" s="86">
        <v>14.092398524023686</v>
      </c>
      <c r="F207" s="88">
        <v>14.142175333450993</v>
      </c>
      <c r="G207" s="88">
        <v>47.739870491121778</v>
      </c>
      <c r="H207" s="88">
        <v>40.766990431036021</v>
      </c>
      <c r="I207" s="86">
        <v>4.9068444728159317</v>
      </c>
      <c r="J207" s="86">
        <v>26.832139624710937</v>
      </c>
      <c r="K207" s="92">
        <v>15.325182107953102</v>
      </c>
      <c r="L207" s="86">
        <v>14.153589866197477</v>
      </c>
      <c r="M207" s="88">
        <v>23.12631313020686</v>
      </c>
      <c r="N207" s="86">
        <v>48.310436324216397</v>
      </c>
      <c r="O207" s="86">
        <v>17.96482039692151</v>
      </c>
      <c r="P207" s="86">
        <v>4.6548542004201314</v>
      </c>
      <c r="Q207" s="92">
        <v>5.5824778133872837</v>
      </c>
    </row>
    <row r="208" spans="2:17" ht="16.5" customHeight="1" x14ac:dyDescent="0.3">
      <c r="B208" s="291" t="s">
        <v>222</v>
      </c>
      <c r="C208" s="13" t="s">
        <v>226</v>
      </c>
      <c r="D208" s="84">
        <v>14.45754594916186</v>
      </c>
      <c r="E208" s="84">
        <v>17.032952260351387</v>
      </c>
      <c r="F208" s="89">
        <v>22.226707307618355</v>
      </c>
      <c r="G208" s="89">
        <v>37.327893097500379</v>
      </c>
      <c r="H208" s="89">
        <v>25.11690385221123</v>
      </c>
      <c r="I208" s="84">
        <v>4.6049073341450226</v>
      </c>
      <c r="J208" s="84">
        <v>27.843973096703316</v>
      </c>
      <c r="K208" s="93">
        <v>34.60660074473018</v>
      </c>
      <c r="L208" s="84">
        <v>16.562527684942062</v>
      </c>
      <c r="M208" s="89">
        <v>18.299712350995591</v>
      </c>
      <c r="N208" s="84">
        <v>58.131999242114908</v>
      </c>
      <c r="O208" s="84">
        <v>10.523754747591035</v>
      </c>
      <c r="P208" s="84">
        <v>7.5310456943942725</v>
      </c>
      <c r="Q208" s="93">
        <v>5.73347663754023</v>
      </c>
    </row>
    <row r="209" spans="2:17" ht="16.5" customHeight="1" x14ac:dyDescent="0.3">
      <c r="B209" s="294"/>
      <c r="C209" s="9" t="s">
        <v>227</v>
      </c>
      <c r="D209" s="86">
        <v>16.731123430261309</v>
      </c>
      <c r="E209" s="86">
        <v>15.692244193338039</v>
      </c>
      <c r="F209" s="88">
        <v>19.713956137575703</v>
      </c>
      <c r="G209" s="88">
        <v>31.177222532486148</v>
      </c>
      <c r="H209" s="88">
        <v>31.479206736687036</v>
      </c>
      <c r="I209" s="86">
        <v>3.8349022426058763</v>
      </c>
      <c r="J209" s="86">
        <v>22.992683193454823</v>
      </c>
      <c r="K209" s="92">
        <v>35.958059544340607</v>
      </c>
      <c r="L209" s="86">
        <v>16.198111007748455</v>
      </c>
      <c r="M209" s="88">
        <v>24.062209386681619</v>
      </c>
      <c r="N209" s="86">
        <v>59.387085178092988</v>
      </c>
      <c r="O209" s="86">
        <v>12.03325058166967</v>
      </c>
      <c r="P209" s="86">
        <v>6.1259936518184093</v>
      </c>
      <c r="Q209" s="92">
        <v>4.6139521832393244</v>
      </c>
    </row>
    <row r="210" spans="2:17" x14ac:dyDescent="0.3">
      <c r="B210" s="292"/>
      <c r="C210" s="9" t="s">
        <v>228</v>
      </c>
      <c r="D210" s="86">
        <v>23.584673943043839</v>
      </c>
      <c r="E210" s="86">
        <v>23.302160432771483</v>
      </c>
      <c r="F210" s="88">
        <v>23.295445445372774</v>
      </c>
      <c r="G210" s="88">
        <v>29.696657522604553</v>
      </c>
      <c r="H210" s="88">
        <v>30.965260386217551</v>
      </c>
      <c r="I210" s="86">
        <v>3.5654795238496471</v>
      </c>
      <c r="J210" s="86">
        <v>17.12848903674314</v>
      </c>
      <c r="K210" s="92">
        <v>37.302416102950176</v>
      </c>
      <c r="L210" s="86">
        <v>16.564221170106272</v>
      </c>
      <c r="M210" s="88">
        <v>31.638794257343207</v>
      </c>
      <c r="N210" s="86">
        <v>49.450161431485853</v>
      </c>
      <c r="O210" s="86">
        <v>8.4299606195804806</v>
      </c>
      <c r="P210" s="86">
        <v>2.2146127752869549</v>
      </c>
      <c r="Q210" s="92">
        <v>2.8616673526440461</v>
      </c>
    </row>
    <row r="211" spans="2:17" x14ac:dyDescent="0.3">
      <c r="B211" s="295"/>
      <c r="C211" s="12" t="s">
        <v>229</v>
      </c>
      <c r="D211" s="90">
        <v>29.699983295942683</v>
      </c>
      <c r="E211" s="90">
        <v>20.555155245363789</v>
      </c>
      <c r="F211" s="91">
        <v>21.832691011798307</v>
      </c>
      <c r="G211" s="91">
        <v>29.876886677167434</v>
      </c>
      <c r="H211" s="91">
        <v>36.649730779923743</v>
      </c>
      <c r="I211" s="90">
        <v>7.0082668311794007</v>
      </c>
      <c r="J211" s="90">
        <v>16.612340057006193</v>
      </c>
      <c r="K211" s="94">
        <v>39.213757304380067</v>
      </c>
      <c r="L211" s="90">
        <v>20.503736323593749</v>
      </c>
      <c r="M211" s="91">
        <v>24.30884153816011</v>
      </c>
      <c r="N211" s="90">
        <v>39.615742141971694</v>
      </c>
      <c r="O211" s="90">
        <v>8.9469401325703224</v>
      </c>
      <c r="P211" s="90">
        <v>4.428108690615046</v>
      </c>
      <c r="Q211" s="94">
        <v>0.74781997032739533</v>
      </c>
    </row>
    <row r="212" spans="2:17" x14ac:dyDescent="0.3">
      <c r="B212" s="296" t="s">
        <v>199</v>
      </c>
      <c r="C212" s="13" t="s">
        <v>192</v>
      </c>
      <c r="D212" s="84">
        <v>20.573840684835133</v>
      </c>
      <c r="E212" s="84">
        <v>23.505623413624001</v>
      </c>
      <c r="F212" s="89">
        <v>23.14113015500692</v>
      </c>
      <c r="G212" s="89">
        <v>28.869553939892278</v>
      </c>
      <c r="H212" s="89">
        <v>31.575100464460899</v>
      </c>
      <c r="I212" s="84">
        <v>5.5399421535986173</v>
      </c>
      <c r="J212" s="84">
        <v>20.358765526215773</v>
      </c>
      <c r="K212" s="93">
        <v>38.479486749163627</v>
      </c>
      <c r="L212" s="84">
        <v>16.650425259829106</v>
      </c>
      <c r="M212" s="89">
        <v>23.396854345163586</v>
      </c>
      <c r="N212" s="84">
        <v>49.556176590639872</v>
      </c>
      <c r="O212" s="84">
        <v>8.6219554433609993</v>
      </c>
      <c r="P212" s="84">
        <v>6.3838211623581937</v>
      </c>
      <c r="Q212" s="93">
        <v>3.3473241118518953</v>
      </c>
    </row>
    <row r="213" spans="2:17" x14ac:dyDescent="0.3">
      <c r="B213" s="292"/>
      <c r="C213" s="9" t="s">
        <v>200</v>
      </c>
      <c r="D213" s="86">
        <v>11.468308645573474</v>
      </c>
      <c r="E213" s="86">
        <v>5.3910870162566349</v>
      </c>
      <c r="F213" s="88">
        <v>17.733906144532462</v>
      </c>
      <c r="G213" s="88">
        <v>51.171859025040369</v>
      </c>
      <c r="H213" s="88">
        <v>18.916836005529888</v>
      </c>
      <c r="I213" s="86">
        <v>4.9121422347877983</v>
      </c>
      <c r="J213" s="86">
        <v>32.600948384272264</v>
      </c>
      <c r="K213" s="92">
        <v>43.313656667665867</v>
      </c>
      <c r="L213" s="86">
        <v>21.600837903935073</v>
      </c>
      <c r="M213" s="88">
        <v>21.30244005733817</v>
      </c>
      <c r="N213" s="86">
        <v>56.49243363785007</v>
      </c>
      <c r="O213" s="86">
        <v>8.8555469967386689</v>
      </c>
      <c r="P213" s="86">
        <v>4.1341425134367471</v>
      </c>
      <c r="Q213" s="92">
        <v>2.1058547670425738</v>
      </c>
    </row>
    <row r="214" spans="2:17" x14ac:dyDescent="0.3">
      <c r="B214" s="292"/>
      <c r="C214" s="9" t="s">
        <v>201</v>
      </c>
      <c r="D214" s="86">
        <v>20.847490186891182</v>
      </c>
      <c r="E214" s="86">
        <v>9.522906164149596</v>
      </c>
      <c r="F214" s="88">
        <v>21.880822574423288</v>
      </c>
      <c r="G214" s="88">
        <v>36.698070450831338</v>
      </c>
      <c r="H214" s="88">
        <v>33.128569807113557</v>
      </c>
      <c r="I214" s="86">
        <v>4.524771681911643</v>
      </c>
      <c r="J214" s="86">
        <v>16.607905321748049</v>
      </c>
      <c r="K214" s="92">
        <v>35.011682438492443</v>
      </c>
      <c r="L214" s="86">
        <v>15.769341148603012</v>
      </c>
      <c r="M214" s="88">
        <v>24.757039380096924</v>
      </c>
      <c r="N214" s="86">
        <v>60.157546472242529</v>
      </c>
      <c r="O214" s="86">
        <v>11.65455613030257</v>
      </c>
      <c r="P214" s="86">
        <v>1.8887691543576608</v>
      </c>
      <c r="Q214" s="92">
        <v>7.550529088836357</v>
      </c>
    </row>
    <row r="215" spans="2:17" x14ac:dyDescent="0.3">
      <c r="B215" s="292"/>
      <c r="C215" s="9" t="s">
        <v>202</v>
      </c>
      <c r="D215" s="86">
        <v>15.000452676406596</v>
      </c>
      <c r="E215" s="86">
        <v>13.279969379324525</v>
      </c>
      <c r="F215" s="88">
        <v>18.190244303900862</v>
      </c>
      <c r="G215" s="88">
        <v>25.484901515386422</v>
      </c>
      <c r="H215" s="88">
        <v>26.325018929265791</v>
      </c>
      <c r="I215" s="86">
        <v>1.7635595224652152</v>
      </c>
      <c r="J215" s="86">
        <v>22.655077934054827</v>
      </c>
      <c r="K215" s="92">
        <v>33.979047124850013</v>
      </c>
      <c r="L215" s="86">
        <v>20.906611331888762</v>
      </c>
      <c r="M215" s="88">
        <v>33.654225351484357</v>
      </c>
      <c r="N215" s="86">
        <v>62.757441372438549</v>
      </c>
      <c r="O215" s="86">
        <v>11.031463765144052</v>
      </c>
      <c r="P215" s="86">
        <v>8.356137104521725</v>
      </c>
      <c r="Q215" s="92">
        <v>6.6158496888682885</v>
      </c>
    </row>
    <row r="216" spans="2:17" x14ac:dyDescent="0.3">
      <c r="B216" s="295"/>
      <c r="C216" s="12" t="s">
        <v>203</v>
      </c>
      <c r="D216" s="90">
        <v>22.848818634406829</v>
      </c>
      <c r="E216" s="90">
        <v>15.600074366485876</v>
      </c>
      <c r="F216" s="91">
        <v>19.886568603805081</v>
      </c>
      <c r="G216" s="91">
        <v>36.792731148566837</v>
      </c>
      <c r="H216" s="91">
        <v>31.441593558052887</v>
      </c>
      <c r="I216" s="90">
        <v>3.9977998159128099</v>
      </c>
      <c r="J216" s="90">
        <v>24.839323566737004</v>
      </c>
      <c r="K216" s="94">
        <v>32.57362788147578</v>
      </c>
      <c r="L216" s="90">
        <v>17.792452084064692</v>
      </c>
      <c r="M216" s="91">
        <v>21.976608347911203</v>
      </c>
      <c r="N216" s="90">
        <v>52.490831147394978</v>
      </c>
      <c r="O216" s="90">
        <v>13.063226085025095</v>
      </c>
      <c r="P216" s="90">
        <v>4.174686584494312</v>
      </c>
      <c r="Q216" s="94">
        <v>2.5216581756666083</v>
      </c>
    </row>
    <row r="217" spans="2:17" x14ac:dyDescent="0.3">
      <c r="B217" s="291" t="s">
        <v>204</v>
      </c>
      <c r="C217" s="13" t="s">
        <v>192</v>
      </c>
      <c r="D217" s="84">
        <v>20.573840684835133</v>
      </c>
      <c r="E217" s="84">
        <v>23.505623413624001</v>
      </c>
      <c r="F217" s="89">
        <v>23.14113015500692</v>
      </c>
      <c r="G217" s="89">
        <v>28.869553939892278</v>
      </c>
      <c r="H217" s="89">
        <v>31.575100464460899</v>
      </c>
      <c r="I217" s="84">
        <v>5.5399421535986173</v>
      </c>
      <c r="J217" s="84">
        <v>20.358765526215773</v>
      </c>
      <c r="K217" s="93">
        <v>38.479486749163627</v>
      </c>
      <c r="L217" s="84">
        <v>16.650425259829106</v>
      </c>
      <c r="M217" s="89">
        <v>23.396854345163586</v>
      </c>
      <c r="N217" s="84">
        <v>49.556176590639872</v>
      </c>
      <c r="O217" s="84">
        <v>8.6219554433609993</v>
      </c>
      <c r="P217" s="84">
        <v>6.3838211623581937</v>
      </c>
      <c r="Q217" s="93">
        <v>3.3473241118518953</v>
      </c>
    </row>
    <row r="218" spans="2:17" x14ac:dyDescent="0.3">
      <c r="B218" s="295"/>
      <c r="C218" s="12" t="s">
        <v>193</v>
      </c>
      <c r="D218" s="90">
        <v>20.10007662624011</v>
      </c>
      <c r="E218" s="90">
        <v>12.966681194467885</v>
      </c>
      <c r="F218" s="91">
        <v>19.82506702224445</v>
      </c>
      <c r="G218" s="91">
        <v>36.495997870334648</v>
      </c>
      <c r="H218" s="91">
        <v>29.756113939182544</v>
      </c>
      <c r="I218" s="90">
        <v>3.8587418641446338</v>
      </c>
      <c r="J218" s="90">
        <v>23.583674202563206</v>
      </c>
      <c r="K218" s="94">
        <v>34.368728479008546</v>
      </c>
      <c r="L218" s="90">
        <v>18.229655999508168</v>
      </c>
      <c r="M218" s="91">
        <v>24.259582110627665</v>
      </c>
      <c r="N218" s="90">
        <v>56.038604296950254</v>
      </c>
      <c r="O218" s="90">
        <v>12.040956595532776</v>
      </c>
      <c r="P218" s="90">
        <v>4.3337755130971134</v>
      </c>
      <c r="Q218" s="94">
        <v>4.1423442860976776</v>
      </c>
    </row>
    <row r="219" spans="2:17" ht="16.5" customHeight="1" x14ac:dyDescent="0.3">
      <c r="B219" s="291" t="s">
        <v>209</v>
      </c>
      <c r="C219" s="13" t="s">
        <v>205</v>
      </c>
      <c r="D219" s="84">
        <v>14.202020105737864</v>
      </c>
      <c r="E219" s="84">
        <v>14.571646037627211</v>
      </c>
      <c r="F219" s="89">
        <v>21.584811591998896</v>
      </c>
      <c r="G219" s="89">
        <v>30.813814438633923</v>
      </c>
      <c r="H219" s="89">
        <v>27.609265882277967</v>
      </c>
      <c r="I219" s="84">
        <v>4.4481259077984667</v>
      </c>
      <c r="J219" s="84">
        <v>25.013296408246056</v>
      </c>
      <c r="K219" s="93">
        <v>38.609392251271103</v>
      </c>
      <c r="L219" s="84">
        <v>22.48637142956176</v>
      </c>
      <c r="M219" s="89">
        <v>21.649114745394176</v>
      </c>
      <c r="N219" s="84">
        <v>59.209572629284224</v>
      </c>
      <c r="O219" s="84">
        <v>9.364674668828064</v>
      </c>
      <c r="P219" s="84">
        <v>6.4502610746975328</v>
      </c>
      <c r="Q219" s="93">
        <v>3.9876328286428295</v>
      </c>
    </row>
    <row r="220" spans="2:17" x14ac:dyDescent="0.3">
      <c r="B220" s="292"/>
      <c r="C220" s="9" t="s">
        <v>206</v>
      </c>
      <c r="D220" s="86">
        <v>21.967764594913628</v>
      </c>
      <c r="E220" s="86">
        <v>16.879238341031382</v>
      </c>
      <c r="F220" s="88">
        <v>18.338591150848728</v>
      </c>
      <c r="G220" s="88">
        <v>37.422872471479074</v>
      </c>
      <c r="H220" s="88">
        <v>32.276768157676969</v>
      </c>
      <c r="I220" s="86">
        <v>4.5607067112272635</v>
      </c>
      <c r="J220" s="86">
        <v>24.614649484659616</v>
      </c>
      <c r="K220" s="92">
        <v>24.872171562657819</v>
      </c>
      <c r="L220" s="86">
        <v>13.444101606915467</v>
      </c>
      <c r="M220" s="88">
        <v>24.929587532971208</v>
      </c>
      <c r="N220" s="86">
        <v>57.476487625891181</v>
      </c>
      <c r="O220" s="86">
        <v>13.608616779964752</v>
      </c>
      <c r="P220" s="86">
        <v>5.6042993822609954</v>
      </c>
      <c r="Q220" s="92">
        <v>4.0041445975018224</v>
      </c>
    </row>
    <row r="221" spans="2:17" x14ac:dyDescent="0.3">
      <c r="B221" s="292"/>
      <c r="C221" s="9" t="s">
        <v>207</v>
      </c>
      <c r="D221" s="86">
        <v>22.488486333949989</v>
      </c>
      <c r="E221" s="86">
        <v>21.972222370992707</v>
      </c>
      <c r="F221" s="88">
        <v>21.72746998532077</v>
      </c>
      <c r="G221" s="88">
        <v>30.312848077326098</v>
      </c>
      <c r="H221" s="88">
        <v>29.872484265051934</v>
      </c>
      <c r="I221" s="86">
        <v>4.071449323476851</v>
      </c>
      <c r="J221" s="86">
        <v>18.69140135735271</v>
      </c>
      <c r="K221" s="92">
        <v>37.016367327672548</v>
      </c>
      <c r="L221" s="86">
        <v>15.793282849760168</v>
      </c>
      <c r="M221" s="88">
        <v>25.635433704915044</v>
      </c>
      <c r="N221" s="86">
        <v>52.584829077210536</v>
      </c>
      <c r="O221" s="86">
        <v>10.647155022057465</v>
      </c>
      <c r="P221" s="86">
        <v>5.4897504555978003</v>
      </c>
      <c r="Q221" s="92">
        <v>3.6968198493151734</v>
      </c>
    </row>
    <row r="222" spans="2:17" x14ac:dyDescent="0.3">
      <c r="B222" s="293"/>
      <c r="C222" s="25" t="s">
        <v>208</v>
      </c>
      <c r="D222" s="87">
        <v>21.373468741844409</v>
      </c>
      <c r="E222" s="87">
        <v>19.766688610348904</v>
      </c>
      <c r="F222" s="95">
        <v>23.833184352643922</v>
      </c>
      <c r="G222" s="95">
        <v>31.43687702195226</v>
      </c>
      <c r="H222" s="95">
        <v>32.208742756494537</v>
      </c>
      <c r="I222" s="87">
        <v>5.6154498701518731</v>
      </c>
      <c r="J222" s="87">
        <v>20.361968853385871</v>
      </c>
      <c r="K222" s="96">
        <v>43.289953291795015</v>
      </c>
      <c r="L222" s="87">
        <v>18.251459101165153</v>
      </c>
      <c r="M222" s="95">
        <v>22.917210194525985</v>
      </c>
      <c r="N222" s="87">
        <v>44.966928628250812</v>
      </c>
      <c r="O222" s="87">
        <v>7.9824871824744905</v>
      </c>
      <c r="P222" s="87">
        <v>4.63531479858975</v>
      </c>
      <c r="Q222" s="96">
        <v>3.3602665963772185</v>
      </c>
    </row>
    <row r="223" spans="2:17" x14ac:dyDescent="0.3">
      <c r="B223" s="136"/>
    </row>
    <row r="224" spans="2:17" x14ac:dyDescent="0.3">
      <c r="B224" s="60"/>
      <c r="C224" s="9"/>
      <c r="D224" s="58"/>
      <c r="E224" s="58"/>
      <c r="F224" s="50"/>
      <c r="G224" s="58"/>
      <c r="H224" s="50"/>
      <c r="I224" s="58"/>
      <c r="J224" s="58"/>
      <c r="K224" s="58"/>
      <c r="L224" s="50"/>
      <c r="M224" s="58"/>
      <c r="N224" s="58"/>
    </row>
    <row r="225" spans="2:19" x14ac:dyDescent="0.3">
      <c r="B225" s="1" t="s">
        <v>489</v>
      </c>
      <c r="D225" s="59"/>
      <c r="E225" s="304"/>
      <c r="F225" s="304"/>
      <c r="G225" s="304"/>
      <c r="H225" s="304"/>
      <c r="I225" s="304"/>
      <c r="J225" s="304"/>
      <c r="K225" s="304"/>
      <c r="L225" s="304"/>
      <c r="M225" s="304"/>
      <c r="N225" s="304"/>
      <c r="O225" s="304"/>
      <c r="P225" s="304"/>
      <c r="Q225" s="304"/>
      <c r="R225" s="304"/>
      <c r="S225" s="304"/>
    </row>
    <row r="226" spans="2:19" ht="10.5" customHeight="1" x14ac:dyDescent="0.3"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30"/>
      <c r="O226" s="30"/>
      <c r="P226" s="30" t="s">
        <v>52</v>
      </c>
    </row>
    <row r="227" spans="2:19" s="125" customFormat="1" ht="27" x14ac:dyDescent="0.3">
      <c r="B227" s="297"/>
      <c r="C227" s="297"/>
      <c r="D227" s="215" t="s">
        <v>57</v>
      </c>
      <c r="E227" s="215" t="s">
        <v>59</v>
      </c>
      <c r="F227" s="215" t="s">
        <v>126</v>
      </c>
      <c r="G227" s="215" t="s">
        <v>58</v>
      </c>
      <c r="H227" s="215" t="s">
        <v>127</v>
      </c>
      <c r="I227" s="202" t="s">
        <v>376</v>
      </c>
      <c r="J227" s="215" t="s">
        <v>60</v>
      </c>
      <c r="K227" s="215" t="s">
        <v>61</v>
      </c>
      <c r="L227" s="215" t="s">
        <v>128</v>
      </c>
      <c r="M227" s="215" t="s">
        <v>129</v>
      </c>
      <c r="N227" s="202" t="s">
        <v>377</v>
      </c>
      <c r="O227" s="215" t="s">
        <v>130</v>
      </c>
      <c r="P227" s="215" t="s">
        <v>38</v>
      </c>
      <c r="Q227" s="126"/>
    </row>
    <row r="228" spans="2:19" ht="21.75" customHeight="1" x14ac:dyDescent="0.3">
      <c r="B228" s="292" t="s">
        <v>20</v>
      </c>
      <c r="C228" s="292"/>
      <c r="D228" s="86">
        <v>15.232381068081501</v>
      </c>
      <c r="E228" s="86">
        <v>11.176940640890768</v>
      </c>
      <c r="F228" s="88">
        <v>31.63286131830559</v>
      </c>
      <c r="G228" s="86">
        <v>4.322125221687136</v>
      </c>
      <c r="H228" s="88">
        <v>5.7324887057186222</v>
      </c>
      <c r="I228" s="86">
        <v>8.0711794175565785</v>
      </c>
      <c r="J228" s="86">
        <v>3.7444168317534157</v>
      </c>
      <c r="K228" s="86">
        <v>2.6197760016154841</v>
      </c>
      <c r="L228" s="88">
        <v>13.086468767416138</v>
      </c>
      <c r="M228" s="86">
        <v>1.944604965178979</v>
      </c>
      <c r="N228" s="86">
        <v>1.5829949366279568</v>
      </c>
      <c r="O228" s="86">
        <v>0.54590903514791422</v>
      </c>
      <c r="P228" s="86">
        <v>0.30785309001967665</v>
      </c>
    </row>
    <row r="229" spans="2:19" x14ac:dyDescent="0.3">
      <c r="B229" s="296" t="s">
        <v>5</v>
      </c>
      <c r="C229" s="13" t="s">
        <v>0</v>
      </c>
      <c r="D229" s="84">
        <v>16.704324878245661</v>
      </c>
      <c r="E229" s="84">
        <v>9.0469503427792759</v>
      </c>
      <c r="F229" s="89">
        <v>26.699883002803826</v>
      </c>
      <c r="G229" s="84">
        <v>4.3994986924182653</v>
      </c>
      <c r="H229" s="89">
        <v>5.7468307839621442</v>
      </c>
      <c r="I229" s="84">
        <v>8.6550484264107332</v>
      </c>
      <c r="J229" s="84">
        <v>4.5029838121469101</v>
      </c>
      <c r="K229" s="84">
        <v>3.7357807685849753</v>
      </c>
      <c r="L229" s="89">
        <v>16.136703710516041</v>
      </c>
      <c r="M229" s="84">
        <v>2.6342229424400623</v>
      </c>
      <c r="N229" s="84">
        <v>0.88206988796059926</v>
      </c>
      <c r="O229" s="84">
        <v>0.61975433717073214</v>
      </c>
      <c r="P229" s="84">
        <v>0.23594841456082333</v>
      </c>
    </row>
    <row r="230" spans="2:19" x14ac:dyDescent="0.3">
      <c r="B230" s="295"/>
      <c r="C230" s="12" t="s">
        <v>1</v>
      </c>
      <c r="D230" s="90">
        <v>14.266333586084947</v>
      </c>
      <c r="E230" s="90">
        <v>12.574868843013148</v>
      </c>
      <c r="F230" s="90">
        <v>34.87041104508711</v>
      </c>
      <c r="G230" s="90">
        <v>4.2713444472737505</v>
      </c>
      <c r="H230" s="90">
        <v>5.7230758949319265</v>
      </c>
      <c r="I230" s="90">
        <v>7.6879819191707792</v>
      </c>
      <c r="J230" s="90">
        <v>3.2465637776662697</v>
      </c>
      <c r="K230" s="90">
        <v>1.8873339154553752</v>
      </c>
      <c r="L230" s="90">
        <v>11.084577278126835</v>
      </c>
      <c r="M230" s="90">
        <v>1.4920036458403227</v>
      </c>
      <c r="N230" s="90">
        <v>2.0430171695812382</v>
      </c>
      <c r="O230" s="90">
        <v>0.49744382364743933</v>
      </c>
      <c r="P230" s="90">
        <v>0.35504465412093478</v>
      </c>
    </row>
    <row r="231" spans="2:19" x14ac:dyDescent="0.3">
      <c r="B231" s="296" t="s">
        <v>4</v>
      </c>
      <c r="C231" s="9" t="s">
        <v>175</v>
      </c>
      <c r="D231" s="86">
        <v>24.545375287924848</v>
      </c>
      <c r="E231" s="86">
        <v>9.1513737772431529</v>
      </c>
      <c r="F231" s="88">
        <v>39.105575261287044</v>
      </c>
      <c r="G231" s="86">
        <v>3.9098935185250947</v>
      </c>
      <c r="H231" s="88">
        <v>2.744070606459041</v>
      </c>
      <c r="I231" s="86">
        <v>3.860784769341842</v>
      </c>
      <c r="J231" s="86">
        <v>0</v>
      </c>
      <c r="K231" s="86">
        <v>2.1352490447697292</v>
      </c>
      <c r="L231" s="88">
        <v>9.0627827656827691</v>
      </c>
      <c r="M231" s="86">
        <v>2.3489932147260846</v>
      </c>
      <c r="N231" s="86">
        <v>3.1359017540403711</v>
      </c>
      <c r="O231" s="86">
        <v>0</v>
      </c>
      <c r="P231" s="86">
        <v>0</v>
      </c>
    </row>
    <row r="232" spans="2:19" x14ac:dyDescent="0.3">
      <c r="B232" s="292"/>
      <c r="C232" s="9" t="s">
        <v>176</v>
      </c>
      <c r="D232" s="86">
        <v>15.077179677381046</v>
      </c>
      <c r="E232" s="86">
        <v>8.4606122008139621</v>
      </c>
      <c r="F232" s="88">
        <v>42.219644611372438</v>
      </c>
      <c r="G232" s="86">
        <v>5.0612580455333571</v>
      </c>
      <c r="H232" s="88">
        <v>5.4983713116132433</v>
      </c>
      <c r="I232" s="86">
        <v>2.4527354883133854</v>
      </c>
      <c r="J232" s="86">
        <v>2.6888556421520207</v>
      </c>
      <c r="K232" s="86">
        <v>2.3911186785193395</v>
      </c>
      <c r="L232" s="88">
        <v>12.824687145668431</v>
      </c>
      <c r="M232" s="86">
        <v>1.1443136765829138</v>
      </c>
      <c r="N232" s="86">
        <v>0.90786485341063594</v>
      </c>
      <c r="O232" s="86">
        <v>0.42295367454048582</v>
      </c>
      <c r="P232" s="86">
        <v>0.85040499409870773</v>
      </c>
    </row>
    <row r="233" spans="2:19" x14ac:dyDescent="0.3">
      <c r="B233" s="292"/>
      <c r="C233" s="9" t="s">
        <v>177</v>
      </c>
      <c r="D233" s="86">
        <v>13.913291621682758</v>
      </c>
      <c r="E233" s="86">
        <v>12.436186634836915</v>
      </c>
      <c r="F233" s="88">
        <v>30.148980934797553</v>
      </c>
      <c r="G233" s="86">
        <v>3.7630939694533176</v>
      </c>
      <c r="H233" s="88">
        <v>4.1351431056639871</v>
      </c>
      <c r="I233" s="86">
        <v>8.6659978628988572</v>
      </c>
      <c r="J233" s="86">
        <v>3.122296634060342</v>
      </c>
      <c r="K233" s="86">
        <v>2.5550620649394546</v>
      </c>
      <c r="L233" s="88">
        <v>16.108829152711913</v>
      </c>
      <c r="M233" s="86">
        <v>2.5093564271518174</v>
      </c>
      <c r="N233" s="86">
        <v>1.2675622201470873</v>
      </c>
      <c r="O233" s="86">
        <v>0.92449028381006593</v>
      </c>
      <c r="P233" s="86">
        <v>0.44970908784596658</v>
      </c>
    </row>
    <row r="234" spans="2:19" x14ac:dyDescent="0.3">
      <c r="B234" s="292"/>
      <c r="C234" s="9" t="s">
        <v>178</v>
      </c>
      <c r="D234" s="86">
        <v>15.542250432060808</v>
      </c>
      <c r="E234" s="86">
        <v>12.494311785169296</v>
      </c>
      <c r="F234" s="88">
        <v>24.260704151601349</v>
      </c>
      <c r="G234" s="86">
        <v>5.281162866019395</v>
      </c>
      <c r="H234" s="88">
        <v>7.0070571040337857</v>
      </c>
      <c r="I234" s="86">
        <v>9.2964801467816294</v>
      </c>
      <c r="J234" s="86">
        <v>5.2528530445087167</v>
      </c>
      <c r="K234" s="86">
        <v>1.8871972246001907</v>
      </c>
      <c r="L234" s="88">
        <v>15.051301815340196</v>
      </c>
      <c r="M234" s="86">
        <v>2.3810333558511121</v>
      </c>
      <c r="N234" s="86">
        <v>1.5456480740334275</v>
      </c>
      <c r="O234" s="86">
        <v>0</v>
      </c>
      <c r="P234" s="86">
        <v>0</v>
      </c>
    </row>
    <row r="235" spans="2:19" x14ac:dyDescent="0.3">
      <c r="B235" s="292"/>
      <c r="C235" s="9" t="s">
        <v>179</v>
      </c>
      <c r="D235" s="86">
        <v>11.589543637507866</v>
      </c>
      <c r="E235" s="86">
        <v>6.8616660193540095</v>
      </c>
      <c r="F235" s="88">
        <v>32.5003924758539</v>
      </c>
      <c r="G235" s="86">
        <v>5.2462011758774691</v>
      </c>
      <c r="H235" s="88">
        <v>6.0676944472443779</v>
      </c>
      <c r="I235" s="86">
        <v>10.90669529952012</v>
      </c>
      <c r="J235" s="86">
        <v>3.8058039796690362</v>
      </c>
      <c r="K235" s="86">
        <v>4.6860461075134454</v>
      </c>
      <c r="L235" s="88">
        <v>14.269370767694259</v>
      </c>
      <c r="M235" s="86">
        <v>1.0841858610215613</v>
      </c>
      <c r="N235" s="86">
        <v>1.8955859947997828</v>
      </c>
      <c r="O235" s="86">
        <v>0.77951464247145719</v>
      </c>
      <c r="P235" s="86">
        <v>0.3072995914727415</v>
      </c>
    </row>
    <row r="236" spans="2:19" x14ac:dyDescent="0.3">
      <c r="B236" s="298"/>
      <c r="C236" s="12" t="s">
        <v>180</v>
      </c>
      <c r="D236" s="90">
        <v>17.039596424531066</v>
      </c>
      <c r="E236" s="90">
        <v>17.013664834964544</v>
      </c>
      <c r="F236" s="91">
        <v>25.954088133540903</v>
      </c>
      <c r="G236" s="90">
        <v>2.0608414989331276</v>
      </c>
      <c r="H236" s="91">
        <v>7.1905520388121298</v>
      </c>
      <c r="I236" s="90">
        <v>10.917374704620237</v>
      </c>
      <c r="J236" s="90">
        <v>5.3310148156258732</v>
      </c>
      <c r="K236" s="90">
        <v>1.6879794121890959</v>
      </c>
      <c r="L236" s="91">
        <v>7.6352286981666992</v>
      </c>
      <c r="M236" s="90">
        <v>2.4981217217721317</v>
      </c>
      <c r="N236" s="90">
        <v>1.8168329559012379</v>
      </c>
      <c r="O236" s="90">
        <v>0.85470476094295311</v>
      </c>
      <c r="P236" s="90">
        <v>0</v>
      </c>
    </row>
    <row r="237" spans="2:19" x14ac:dyDescent="0.3">
      <c r="B237" s="292" t="s">
        <v>223</v>
      </c>
      <c r="C237" s="9" t="s">
        <v>210</v>
      </c>
      <c r="D237" s="86">
        <v>42.628502222210848</v>
      </c>
      <c r="E237" s="86">
        <v>5.0710021458287384</v>
      </c>
      <c r="F237" s="88">
        <v>27.731886020506476</v>
      </c>
      <c r="G237" s="86">
        <v>7.1351995276195126</v>
      </c>
      <c r="H237" s="88">
        <v>2.8093126099034431</v>
      </c>
      <c r="I237" s="86">
        <v>0</v>
      </c>
      <c r="J237" s="86">
        <v>0</v>
      </c>
      <c r="K237" s="86">
        <v>2.9858590727875205</v>
      </c>
      <c r="L237" s="88">
        <v>8.6523793283559378</v>
      </c>
      <c r="M237" s="86">
        <v>2.9858590727875205</v>
      </c>
      <c r="N237" s="86">
        <v>0</v>
      </c>
      <c r="O237" s="86">
        <v>0</v>
      </c>
      <c r="P237" s="86">
        <v>0</v>
      </c>
    </row>
    <row r="238" spans="2:19" x14ac:dyDescent="0.3">
      <c r="B238" s="292"/>
      <c r="C238" s="9" t="s">
        <v>211</v>
      </c>
      <c r="D238" s="86">
        <v>24.116938316289389</v>
      </c>
      <c r="E238" s="86">
        <v>4.3565502453416327</v>
      </c>
      <c r="F238" s="88">
        <v>31.534237378331586</v>
      </c>
      <c r="G238" s="86">
        <v>4.556916341055385</v>
      </c>
      <c r="H238" s="88">
        <v>5.3240378707852667</v>
      </c>
      <c r="I238" s="86">
        <v>4.9704779616424588</v>
      </c>
      <c r="J238" s="86">
        <v>3.6567922860078204</v>
      </c>
      <c r="K238" s="86">
        <v>3.2498486758861862</v>
      </c>
      <c r="L238" s="88">
        <v>13.41484617548128</v>
      </c>
      <c r="M238" s="86">
        <v>1.1057360857889427</v>
      </c>
      <c r="N238" s="86">
        <v>1.0402888693779924</v>
      </c>
      <c r="O238" s="86">
        <v>1.2403856867655703</v>
      </c>
      <c r="P238" s="86">
        <v>1.4329441072464946</v>
      </c>
    </row>
    <row r="239" spans="2:19" x14ac:dyDescent="0.3">
      <c r="B239" s="292"/>
      <c r="C239" s="9" t="s">
        <v>212</v>
      </c>
      <c r="D239" s="86">
        <v>10.833729334872858</v>
      </c>
      <c r="E239" s="86">
        <v>16.547171938274079</v>
      </c>
      <c r="F239" s="88">
        <v>19.635090471063322</v>
      </c>
      <c r="G239" s="86">
        <v>2.3348159006129641</v>
      </c>
      <c r="H239" s="88">
        <v>5.6326574532008635</v>
      </c>
      <c r="I239" s="86">
        <v>9.7512882799672518</v>
      </c>
      <c r="J239" s="86">
        <v>3.4474108118332443</v>
      </c>
      <c r="K239" s="86">
        <v>3.3726841749383154</v>
      </c>
      <c r="L239" s="88">
        <v>21.435586311633077</v>
      </c>
      <c r="M239" s="86">
        <v>4.7021533040480206</v>
      </c>
      <c r="N239" s="86">
        <v>1.1075577693868908</v>
      </c>
      <c r="O239" s="86">
        <v>1.1998542501691318</v>
      </c>
      <c r="P239" s="86">
        <v>0</v>
      </c>
    </row>
    <row r="240" spans="2:19" x14ac:dyDescent="0.3">
      <c r="B240" s="292"/>
      <c r="C240" s="9" t="s">
        <v>213</v>
      </c>
      <c r="D240" s="86">
        <v>21.374209349613839</v>
      </c>
      <c r="E240" s="86">
        <v>5.8513754659897419</v>
      </c>
      <c r="F240" s="88">
        <v>26.76008086831823</v>
      </c>
      <c r="G240" s="86">
        <v>4.7457962128048994</v>
      </c>
      <c r="H240" s="88">
        <v>4.826721032610175</v>
      </c>
      <c r="I240" s="86">
        <v>6.9302706052442833</v>
      </c>
      <c r="J240" s="86">
        <v>3.4434975096851126</v>
      </c>
      <c r="K240" s="86">
        <v>3.384741609143648</v>
      </c>
      <c r="L240" s="88">
        <v>20.252086680988</v>
      </c>
      <c r="M240" s="86">
        <v>1.5390951387920542</v>
      </c>
      <c r="N240" s="86">
        <v>0.89212552681005886</v>
      </c>
      <c r="O240" s="86">
        <v>0</v>
      </c>
      <c r="P240" s="86">
        <v>0</v>
      </c>
    </row>
    <row r="241" spans="2:16" x14ac:dyDescent="0.3">
      <c r="B241" s="292"/>
      <c r="C241" s="9" t="s">
        <v>214</v>
      </c>
      <c r="D241" s="86">
        <v>9.2767964612999645</v>
      </c>
      <c r="E241" s="86">
        <v>7.794138271597455</v>
      </c>
      <c r="F241" s="88">
        <v>26.344924519246121</v>
      </c>
      <c r="G241" s="86">
        <v>7.6288397529489291</v>
      </c>
      <c r="H241" s="88">
        <v>6.6844814136145274</v>
      </c>
      <c r="I241" s="86">
        <v>12.792045168543773</v>
      </c>
      <c r="J241" s="86">
        <v>4.0859376969168215</v>
      </c>
      <c r="K241" s="86">
        <v>5.2461443300414796</v>
      </c>
      <c r="L241" s="88">
        <v>15.984517670057366</v>
      </c>
      <c r="M241" s="86">
        <v>1.7310606790426675</v>
      </c>
      <c r="N241" s="86">
        <v>1.5099646058083294</v>
      </c>
      <c r="O241" s="86">
        <v>0.92114943088258439</v>
      </c>
      <c r="P241" s="86">
        <v>0</v>
      </c>
    </row>
    <row r="242" spans="2:16" x14ac:dyDescent="0.3">
      <c r="B242" s="292"/>
      <c r="C242" s="12" t="s">
        <v>215</v>
      </c>
      <c r="D242" s="90">
        <v>9.7065425923004192</v>
      </c>
      <c r="E242" s="90">
        <v>12.49630672988085</v>
      </c>
      <c r="F242" s="91">
        <v>29.711681535691298</v>
      </c>
      <c r="G242" s="90">
        <v>0.98195387516064025</v>
      </c>
      <c r="H242" s="91">
        <v>7.3594040102037255</v>
      </c>
      <c r="I242" s="90">
        <v>11.249982830738363</v>
      </c>
      <c r="J242" s="90">
        <v>10.042477990756645</v>
      </c>
      <c r="K242" s="90">
        <v>3.4280077371249362</v>
      </c>
      <c r="L242" s="91">
        <v>10.771348717976903</v>
      </c>
      <c r="M242" s="90">
        <v>4.2522939801662174</v>
      </c>
      <c r="N242" s="90">
        <v>0</v>
      </c>
      <c r="O242" s="90">
        <v>0</v>
      </c>
      <c r="P242" s="90">
        <v>0</v>
      </c>
    </row>
    <row r="243" spans="2:16" x14ac:dyDescent="0.3">
      <c r="B243" s="292"/>
      <c r="C243" s="9" t="s">
        <v>216</v>
      </c>
      <c r="D243" s="86">
        <v>13.64075448218639</v>
      </c>
      <c r="E243" s="86">
        <v>11.611949625035461</v>
      </c>
      <c r="F243" s="88">
        <v>45.9642213783955</v>
      </c>
      <c r="G243" s="86">
        <v>1.9649456597031896</v>
      </c>
      <c r="H243" s="88">
        <v>2.7047278915207875</v>
      </c>
      <c r="I243" s="86">
        <v>6.1889437252146777</v>
      </c>
      <c r="J243" s="86">
        <v>0</v>
      </c>
      <c r="K243" s="86">
        <v>1.6223079011942854</v>
      </c>
      <c r="L243" s="88">
        <v>9.3102672786037921</v>
      </c>
      <c r="M243" s="86">
        <v>1.9649456597031896</v>
      </c>
      <c r="N243" s="86">
        <v>5.0269363984427393</v>
      </c>
      <c r="O243" s="86">
        <v>0</v>
      </c>
      <c r="P243" s="86">
        <v>0</v>
      </c>
    </row>
    <row r="244" spans="2:16" x14ac:dyDescent="0.3">
      <c r="B244" s="292"/>
      <c r="C244" s="9" t="s">
        <v>217</v>
      </c>
      <c r="D244" s="86">
        <v>10.399849849206197</v>
      </c>
      <c r="E244" s="86">
        <v>10.584125910393114</v>
      </c>
      <c r="F244" s="88">
        <v>47.748461914323471</v>
      </c>
      <c r="G244" s="86">
        <v>5.3222132980103494</v>
      </c>
      <c r="H244" s="88">
        <v>5.5885744946189728</v>
      </c>
      <c r="I244" s="86">
        <v>1.150011329343257</v>
      </c>
      <c r="J244" s="86">
        <v>2.1880282288399191</v>
      </c>
      <c r="K244" s="86">
        <v>1.9467967014098368</v>
      </c>
      <c r="L244" s="88">
        <v>12.519328502393448</v>
      </c>
      <c r="M244" s="86">
        <v>1.1642743993552158</v>
      </c>
      <c r="N244" s="86">
        <v>0.83934634261933305</v>
      </c>
      <c r="O244" s="86">
        <v>0</v>
      </c>
      <c r="P244" s="86">
        <v>0.548989029486879</v>
      </c>
    </row>
    <row r="245" spans="2:16" x14ac:dyDescent="0.3">
      <c r="B245" s="292"/>
      <c r="C245" s="9" t="s">
        <v>218</v>
      </c>
      <c r="D245" s="86">
        <v>15.750423225483454</v>
      </c>
      <c r="E245" s="86">
        <v>9.9837533601301995</v>
      </c>
      <c r="F245" s="88">
        <v>36.421106208105002</v>
      </c>
      <c r="G245" s="86">
        <v>4.6151419343607412</v>
      </c>
      <c r="H245" s="88">
        <v>3.2417918177915754</v>
      </c>
      <c r="I245" s="86">
        <v>8.0185612667832036</v>
      </c>
      <c r="J245" s="86">
        <v>2.9283477948410588</v>
      </c>
      <c r="K245" s="86">
        <v>2.0673046246439086</v>
      </c>
      <c r="L245" s="88">
        <v>12.931119786566004</v>
      </c>
      <c r="M245" s="86">
        <v>1.2012301195542248</v>
      </c>
      <c r="N245" s="86">
        <v>1.363013847964244</v>
      </c>
      <c r="O245" s="86">
        <v>0.76022023565650798</v>
      </c>
      <c r="P245" s="86">
        <v>0.71798577812003539</v>
      </c>
    </row>
    <row r="246" spans="2:16" x14ac:dyDescent="0.3">
      <c r="B246" s="292"/>
      <c r="C246" s="9" t="s">
        <v>219</v>
      </c>
      <c r="D246" s="86">
        <v>11.313399880609037</v>
      </c>
      <c r="E246" s="86">
        <v>17.311215558628763</v>
      </c>
      <c r="F246" s="88">
        <v>22.44836446330865</v>
      </c>
      <c r="G246" s="86">
        <v>5.6693661436283858</v>
      </c>
      <c r="H246" s="88">
        <v>8.588055106306868</v>
      </c>
      <c r="I246" s="86">
        <v>11.012258098245534</v>
      </c>
      <c r="J246" s="86">
        <v>6.5648468804360842</v>
      </c>
      <c r="K246" s="86">
        <v>0.80130284743998836</v>
      </c>
      <c r="L246" s="88">
        <v>11.280126082109074</v>
      </c>
      <c r="M246" s="86">
        <v>2.9915367808293603</v>
      </c>
      <c r="N246" s="86">
        <v>2.0195281584581837</v>
      </c>
      <c r="O246" s="86">
        <v>0</v>
      </c>
      <c r="P246" s="86">
        <v>0</v>
      </c>
    </row>
    <row r="247" spans="2:16" x14ac:dyDescent="0.3">
      <c r="B247" s="292"/>
      <c r="C247" s="9" t="s">
        <v>220</v>
      </c>
      <c r="D247" s="86">
        <v>13.47257624481373</v>
      </c>
      <c r="E247" s="86">
        <v>6.1024495885890362</v>
      </c>
      <c r="F247" s="88">
        <v>37.512158134789409</v>
      </c>
      <c r="G247" s="86">
        <v>3.3062631756474516</v>
      </c>
      <c r="H247" s="88">
        <v>5.5655081376536382</v>
      </c>
      <c r="I247" s="86">
        <v>9.3716484443889847</v>
      </c>
      <c r="J247" s="86">
        <v>3.5777198512307993</v>
      </c>
      <c r="K247" s="86">
        <v>4.2300156225714431</v>
      </c>
      <c r="L247" s="88">
        <v>12.872902715892376</v>
      </c>
      <c r="M247" s="86">
        <v>0.55750210254173493</v>
      </c>
      <c r="N247" s="86">
        <v>2.2095579053551324</v>
      </c>
      <c r="O247" s="86">
        <v>0.66419597398460739</v>
      </c>
      <c r="P247" s="86">
        <v>0.55750210254173493</v>
      </c>
    </row>
    <row r="248" spans="2:16" x14ac:dyDescent="0.3">
      <c r="B248" s="295"/>
      <c r="C248" s="9" t="s">
        <v>221</v>
      </c>
      <c r="D248" s="90">
        <v>22.069384006080977</v>
      </c>
      <c r="E248" s="90">
        <v>20.112149070617864</v>
      </c>
      <c r="F248" s="91">
        <v>23.376731269258787</v>
      </c>
      <c r="G248" s="90">
        <v>2.8008572817284962</v>
      </c>
      <c r="H248" s="91">
        <v>7.0747354133984697</v>
      </c>
      <c r="I248" s="90">
        <v>10.689236706380198</v>
      </c>
      <c r="J248" s="90">
        <v>2.099392695923822</v>
      </c>
      <c r="K248" s="90">
        <v>0.49448307893701776</v>
      </c>
      <c r="L248" s="91">
        <v>5.4841443217557986</v>
      </c>
      <c r="M248" s="90">
        <v>1.2949239759175895</v>
      </c>
      <c r="N248" s="90">
        <v>3.0630100668856906</v>
      </c>
      <c r="O248" s="90">
        <v>1.4409521131152929</v>
      </c>
      <c r="P248" s="90">
        <v>0</v>
      </c>
    </row>
    <row r="249" spans="2:16" ht="16.5" customHeight="1" x14ac:dyDescent="0.3">
      <c r="B249" s="291" t="s">
        <v>222</v>
      </c>
      <c r="C249" s="13" t="s">
        <v>226</v>
      </c>
      <c r="D249" s="80">
        <v>19.085562053551122</v>
      </c>
      <c r="E249" s="80">
        <v>12.801876903317865</v>
      </c>
      <c r="F249" s="80">
        <v>26.777609553477994</v>
      </c>
      <c r="G249" s="80">
        <v>5.0343354591306149</v>
      </c>
      <c r="H249" s="80">
        <v>8.0539209968338739</v>
      </c>
      <c r="I249" s="80">
        <v>7.7084565829841356</v>
      </c>
      <c r="J249" s="80">
        <v>3.1728653217124805</v>
      </c>
      <c r="K249" s="80">
        <v>1.6028018725732804</v>
      </c>
      <c r="L249" s="80">
        <v>12.132987607506736</v>
      </c>
      <c r="M249" s="80">
        <v>1.0414538795001067</v>
      </c>
      <c r="N249" s="80">
        <v>1.4869723246258644</v>
      </c>
      <c r="O249" s="80">
        <v>0.54810276249710399</v>
      </c>
      <c r="P249" s="80">
        <v>0.55305468228877963</v>
      </c>
    </row>
    <row r="250" spans="2:16" x14ac:dyDescent="0.3">
      <c r="B250" s="294"/>
      <c r="C250" s="9" t="s">
        <v>227</v>
      </c>
      <c r="D250" s="79">
        <v>11.511842002997454</v>
      </c>
      <c r="E250" s="79">
        <v>10.833409232718209</v>
      </c>
      <c r="F250" s="79">
        <v>32.037368871368891</v>
      </c>
      <c r="G250" s="79">
        <v>2.1300989687246834</v>
      </c>
      <c r="H250" s="79">
        <v>6.1418746433261804</v>
      </c>
      <c r="I250" s="79">
        <v>8.531509894671526</v>
      </c>
      <c r="J250" s="79">
        <v>3.8162883629745528</v>
      </c>
      <c r="K250" s="79">
        <v>3.7839778919766984</v>
      </c>
      <c r="L250" s="79">
        <v>17.457402286913844</v>
      </c>
      <c r="M250" s="79">
        <v>1.9893551988079567</v>
      </c>
      <c r="N250" s="79">
        <v>0.69653359532710479</v>
      </c>
      <c r="O250" s="79">
        <v>0.56888132453328111</v>
      </c>
      <c r="P250" s="79">
        <v>0.50145772565964086</v>
      </c>
    </row>
    <row r="251" spans="2:16" x14ac:dyDescent="0.3">
      <c r="B251" s="292"/>
      <c r="C251" s="9" t="s">
        <v>228</v>
      </c>
      <c r="D251" s="79">
        <v>15.995701938047988</v>
      </c>
      <c r="E251" s="79">
        <v>10.509163946677115</v>
      </c>
      <c r="F251" s="79">
        <v>30.619007550827398</v>
      </c>
      <c r="G251" s="79">
        <v>5.0252391168510515</v>
      </c>
      <c r="H251" s="79">
        <v>3.334307080697692</v>
      </c>
      <c r="I251" s="79">
        <v>9.45098259045578</v>
      </c>
      <c r="J251" s="79">
        <v>4.157999666159041</v>
      </c>
      <c r="K251" s="79">
        <v>3.1748992527574695</v>
      </c>
      <c r="L251" s="79">
        <v>11.325048138157639</v>
      </c>
      <c r="M251" s="79">
        <v>3.3509798752087079</v>
      </c>
      <c r="N251" s="79">
        <v>1.84259546835678</v>
      </c>
      <c r="O251" s="79">
        <v>1.2140753758033556</v>
      </c>
      <c r="P251" s="79">
        <v>0</v>
      </c>
    </row>
    <row r="252" spans="2:16" x14ac:dyDescent="0.3">
      <c r="B252" s="295"/>
      <c r="C252" s="12" t="s">
        <v>229</v>
      </c>
      <c r="D252" s="81">
        <v>14.402220306820762</v>
      </c>
      <c r="E252" s="81">
        <v>10.081207435700611</v>
      </c>
      <c r="F252" s="81">
        <v>37.991218630859855</v>
      </c>
      <c r="G252" s="81">
        <v>5.5871002023257859</v>
      </c>
      <c r="H252" s="81">
        <v>4.1720632892376912</v>
      </c>
      <c r="I252" s="81">
        <v>6.8951738013933461</v>
      </c>
      <c r="J252" s="81">
        <v>4.0523818680020112</v>
      </c>
      <c r="K252" s="81">
        <v>2.0315595501691073</v>
      </c>
      <c r="L252" s="81">
        <v>10.257133429107094</v>
      </c>
      <c r="M252" s="81">
        <v>1.9358041626598532</v>
      </c>
      <c r="N252" s="81">
        <v>2.594137323723873</v>
      </c>
      <c r="O252" s="81">
        <v>0</v>
      </c>
      <c r="P252" s="81">
        <v>0</v>
      </c>
    </row>
    <row r="253" spans="2:16" x14ac:dyDescent="0.3">
      <c r="B253" s="296" t="s">
        <v>199</v>
      </c>
      <c r="C253" s="13" t="s">
        <v>192</v>
      </c>
      <c r="D253" s="80">
        <v>14.703984649641496</v>
      </c>
      <c r="E253" s="80">
        <v>11.36107669148377</v>
      </c>
      <c r="F253" s="80">
        <v>32.019874379856567</v>
      </c>
      <c r="G253" s="80">
        <v>5.3019819146771212</v>
      </c>
      <c r="H253" s="80">
        <v>4.7257152436467473</v>
      </c>
      <c r="I253" s="80">
        <v>9.4922522214474938</v>
      </c>
      <c r="J253" s="80">
        <v>3.8382626821377817</v>
      </c>
      <c r="K253" s="80">
        <v>2.0612766417195298</v>
      </c>
      <c r="L253" s="80">
        <v>12.801984810204948</v>
      </c>
      <c r="M253" s="80">
        <v>1.7626328463324705</v>
      </c>
      <c r="N253" s="80">
        <v>1.2674102608724072</v>
      </c>
      <c r="O253" s="80">
        <v>0.32486596089358644</v>
      </c>
      <c r="P253" s="80">
        <v>0.3386816970864252</v>
      </c>
    </row>
    <row r="254" spans="2:16" ht="16.5" customHeight="1" x14ac:dyDescent="0.3">
      <c r="B254" s="292"/>
      <c r="C254" s="9" t="s">
        <v>200</v>
      </c>
      <c r="D254" s="79">
        <v>18.173572667130575</v>
      </c>
      <c r="E254" s="79">
        <v>4.4114411022468385</v>
      </c>
      <c r="F254" s="79">
        <v>31.344693140045639</v>
      </c>
      <c r="G254" s="79">
        <v>4.0879065884448487</v>
      </c>
      <c r="H254" s="79">
        <v>10.35980151946328</v>
      </c>
      <c r="I254" s="79">
        <v>7.0087149819159604</v>
      </c>
      <c r="J254" s="79">
        <v>10.045693402195909</v>
      </c>
      <c r="K254" s="79">
        <v>0</v>
      </c>
      <c r="L254" s="79">
        <v>13.778207942171594</v>
      </c>
      <c r="M254" s="79">
        <v>0</v>
      </c>
      <c r="N254" s="79">
        <v>0.78996865638539371</v>
      </c>
      <c r="O254" s="79">
        <v>0</v>
      </c>
      <c r="P254" s="79">
        <v>0</v>
      </c>
    </row>
    <row r="255" spans="2:16" ht="16.5" customHeight="1" x14ac:dyDescent="0.3">
      <c r="B255" s="292"/>
      <c r="C255" s="9" t="s">
        <v>201</v>
      </c>
      <c r="D255" s="79">
        <v>12.588056490357985</v>
      </c>
      <c r="E255" s="79">
        <v>9.8548175803796791</v>
      </c>
      <c r="F255" s="79">
        <v>30.010438451608902</v>
      </c>
      <c r="G255" s="79">
        <v>3.099029604090068</v>
      </c>
      <c r="H255" s="79">
        <v>9.6886748003312029</v>
      </c>
      <c r="I255" s="79">
        <v>7.2389607796765496</v>
      </c>
      <c r="J255" s="79">
        <v>5.5298370894700275</v>
      </c>
      <c r="K255" s="79">
        <v>3.0213800675890354</v>
      </c>
      <c r="L255" s="79">
        <v>13.308581990157078</v>
      </c>
      <c r="M255" s="79">
        <v>3.2716231568340062</v>
      </c>
      <c r="N255" s="79">
        <v>0.9574284829288241</v>
      </c>
      <c r="O255" s="79">
        <v>0.71056342058099364</v>
      </c>
      <c r="P255" s="79">
        <v>0.72060808599568427</v>
      </c>
    </row>
    <row r="256" spans="2:16" x14ac:dyDescent="0.3">
      <c r="B256" s="292"/>
      <c r="C256" s="9" t="s">
        <v>202</v>
      </c>
      <c r="D256" s="79">
        <v>14.560157898952179</v>
      </c>
      <c r="E256" s="79">
        <v>13.9149019442292</v>
      </c>
      <c r="F256" s="79">
        <v>28.981050926220693</v>
      </c>
      <c r="G256" s="79">
        <v>1.8486403184796694</v>
      </c>
      <c r="H256" s="79">
        <v>9.0385936418498201</v>
      </c>
      <c r="I256" s="79">
        <v>5.8455725027708416</v>
      </c>
      <c r="J256" s="79">
        <v>1.7681062747814387</v>
      </c>
      <c r="K256" s="79">
        <v>5.9153583506789547</v>
      </c>
      <c r="L256" s="79">
        <v>12.91401709544486</v>
      </c>
      <c r="M256" s="79">
        <v>1.6366732357424671</v>
      </c>
      <c r="N256" s="79">
        <v>2.7658940246098283</v>
      </c>
      <c r="O256" s="79">
        <v>0</v>
      </c>
      <c r="P256" s="79">
        <v>0.81103378624003841</v>
      </c>
    </row>
    <row r="257" spans="2:19" x14ac:dyDescent="0.3">
      <c r="B257" s="295"/>
      <c r="C257" s="12" t="s">
        <v>203</v>
      </c>
      <c r="D257" s="81">
        <v>17.012662276930822</v>
      </c>
      <c r="E257" s="81">
        <v>11.774993765940749</v>
      </c>
      <c r="F257" s="81">
        <v>32.22751003753968</v>
      </c>
      <c r="G257" s="81">
        <v>3.4408483184859318</v>
      </c>
      <c r="H257" s="81">
        <v>4.5774587109836586</v>
      </c>
      <c r="I257" s="81">
        <v>6.1843182951485085</v>
      </c>
      <c r="J257" s="81">
        <v>2.2489323034775168</v>
      </c>
      <c r="K257" s="81">
        <v>3.2155146843766169</v>
      </c>
      <c r="L257" s="81">
        <v>13.52787927925524</v>
      </c>
      <c r="M257" s="81">
        <v>2.2721974610343114</v>
      </c>
      <c r="N257" s="81">
        <v>2.309049394758095</v>
      </c>
      <c r="O257" s="81">
        <v>1.208635472068841</v>
      </c>
      <c r="P257" s="81">
        <v>0</v>
      </c>
    </row>
    <row r="258" spans="2:19" x14ac:dyDescent="0.3">
      <c r="B258" s="291" t="s">
        <v>204</v>
      </c>
      <c r="C258" s="13" t="s">
        <v>192</v>
      </c>
      <c r="D258" s="80">
        <v>14.703984649641496</v>
      </c>
      <c r="E258" s="80">
        <v>11.36107669148377</v>
      </c>
      <c r="F258" s="80">
        <v>32.019874379856567</v>
      </c>
      <c r="G258" s="80">
        <v>5.3019819146771212</v>
      </c>
      <c r="H258" s="80">
        <v>4.7257152436467473</v>
      </c>
      <c r="I258" s="80">
        <v>9.4922522214474938</v>
      </c>
      <c r="J258" s="80">
        <v>3.8382626821377817</v>
      </c>
      <c r="K258" s="80">
        <v>2.0612766417195298</v>
      </c>
      <c r="L258" s="80">
        <v>12.801984810204948</v>
      </c>
      <c r="M258" s="80">
        <v>1.7626328463324705</v>
      </c>
      <c r="N258" s="80">
        <v>1.2674102608724072</v>
      </c>
      <c r="O258" s="80">
        <v>0.32486596089358644</v>
      </c>
      <c r="P258" s="80">
        <v>0.3386816970864252</v>
      </c>
    </row>
    <row r="259" spans="2:19" x14ac:dyDescent="0.3">
      <c r="B259" s="295"/>
      <c r="C259" s="12" t="s">
        <v>193</v>
      </c>
      <c r="D259" s="81">
        <v>15.841291383644471</v>
      </c>
      <c r="E259" s="81">
        <v>10.964747036316282</v>
      </c>
      <c r="F259" s="81">
        <v>31.186877512943077</v>
      </c>
      <c r="G259" s="81">
        <v>3.1929638055360323</v>
      </c>
      <c r="H259" s="81">
        <v>6.8926683078067281</v>
      </c>
      <c r="I259" s="81">
        <v>6.4335720090703026</v>
      </c>
      <c r="J259" s="81">
        <v>3.6362713099868222</v>
      </c>
      <c r="K259" s="81">
        <v>3.2633761654468691</v>
      </c>
      <c r="L259" s="81">
        <v>13.414300694569443</v>
      </c>
      <c r="M259" s="81">
        <v>2.1543049109840724</v>
      </c>
      <c r="N259" s="81">
        <v>1.9466665244643071</v>
      </c>
      <c r="O259" s="81">
        <v>0.80063333569210648</v>
      </c>
      <c r="P259" s="81">
        <v>0.27232700353938533</v>
      </c>
    </row>
    <row r="260" spans="2:19" x14ac:dyDescent="0.3">
      <c r="B260" s="291" t="s">
        <v>209</v>
      </c>
      <c r="C260" s="13" t="s">
        <v>205</v>
      </c>
      <c r="D260" s="80">
        <v>9.6833682541877959</v>
      </c>
      <c r="E260" s="80">
        <v>8.9477177218449953</v>
      </c>
      <c r="F260" s="80">
        <v>31.905274357027203</v>
      </c>
      <c r="G260" s="80">
        <v>4.0043680694662642</v>
      </c>
      <c r="H260" s="80">
        <v>4.4612457503931076</v>
      </c>
      <c r="I260" s="80">
        <v>10.658338780154878</v>
      </c>
      <c r="J260" s="80">
        <v>7.0141402294281532</v>
      </c>
      <c r="K260" s="80">
        <v>3.5972738201481715</v>
      </c>
      <c r="L260" s="80">
        <v>16.086442210448464</v>
      </c>
      <c r="M260" s="80">
        <v>2.2263803892924585</v>
      </c>
      <c r="N260" s="80">
        <v>1.4154504176085458</v>
      </c>
      <c r="O260" s="80">
        <v>0</v>
      </c>
      <c r="P260" s="80">
        <v>0</v>
      </c>
    </row>
    <row r="261" spans="2:19" x14ac:dyDescent="0.3">
      <c r="B261" s="292"/>
      <c r="C261" s="9" t="s">
        <v>206</v>
      </c>
      <c r="D261" s="79">
        <v>19.397895941299176</v>
      </c>
      <c r="E261" s="79">
        <v>11.486833501084359</v>
      </c>
      <c r="F261" s="79">
        <v>27.484126020629429</v>
      </c>
      <c r="G261" s="79">
        <v>2.0140016420285503</v>
      </c>
      <c r="H261" s="79">
        <v>6.4352465889421779</v>
      </c>
      <c r="I261" s="79">
        <v>9.0751937251086741</v>
      </c>
      <c r="J261" s="79">
        <v>2.1159082256492345</v>
      </c>
      <c r="K261" s="79">
        <v>2.0560175900231314</v>
      </c>
      <c r="L261" s="79">
        <v>15.220933785717971</v>
      </c>
      <c r="M261" s="79">
        <v>2.5310234047534608</v>
      </c>
      <c r="N261" s="79">
        <v>1.5763041659857928</v>
      </c>
      <c r="O261" s="79">
        <v>0.60651540877803756</v>
      </c>
      <c r="P261" s="79">
        <v>0</v>
      </c>
    </row>
    <row r="262" spans="2:19" x14ac:dyDescent="0.3">
      <c r="B262" s="292"/>
      <c r="C262" s="9" t="s">
        <v>207</v>
      </c>
      <c r="D262" s="79">
        <v>12.411010861473592</v>
      </c>
      <c r="E262" s="79">
        <v>12.976385785173516</v>
      </c>
      <c r="F262" s="79">
        <v>33.785222449576452</v>
      </c>
      <c r="G262" s="79">
        <v>6.1013574517598466</v>
      </c>
      <c r="H262" s="79">
        <v>5.2344233714883543</v>
      </c>
      <c r="I262" s="79">
        <v>9.1204503198298355</v>
      </c>
      <c r="J262" s="79">
        <v>2.7676153477756538</v>
      </c>
      <c r="K262" s="79">
        <v>3.1695683984912635</v>
      </c>
      <c r="L262" s="79">
        <v>9.2008124551126524</v>
      </c>
      <c r="M262" s="79">
        <v>2.2963698064684492</v>
      </c>
      <c r="N262" s="79">
        <v>1.5719881073351292</v>
      </c>
      <c r="O262" s="79">
        <v>0.62966980813271956</v>
      </c>
      <c r="P262" s="79">
        <v>0.73512583738247317</v>
      </c>
    </row>
    <row r="263" spans="2:19" x14ac:dyDescent="0.3">
      <c r="B263" s="293"/>
      <c r="C263" s="25" t="s">
        <v>208</v>
      </c>
      <c r="D263" s="82">
        <v>17.843692133859609</v>
      </c>
      <c r="E263" s="82">
        <v>10.960044380889942</v>
      </c>
      <c r="F263" s="82">
        <v>32.774678262991806</v>
      </c>
      <c r="G263" s="82">
        <v>4.8034017414919221</v>
      </c>
      <c r="H263" s="82">
        <v>6.3965735032663149</v>
      </c>
      <c r="I263" s="82">
        <v>4.96128776845035</v>
      </c>
      <c r="J263" s="82">
        <v>3.630147895734507</v>
      </c>
      <c r="K263" s="82">
        <v>1.9986129229168585</v>
      </c>
      <c r="L263" s="82">
        <v>12.679756419654167</v>
      </c>
      <c r="M263" s="82">
        <v>1.0855753177349678</v>
      </c>
      <c r="N263" s="82">
        <v>1.6995004357604155</v>
      </c>
      <c r="O263" s="82">
        <v>0.77572269489021795</v>
      </c>
      <c r="P263" s="82">
        <v>0.39100652235899808</v>
      </c>
    </row>
    <row r="264" spans="2:19" x14ac:dyDescent="0.3">
      <c r="B264" s="60"/>
      <c r="C264" s="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</row>
    <row r="265" spans="2:19" x14ac:dyDescent="0.3">
      <c r="B265" s="60"/>
      <c r="C265" s="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</row>
    <row r="266" spans="2:19" x14ac:dyDescent="0.3">
      <c r="B266" s="1" t="s">
        <v>490</v>
      </c>
      <c r="D266" s="59"/>
      <c r="E266" s="304"/>
      <c r="F266" s="304"/>
      <c r="G266" s="304"/>
      <c r="H266" s="304"/>
      <c r="I266" s="304"/>
      <c r="J266" s="304"/>
      <c r="K266" s="304"/>
      <c r="L266" s="304"/>
      <c r="M266" s="304"/>
      <c r="N266" s="304"/>
      <c r="O266" s="304"/>
      <c r="P266" s="304"/>
      <c r="Q266" s="304"/>
      <c r="R266" s="304"/>
      <c r="S266" s="304"/>
    </row>
    <row r="267" spans="2:19" ht="10.5" customHeight="1" x14ac:dyDescent="0.3"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30"/>
      <c r="O267" s="30"/>
      <c r="P267" s="30" t="s">
        <v>157</v>
      </c>
    </row>
    <row r="268" spans="2:19" s="125" customFormat="1" ht="27" x14ac:dyDescent="0.3">
      <c r="B268" s="297"/>
      <c r="C268" s="297"/>
      <c r="D268" s="215" t="s">
        <v>57</v>
      </c>
      <c r="E268" s="215" t="s">
        <v>59</v>
      </c>
      <c r="F268" s="215" t="s">
        <v>126</v>
      </c>
      <c r="G268" s="215" t="s">
        <v>58</v>
      </c>
      <c r="H268" s="215" t="s">
        <v>127</v>
      </c>
      <c r="I268" s="202" t="s">
        <v>376</v>
      </c>
      <c r="J268" s="215" t="s">
        <v>60</v>
      </c>
      <c r="K268" s="215" t="s">
        <v>61</v>
      </c>
      <c r="L268" s="215" t="s">
        <v>128</v>
      </c>
      <c r="M268" s="215" t="s">
        <v>129</v>
      </c>
      <c r="N268" s="202" t="s">
        <v>377</v>
      </c>
      <c r="O268" s="215" t="s">
        <v>130</v>
      </c>
      <c r="P268" s="215" t="s">
        <v>38</v>
      </c>
      <c r="Q268" s="126"/>
    </row>
    <row r="269" spans="2:19" ht="21.75" customHeight="1" x14ac:dyDescent="0.3">
      <c r="B269" s="292" t="s">
        <v>20</v>
      </c>
      <c r="C269" s="292"/>
      <c r="D269" s="86">
        <v>32.775288147628281</v>
      </c>
      <c r="E269" s="86">
        <v>31.520315712395981</v>
      </c>
      <c r="F269" s="88">
        <v>58.907126975918402</v>
      </c>
      <c r="G269" s="86">
        <v>14.014161309424281</v>
      </c>
      <c r="H269" s="88">
        <v>22.524614805522646</v>
      </c>
      <c r="I269" s="86">
        <v>33.523274401856</v>
      </c>
      <c r="J269" s="86">
        <v>24.431155741648649</v>
      </c>
      <c r="K269" s="86">
        <v>13.960201912919167</v>
      </c>
      <c r="L269" s="88">
        <v>45.149827594707517</v>
      </c>
      <c r="M269" s="86">
        <v>7.6050684913967315</v>
      </c>
      <c r="N269" s="86">
        <v>12.770954261064102</v>
      </c>
      <c r="O269" s="86">
        <v>2.3601008758259998</v>
      </c>
      <c r="P269" s="86">
        <v>0.45790976969144714</v>
      </c>
    </row>
    <row r="270" spans="2:19" x14ac:dyDescent="0.3">
      <c r="B270" s="296" t="s">
        <v>5</v>
      </c>
      <c r="C270" s="13" t="s">
        <v>0</v>
      </c>
      <c r="D270" s="84">
        <v>31.034066102482633</v>
      </c>
      <c r="E270" s="84">
        <v>27.15293951407881</v>
      </c>
      <c r="F270" s="89">
        <v>49.621561104320598</v>
      </c>
      <c r="G270" s="84">
        <v>13.248433523731981</v>
      </c>
      <c r="H270" s="89">
        <v>23.494631827065085</v>
      </c>
      <c r="I270" s="84">
        <v>37.219105872232142</v>
      </c>
      <c r="J270" s="84">
        <v>27.573374727232476</v>
      </c>
      <c r="K270" s="84">
        <v>18.157919690318977</v>
      </c>
      <c r="L270" s="89">
        <v>47.383849568266704</v>
      </c>
      <c r="M270" s="84">
        <v>10.847732376549619</v>
      </c>
      <c r="N270" s="84">
        <v>10.340537762283329</v>
      </c>
      <c r="O270" s="84">
        <v>3.4803877137034562</v>
      </c>
      <c r="P270" s="84">
        <v>0.44546021773420252</v>
      </c>
    </row>
    <row r="271" spans="2:19" x14ac:dyDescent="0.3">
      <c r="B271" s="295"/>
      <c r="C271" s="12" t="s">
        <v>1</v>
      </c>
      <c r="D271" s="90">
        <v>33.91806490357154</v>
      </c>
      <c r="E271" s="90">
        <v>34.386656635318808</v>
      </c>
      <c r="F271" s="90">
        <v>65.001311731633336</v>
      </c>
      <c r="G271" s="90">
        <v>14.516714052372054</v>
      </c>
      <c r="H271" s="90">
        <v>21.887985543804906</v>
      </c>
      <c r="I271" s="90">
        <v>31.097673192634357</v>
      </c>
      <c r="J271" s="90">
        <v>22.368894452906488</v>
      </c>
      <c r="K271" s="90">
        <v>11.205209051787335</v>
      </c>
      <c r="L271" s="90">
        <v>43.683622643554649</v>
      </c>
      <c r="M271" s="90">
        <v>5.4768844808508756</v>
      </c>
      <c r="N271" s="90">
        <v>14.36605437469442</v>
      </c>
      <c r="O271" s="90">
        <v>1.6248484352285759</v>
      </c>
      <c r="P271" s="90">
        <v>0.46608050164278719</v>
      </c>
    </row>
    <row r="272" spans="2:19" x14ac:dyDescent="0.3">
      <c r="B272" s="296" t="s">
        <v>4</v>
      </c>
      <c r="C272" s="9" t="s">
        <v>175</v>
      </c>
      <c r="D272" s="86">
        <v>48.787717982301345</v>
      </c>
      <c r="E272" s="86">
        <v>30.53421789963252</v>
      </c>
      <c r="F272" s="88">
        <v>68.745722106996027</v>
      </c>
      <c r="G272" s="86">
        <v>18.052013397807269</v>
      </c>
      <c r="H272" s="88">
        <v>19.747323453820492</v>
      </c>
      <c r="I272" s="86">
        <v>26.597586451805043</v>
      </c>
      <c r="J272" s="86">
        <v>21.085103267312917</v>
      </c>
      <c r="K272" s="86">
        <v>4.903731130412468</v>
      </c>
      <c r="L272" s="88">
        <v>33.184000892282356</v>
      </c>
      <c r="M272" s="86">
        <v>7.3019678997851845</v>
      </c>
      <c r="N272" s="86">
        <v>15.84719132362051</v>
      </c>
      <c r="O272" s="86">
        <v>2.9261123233178239</v>
      </c>
      <c r="P272" s="86">
        <v>2.2873118709059943</v>
      </c>
    </row>
    <row r="273" spans="2:16" x14ac:dyDescent="0.3">
      <c r="B273" s="292"/>
      <c r="C273" s="9" t="s">
        <v>176</v>
      </c>
      <c r="D273" s="86">
        <v>39.513793530881131</v>
      </c>
      <c r="E273" s="86">
        <v>32.973140528856973</v>
      </c>
      <c r="F273" s="88">
        <v>65.066981777043239</v>
      </c>
      <c r="G273" s="86">
        <v>16.617493196527754</v>
      </c>
      <c r="H273" s="88">
        <v>18.507212487886353</v>
      </c>
      <c r="I273" s="86">
        <v>23.903897188590093</v>
      </c>
      <c r="J273" s="86">
        <v>23.214114679982732</v>
      </c>
      <c r="K273" s="86">
        <v>10.698997486062209</v>
      </c>
      <c r="L273" s="88">
        <v>46.167137394089877</v>
      </c>
      <c r="M273" s="86">
        <v>6.7192116961532431</v>
      </c>
      <c r="N273" s="86">
        <v>13.924207491195743</v>
      </c>
      <c r="O273" s="86">
        <v>1.8434075486317796</v>
      </c>
      <c r="P273" s="86">
        <v>0.85040499409870773</v>
      </c>
    </row>
    <row r="274" spans="2:16" x14ac:dyDescent="0.3">
      <c r="B274" s="292"/>
      <c r="C274" s="9" t="s">
        <v>177</v>
      </c>
      <c r="D274" s="86">
        <v>29.728262387401472</v>
      </c>
      <c r="E274" s="86">
        <v>34.177772882003168</v>
      </c>
      <c r="F274" s="88">
        <v>58.514856694988595</v>
      </c>
      <c r="G274" s="86">
        <v>16.344209760406748</v>
      </c>
      <c r="H274" s="88">
        <v>20.175087682130009</v>
      </c>
      <c r="I274" s="86">
        <v>31.194177767818488</v>
      </c>
      <c r="J274" s="86">
        <v>21.633118613914355</v>
      </c>
      <c r="K274" s="86">
        <v>16.283165404177961</v>
      </c>
      <c r="L274" s="88">
        <v>48.210823615660317</v>
      </c>
      <c r="M274" s="86">
        <v>8.2772298389875516</v>
      </c>
      <c r="N274" s="86">
        <v>12.876503454056706</v>
      </c>
      <c r="O274" s="86">
        <v>2.1350828106086626</v>
      </c>
      <c r="P274" s="86">
        <v>0.44970908784596658</v>
      </c>
    </row>
    <row r="275" spans="2:16" x14ac:dyDescent="0.3">
      <c r="B275" s="292"/>
      <c r="C275" s="9" t="s">
        <v>178</v>
      </c>
      <c r="D275" s="86">
        <v>28.063088427188209</v>
      </c>
      <c r="E275" s="86">
        <v>31.777386025569417</v>
      </c>
      <c r="F275" s="88">
        <v>58.459760226963354</v>
      </c>
      <c r="G275" s="86">
        <v>15.91524636507225</v>
      </c>
      <c r="H275" s="88">
        <v>24.308061858514769</v>
      </c>
      <c r="I275" s="86">
        <v>34.211237585197537</v>
      </c>
      <c r="J275" s="86">
        <v>26.091857419958686</v>
      </c>
      <c r="K275" s="86">
        <v>14.415777758255501</v>
      </c>
      <c r="L275" s="88">
        <v>45.865897539940093</v>
      </c>
      <c r="M275" s="86">
        <v>9.6670297190244376</v>
      </c>
      <c r="N275" s="86">
        <v>10.098943593106817</v>
      </c>
      <c r="O275" s="86">
        <v>1.1257134812086096</v>
      </c>
      <c r="P275" s="86">
        <v>0</v>
      </c>
    </row>
    <row r="276" spans="2:16" x14ac:dyDescent="0.3">
      <c r="B276" s="292"/>
      <c r="C276" s="9" t="s">
        <v>179</v>
      </c>
      <c r="D276" s="86">
        <v>25.878520972840491</v>
      </c>
      <c r="E276" s="86">
        <v>27.142247649870026</v>
      </c>
      <c r="F276" s="88">
        <v>56.10827783619893</v>
      </c>
      <c r="G276" s="86">
        <v>11.502377860053253</v>
      </c>
      <c r="H276" s="88">
        <v>22.831954845347934</v>
      </c>
      <c r="I276" s="86">
        <v>40.312755976894586</v>
      </c>
      <c r="J276" s="86">
        <v>28.418968073033458</v>
      </c>
      <c r="K276" s="86">
        <v>16.603152172089732</v>
      </c>
      <c r="L276" s="88">
        <v>45.400461013664071</v>
      </c>
      <c r="M276" s="86">
        <v>7.4965228512116138</v>
      </c>
      <c r="N276" s="86">
        <v>14.35796880518089</v>
      </c>
      <c r="O276" s="86">
        <v>3.639492352142303</v>
      </c>
      <c r="P276" s="86">
        <v>0.3072995914727415</v>
      </c>
    </row>
    <row r="277" spans="2:16" x14ac:dyDescent="0.3">
      <c r="B277" s="298"/>
      <c r="C277" s="12" t="s">
        <v>180</v>
      </c>
      <c r="D277" s="90">
        <v>35.706302533184783</v>
      </c>
      <c r="E277" s="90">
        <v>31.72259847762086</v>
      </c>
      <c r="F277" s="91">
        <v>51.920418582269235</v>
      </c>
      <c r="G277" s="90">
        <v>7.0858556083221664</v>
      </c>
      <c r="H277" s="91">
        <v>28.660467188346939</v>
      </c>
      <c r="I277" s="90">
        <v>41.804008151829549</v>
      </c>
      <c r="J277" s="90">
        <v>23.973785573741598</v>
      </c>
      <c r="K277" s="90">
        <v>15.073815538121128</v>
      </c>
      <c r="L277" s="91">
        <v>43.942554751139092</v>
      </c>
      <c r="M277" s="90">
        <v>5.5701299827763977</v>
      </c>
      <c r="N277" s="90">
        <v>11.490064032070483</v>
      </c>
      <c r="O277" s="90">
        <v>3.0499995805778171</v>
      </c>
      <c r="P277" s="90">
        <v>0</v>
      </c>
    </row>
    <row r="278" spans="2:16" x14ac:dyDescent="0.3">
      <c r="B278" s="292" t="s">
        <v>223</v>
      </c>
      <c r="C278" s="9" t="s">
        <v>210</v>
      </c>
      <c r="D278" s="86">
        <v>70.392536916780813</v>
      </c>
      <c r="E278" s="86">
        <v>43.812704553988105</v>
      </c>
      <c r="F278" s="88">
        <v>71.035698319052898</v>
      </c>
      <c r="G278" s="86">
        <v>13.106917673194554</v>
      </c>
      <c r="H278" s="88">
        <v>15.916230283097999</v>
      </c>
      <c r="I278" s="86">
        <v>22.342093214020966</v>
      </c>
      <c r="J278" s="86">
        <v>9.8778795504709258</v>
      </c>
      <c r="K278" s="86">
        <v>6.757114472304762</v>
      </c>
      <c r="L278" s="88">
        <v>20.738284558796373</v>
      </c>
      <c r="M278" s="86">
        <v>11.667100230511156</v>
      </c>
      <c r="N278" s="86">
        <v>6.7992123224377687</v>
      </c>
      <c r="O278" s="86">
        <v>4.1902837772413788</v>
      </c>
      <c r="P278" s="86">
        <v>3.3639441281022719</v>
      </c>
    </row>
    <row r="279" spans="2:16" x14ac:dyDescent="0.3">
      <c r="B279" s="292"/>
      <c r="C279" s="9" t="s">
        <v>211</v>
      </c>
      <c r="D279" s="86">
        <v>43.696156727929868</v>
      </c>
      <c r="E279" s="86">
        <v>29.79978624683546</v>
      </c>
      <c r="F279" s="88">
        <v>52.768296566564473</v>
      </c>
      <c r="G279" s="86">
        <v>16.042934482368135</v>
      </c>
      <c r="H279" s="88">
        <v>19.345165434370717</v>
      </c>
      <c r="I279" s="86">
        <v>31.174637528862633</v>
      </c>
      <c r="J279" s="86">
        <v>23.8633127538168</v>
      </c>
      <c r="K279" s="86">
        <v>13.214001767840431</v>
      </c>
      <c r="L279" s="88">
        <v>47.013161361037284</v>
      </c>
      <c r="M279" s="86">
        <v>5.6522661487024592</v>
      </c>
      <c r="N279" s="86">
        <v>11.652238955292304</v>
      </c>
      <c r="O279" s="86">
        <v>4.3450979191329751</v>
      </c>
      <c r="P279" s="86">
        <v>1.4329441072464946</v>
      </c>
    </row>
    <row r="280" spans="2:16" x14ac:dyDescent="0.3">
      <c r="B280" s="292"/>
      <c r="C280" s="9" t="s">
        <v>212</v>
      </c>
      <c r="D280" s="86">
        <v>26.221757119692828</v>
      </c>
      <c r="E280" s="86">
        <v>35.068670577305859</v>
      </c>
      <c r="F280" s="88">
        <v>42.604155411926008</v>
      </c>
      <c r="G280" s="86">
        <v>14.193727914976639</v>
      </c>
      <c r="H280" s="88">
        <v>21.218288400063969</v>
      </c>
      <c r="I280" s="86">
        <v>31.178022554545581</v>
      </c>
      <c r="J280" s="86">
        <v>24.57541677093382</v>
      </c>
      <c r="K280" s="86">
        <v>19.366211406641305</v>
      </c>
      <c r="L280" s="88">
        <v>54.25523847080315</v>
      </c>
      <c r="M280" s="86">
        <v>14.125812702784327</v>
      </c>
      <c r="N280" s="86">
        <v>14.695760670537378</v>
      </c>
      <c r="O280" s="86">
        <v>2.4969379997892163</v>
      </c>
      <c r="P280" s="86">
        <v>0</v>
      </c>
    </row>
    <row r="281" spans="2:16" x14ac:dyDescent="0.3">
      <c r="B281" s="292"/>
      <c r="C281" s="9" t="s">
        <v>213</v>
      </c>
      <c r="D281" s="86">
        <v>30.308263784601479</v>
      </c>
      <c r="E281" s="86">
        <v>22.200724507398796</v>
      </c>
      <c r="F281" s="88">
        <v>51.917110703489492</v>
      </c>
      <c r="G281" s="86">
        <v>15.843925959095396</v>
      </c>
      <c r="H281" s="88">
        <v>22.508456750626998</v>
      </c>
      <c r="I281" s="86">
        <v>31.712155992288633</v>
      </c>
      <c r="J281" s="86">
        <v>26.523654223254699</v>
      </c>
      <c r="K281" s="86">
        <v>21.180050697980494</v>
      </c>
      <c r="L281" s="88">
        <v>50.009227024195788</v>
      </c>
      <c r="M281" s="86">
        <v>16.852808308588823</v>
      </c>
      <c r="N281" s="86">
        <v>10.02369741844705</v>
      </c>
      <c r="O281" s="86">
        <v>0.91992463003251113</v>
      </c>
      <c r="P281" s="86">
        <v>0</v>
      </c>
    </row>
    <row r="282" spans="2:16" x14ac:dyDescent="0.3">
      <c r="B282" s="292"/>
      <c r="C282" s="9" t="s">
        <v>214</v>
      </c>
      <c r="D282" s="86">
        <v>21.618758740269879</v>
      </c>
      <c r="E282" s="86">
        <v>20.117770046891206</v>
      </c>
      <c r="F282" s="88">
        <v>45.597591779184654</v>
      </c>
      <c r="G282" s="86">
        <v>13.20372449492433</v>
      </c>
      <c r="H282" s="88">
        <v>27.854760403520689</v>
      </c>
      <c r="I282" s="86">
        <v>43.026763495221537</v>
      </c>
      <c r="J282" s="86">
        <v>34.573388447286341</v>
      </c>
      <c r="K282" s="86">
        <v>23.925795757103156</v>
      </c>
      <c r="L282" s="88">
        <v>45.73311258761175</v>
      </c>
      <c r="M282" s="86">
        <v>8.8225690485846791</v>
      </c>
      <c r="N282" s="86">
        <v>9.3689248879493903</v>
      </c>
      <c r="O282" s="86">
        <v>6.1568403114524619</v>
      </c>
      <c r="P282" s="86">
        <v>0</v>
      </c>
    </row>
    <row r="283" spans="2:16" x14ac:dyDescent="0.3">
      <c r="B283" s="292"/>
      <c r="C283" s="12" t="s">
        <v>215</v>
      </c>
      <c r="D283" s="90">
        <v>22.00306212301464</v>
      </c>
      <c r="E283" s="90">
        <v>24.743531719258673</v>
      </c>
      <c r="F283" s="91">
        <v>48.465337489558756</v>
      </c>
      <c r="G283" s="90">
        <v>6.2887289879174846</v>
      </c>
      <c r="H283" s="91">
        <v>28.651179168722834</v>
      </c>
      <c r="I283" s="90">
        <v>54.98504023801484</v>
      </c>
      <c r="J283" s="90">
        <v>33.607216536278003</v>
      </c>
      <c r="K283" s="90">
        <v>14.847515496418929</v>
      </c>
      <c r="L283" s="91">
        <v>48.883856267586623</v>
      </c>
      <c r="M283" s="90">
        <v>7.0375332823506094</v>
      </c>
      <c r="N283" s="90">
        <v>7.1941778939146852</v>
      </c>
      <c r="O283" s="90">
        <v>3.2928207969638841</v>
      </c>
      <c r="P283" s="90">
        <v>0</v>
      </c>
    </row>
    <row r="284" spans="2:16" x14ac:dyDescent="0.3">
      <c r="B284" s="292"/>
      <c r="C284" s="9" t="s">
        <v>216</v>
      </c>
      <c r="D284" s="86">
        <v>35.759420447628365</v>
      </c>
      <c r="E284" s="86">
        <v>22.526926773158813</v>
      </c>
      <c r="F284" s="88">
        <v>67.364803732790747</v>
      </c>
      <c r="G284" s="86">
        <v>21.03404155703776</v>
      </c>
      <c r="H284" s="88">
        <v>22.057577562526319</v>
      </c>
      <c r="I284" s="86">
        <v>29.163765424504497</v>
      </c>
      <c r="J284" s="86">
        <v>27.843366114294714</v>
      </c>
      <c r="K284" s="86">
        <v>3.786090214410915</v>
      </c>
      <c r="L284" s="88">
        <v>40.689108707188559</v>
      </c>
      <c r="M284" s="86">
        <v>4.6696735512239771</v>
      </c>
      <c r="N284" s="86">
        <v>21.303370469225669</v>
      </c>
      <c r="O284" s="86">
        <v>2.1637823132166298</v>
      </c>
      <c r="P284" s="86">
        <v>1.63807313279307</v>
      </c>
    </row>
    <row r="285" spans="2:16" x14ac:dyDescent="0.3">
      <c r="B285" s="292"/>
      <c r="C285" s="9" t="s">
        <v>217</v>
      </c>
      <c r="D285" s="86">
        <v>37.349765384198363</v>
      </c>
      <c r="E285" s="86">
        <v>34.615089748029767</v>
      </c>
      <c r="F285" s="88">
        <v>71.430537429371171</v>
      </c>
      <c r="G285" s="86">
        <v>16.914779962593578</v>
      </c>
      <c r="H285" s="88">
        <v>18.073640921680063</v>
      </c>
      <c r="I285" s="86">
        <v>20.141888486267305</v>
      </c>
      <c r="J285" s="86">
        <v>22.878208198799911</v>
      </c>
      <c r="K285" s="86">
        <v>9.3976901154741395</v>
      </c>
      <c r="L285" s="88">
        <v>45.729389740195501</v>
      </c>
      <c r="M285" s="86">
        <v>7.2712680544558124</v>
      </c>
      <c r="N285" s="86">
        <v>15.099763899960575</v>
      </c>
      <c r="O285" s="86">
        <v>0.548989029486879</v>
      </c>
      <c r="P285" s="86">
        <v>0.548989029486879</v>
      </c>
    </row>
    <row r="286" spans="2:16" x14ac:dyDescent="0.3">
      <c r="B286" s="292"/>
      <c r="C286" s="9" t="s">
        <v>218</v>
      </c>
      <c r="D286" s="86">
        <v>31.820089421974739</v>
      </c>
      <c r="E286" s="86">
        <v>33.646302445829896</v>
      </c>
      <c r="F286" s="88">
        <v>68.006482271435658</v>
      </c>
      <c r="G286" s="86">
        <v>17.627092778737204</v>
      </c>
      <c r="H286" s="88">
        <v>19.552759951909206</v>
      </c>
      <c r="I286" s="86">
        <v>31.203815258508964</v>
      </c>
      <c r="J286" s="86">
        <v>19.877872761210956</v>
      </c>
      <c r="K286" s="86">
        <v>14.443955568625663</v>
      </c>
      <c r="L286" s="88">
        <v>44.604991187972104</v>
      </c>
      <c r="M286" s="86">
        <v>4.7882221762594837</v>
      </c>
      <c r="N286" s="86">
        <v>11.791214501742244</v>
      </c>
      <c r="O286" s="86">
        <v>1.9192158976742597</v>
      </c>
      <c r="P286" s="86">
        <v>0.71798577812003539</v>
      </c>
    </row>
    <row r="287" spans="2:16" x14ac:dyDescent="0.3">
      <c r="B287" s="292"/>
      <c r="C287" s="9" t="s">
        <v>219</v>
      </c>
      <c r="D287" s="86">
        <v>26.435074378645051</v>
      </c>
      <c r="E287" s="86">
        <v>38.721582806567241</v>
      </c>
      <c r="F287" s="88">
        <v>63.203944374424417</v>
      </c>
      <c r="G287" s="86">
        <v>15.966961979398226</v>
      </c>
      <c r="H287" s="88">
        <v>25.6129854974625</v>
      </c>
      <c r="I287" s="86">
        <v>36.023363274301396</v>
      </c>
      <c r="J287" s="86">
        <v>25.778754365642325</v>
      </c>
      <c r="K287" s="86">
        <v>9.5108907801886904</v>
      </c>
      <c r="L287" s="88">
        <v>42.861500317318267</v>
      </c>
      <c r="M287" s="86">
        <v>4.4565019734277911</v>
      </c>
      <c r="N287" s="86">
        <v>10.153505847694538</v>
      </c>
      <c r="O287" s="86">
        <v>1.2749344049293521</v>
      </c>
      <c r="P287" s="86">
        <v>0</v>
      </c>
    </row>
    <row r="288" spans="2:16" x14ac:dyDescent="0.3">
      <c r="B288" s="292"/>
      <c r="C288" s="9" t="s">
        <v>220</v>
      </c>
      <c r="D288" s="86">
        <v>29.346808067002065</v>
      </c>
      <c r="E288" s="86">
        <v>32.861558654450782</v>
      </c>
      <c r="F288" s="88">
        <v>64.666050503319838</v>
      </c>
      <c r="G288" s="86">
        <v>10.117145949384469</v>
      </c>
      <c r="H288" s="88">
        <v>18.742399902423152</v>
      </c>
      <c r="I288" s="86">
        <v>38.103018264940083</v>
      </c>
      <c r="J288" s="86">
        <v>23.408055352868516</v>
      </c>
      <c r="K288" s="86">
        <v>10.641075216982129</v>
      </c>
      <c r="L288" s="88">
        <v>45.129616985808866</v>
      </c>
      <c r="M288" s="86">
        <v>6.4168595598087048</v>
      </c>
      <c r="N288" s="86">
        <v>18.420035109735462</v>
      </c>
      <c r="O288" s="86">
        <v>1.5898743307344327</v>
      </c>
      <c r="P288" s="86">
        <v>0.55750210254173493</v>
      </c>
    </row>
    <row r="289" spans="2:16" x14ac:dyDescent="0.3">
      <c r="B289" s="295"/>
      <c r="C289" s="9" t="s">
        <v>221</v>
      </c>
      <c r="D289" s="90">
        <v>45.105441012044189</v>
      </c>
      <c r="E289" s="90">
        <v>36.509584106681721</v>
      </c>
      <c r="F289" s="91">
        <v>54.290280357588671</v>
      </c>
      <c r="G289" s="90">
        <v>7.6326097530431651</v>
      </c>
      <c r="H289" s="91">
        <v>28.666837899217366</v>
      </c>
      <c r="I289" s="90">
        <v>32.763055635197233</v>
      </c>
      <c r="J289" s="90">
        <v>17.36615490149482</v>
      </c>
      <c r="K289" s="90">
        <v>15.229036155001785</v>
      </c>
      <c r="L289" s="91">
        <v>40.553285072675358</v>
      </c>
      <c r="M289" s="90">
        <v>4.5636288630268691</v>
      </c>
      <c r="N289" s="90">
        <v>14.43663925758954</v>
      </c>
      <c r="O289" s="90">
        <v>2.88344698643929</v>
      </c>
      <c r="P289" s="90">
        <v>0</v>
      </c>
    </row>
    <row r="290" spans="2:16" ht="16.5" customHeight="1" x14ac:dyDescent="0.3">
      <c r="B290" s="291" t="s">
        <v>222</v>
      </c>
      <c r="C290" s="13" t="s">
        <v>226</v>
      </c>
      <c r="D290" s="80">
        <v>35.416353736011729</v>
      </c>
      <c r="E290" s="80">
        <v>32.231438570519813</v>
      </c>
      <c r="F290" s="80">
        <v>55.50716906841231</v>
      </c>
      <c r="G290" s="80">
        <v>12.992519334878565</v>
      </c>
      <c r="H290" s="80">
        <v>26.822771937958901</v>
      </c>
      <c r="I290" s="80">
        <v>34.633653715059658</v>
      </c>
      <c r="J290" s="80">
        <v>23.621867187631672</v>
      </c>
      <c r="K290" s="80">
        <v>13.487767572328998</v>
      </c>
      <c r="L290" s="80">
        <v>44.800555189387332</v>
      </c>
      <c r="M290" s="80">
        <v>5.4515097979347402</v>
      </c>
      <c r="N290" s="80">
        <v>12.154423528378498</v>
      </c>
      <c r="O290" s="80">
        <v>2.326915679208847</v>
      </c>
      <c r="P290" s="80">
        <v>0.55305468228877963</v>
      </c>
    </row>
    <row r="291" spans="2:16" x14ac:dyDescent="0.3">
      <c r="B291" s="294"/>
      <c r="C291" s="9" t="s">
        <v>227</v>
      </c>
      <c r="D291" s="79">
        <v>29.147599445042548</v>
      </c>
      <c r="E291" s="79">
        <v>33.244863049039189</v>
      </c>
      <c r="F291" s="79">
        <v>56.265815454620238</v>
      </c>
      <c r="G291" s="79">
        <v>11.998703478672009</v>
      </c>
      <c r="H291" s="79">
        <v>24.536559338919776</v>
      </c>
      <c r="I291" s="79">
        <v>35.012045395135708</v>
      </c>
      <c r="J291" s="79">
        <v>23.048473531254878</v>
      </c>
      <c r="K291" s="79">
        <v>14.600239740382962</v>
      </c>
      <c r="L291" s="79">
        <v>49.415355092304381</v>
      </c>
      <c r="M291" s="79">
        <v>6.8702139956473438</v>
      </c>
      <c r="N291" s="79">
        <v>11.373481644075824</v>
      </c>
      <c r="O291" s="79">
        <v>3.4667186618977262</v>
      </c>
      <c r="P291" s="79">
        <v>1.0199311730074985</v>
      </c>
    </row>
    <row r="292" spans="2:16" x14ac:dyDescent="0.3">
      <c r="B292" s="292"/>
      <c r="C292" s="9" t="s">
        <v>228</v>
      </c>
      <c r="D292" s="79">
        <v>34.166940578424366</v>
      </c>
      <c r="E292" s="79">
        <v>31.992820663145437</v>
      </c>
      <c r="F292" s="79">
        <v>60.815774174272264</v>
      </c>
      <c r="G292" s="79">
        <v>13.890286863020593</v>
      </c>
      <c r="H292" s="79">
        <v>17.023281595931532</v>
      </c>
      <c r="I292" s="79">
        <v>31.014905428693712</v>
      </c>
      <c r="J292" s="79">
        <v>27.29160465361975</v>
      </c>
      <c r="K292" s="79">
        <v>12.519514745382656</v>
      </c>
      <c r="L292" s="79">
        <v>46.442945320257365</v>
      </c>
      <c r="M292" s="79">
        <v>10.457365862272933</v>
      </c>
      <c r="N292" s="79">
        <v>12.872752772747642</v>
      </c>
      <c r="O292" s="79">
        <v>1.5118073422317091</v>
      </c>
      <c r="P292" s="79">
        <v>0</v>
      </c>
    </row>
    <row r="293" spans="2:16" x14ac:dyDescent="0.3">
      <c r="B293" s="295"/>
      <c r="C293" s="12" t="s">
        <v>229</v>
      </c>
      <c r="D293" s="81">
        <v>32.863266561640408</v>
      </c>
      <c r="E293" s="81">
        <v>28.143884817589015</v>
      </c>
      <c r="F293" s="81">
        <v>64.941279858443778</v>
      </c>
      <c r="G293" s="81">
        <v>17.868511071811906</v>
      </c>
      <c r="H293" s="81">
        <v>18.909773458732079</v>
      </c>
      <c r="I293" s="81">
        <v>32.234547211111511</v>
      </c>
      <c r="J293" s="81">
        <v>24.941268647300291</v>
      </c>
      <c r="K293" s="81">
        <v>14.873761700782239</v>
      </c>
      <c r="L293" s="81">
        <v>39.340399544973877</v>
      </c>
      <c r="M293" s="81">
        <v>9.00608923724843</v>
      </c>
      <c r="N293" s="81">
        <v>15.1839113567646</v>
      </c>
      <c r="O293" s="81">
        <v>1.6933065336018085</v>
      </c>
      <c r="P293" s="81">
        <v>0</v>
      </c>
    </row>
    <row r="294" spans="2:16" x14ac:dyDescent="0.3">
      <c r="B294" s="296" t="s">
        <v>199</v>
      </c>
      <c r="C294" s="13" t="s">
        <v>192</v>
      </c>
      <c r="D294" s="80">
        <v>32.698204154623454</v>
      </c>
      <c r="E294" s="80">
        <v>33.72431768347986</v>
      </c>
      <c r="F294" s="80">
        <v>61.079542474174332</v>
      </c>
      <c r="G294" s="80">
        <v>15.622637461623286</v>
      </c>
      <c r="H294" s="80">
        <v>19.68879883262559</v>
      </c>
      <c r="I294" s="80">
        <v>32.093778105179801</v>
      </c>
      <c r="J294" s="80">
        <v>22.524138442840481</v>
      </c>
      <c r="K294" s="80">
        <v>12.377083195417002</v>
      </c>
      <c r="L294" s="80">
        <v>45.076229106985508</v>
      </c>
      <c r="M294" s="80">
        <v>7.9730979336181385</v>
      </c>
      <c r="N294" s="80">
        <v>14.186666092725792</v>
      </c>
      <c r="O294" s="80">
        <v>2.4617650635241373</v>
      </c>
      <c r="P294" s="80">
        <v>0.49374145318349449</v>
      </c>
    </row>
    <row r="295" spans="2:16" ht="16.5" customHeight="1" x14ac:dyDescent="0.3">
      <c r="B295" s="292"/>
      <c r="C295" s="9" t="s">
        <v>200</v>
      </c>
      <c r="D295" s="79">
        <v>36.479910619124858</v>
      </c>
      <c r="E295" s="79">
        <v>23.21424641617778</v>
      </c>
      <c r="F295" s="79">
        <v>52.977654611479963</v>
      </c>
      <c r="G295" s="79">
        <v>10.904250858014926</v>
      </c>
      <c r="H295" s="79">
        <v>27.001808785625702</v>
      </c>
      <c r="I295" s="79">
        <v>32.267229858396014</v>
      </c>
      <c r="J295" s="79">
        <v>28.859581687040158</v>
      </c>
      <c r="K295" s="79">
        <v>14.033011817548513</v>
      </c>
      <c r="L295" s="79">
        <v>52.334009066582773</v>
      </c>
      <c r="M295" s="79">
        <v>7.3748771683941063</v>
      </c>
      <c r="N295" s="79">
        <v>14.553419111615293</v>
      </c>
      <c r="O295" s="79">
        <v>0</v>
      </c>
      <c r="P295" s="79">
        <v>0</v>
      </c>
    </row>
    <row r="296" spans="2:16" ht="16.5" customHeight="1" x14ac:dyDescent="0.3">
      <c r="B296" s="292"/>
      <c r="C296" s="9" t="s">
        <v>201</v>
      </c>
      <c r="D296" s="79">
        <v>31.174638484339567</v>
      </c>
      <c r="E296" s="79">
        <v>23.046445805088432</v>
      </c>
      <c r="F296" s="79">
        <v>56.971622698590473</v>
      </c>
      <c r="G296" s="79">
        <v>10.713744479622026</v>
      </c>
      <c r="H296" s="79">
        <v>29.357710627554766</v>
      </c>
      <c r="I296" s="79">
        <v>32.368104081613083</v>
      </c>
      <c r="J296" s="79">
        <v>29.103260998123815</v>
      </c>
      <c r="K296" s="79">
        <v>17.468332931230474</v>
      </c>
      <c r="L296" s="79">
        <v>50.639448110735977</v>
      </c>
      <c r="M296" s="79">
        <v>6.0458050030589101</v>
      </c>
      <c r="N296" s="79">
        <v>9.1039353928381956</v>
      </c>
      <c r="O296" s="79">
        <v>2.5885210976394246</v>
      </c>
      <c r="P296" s="79">
        <v>1.4184302895649992</v>
      </c>
    </row>
    <row r="297" spans="2:16" x14ac:dyDescent="0.3">
      <c r="B297" s="292"/>
      <c r="C297" s="9" t="s">
        <v>202</v>
      </c>
      <c r="D297" s="79">
        <v>32.565030233598094</v>
      </c>
      <c r="E297" s="79">
        <v>31.173104550868807</v>
      </c>
      <c r="F297" s="79">
        <v>53.021624747588767</v>
      </c>
      <c r="G297" s="79">
        <v>8.2606102078531727</v>
      </c>
      <c r="H297" s="79">
        <v>22.090583647860637</v>
      </c>
      <c r="I297" s="79">
        <v>38.652723134944509</v>
      </c>
      <c r="J297" s="79">
        <v>30.02411344852705</v>
      </c>
      <c r="K297" s="79">
        <v>16.521970312534158</v>
      </c>
      <c r="L297" s="79">
        <v>42.341559276695143</v>
      </c>
      <c r="M297" s="79">
        <v>9.5650902121653303</v>
      </c>
      <c r="N297" s="79">
        <v>12.622285012309343</v>
      </c>
      <c r="O297" s="79">
        <v>2.3502714288148852</v>
      </c>
      <c r="P297" s="79">
        <v>0.81103378624003841</v>
      </c>
    </row>
    <row r="298" spans="2:16" x14ac:dyDescent="0.3">
      <c r="B298" s="295"/>
      <c r="C298" s="12" t="s">
        <v>203</v>
      </c>
      <c r="D298" s="81">
        <v>32.923540002442969</v>
      </c>
      <c r="E298" s="81">
        <v>31.702003347089956</v>
      </c>
      <c r="F298" s="81">
        <v>57.772766185512396</v>
      </c>
      <c r="G298" s="81">
        <v>14.043159282492867</v>
      </c>
      <c r="H298" s="81">
        <v>25.246061919911416</v>
      </c>
      <c r="I298" s="81">
        <v>35.801454438334112</v>
      </c>
      <c r="J298" s="81">
        <v>24.314462741919744</v>
      </c>
      <c r="K298" s="81">
        <v>15.258337835615334</v>
      </c>
      <c r="L298" s="81">
        <v>42.665137474987525</v>
      </c>
      <c r="M298" s="81">
        <v>6.9086997171052209</v>
      </c>
      <c r="N298" s="81">
        <v>10.867760981537089</v>
      </c>
      <c r="O298" s="81">
        <v>2.4966160730514493</v>
      </c>
      <c r="P298" s="81">
        <v>0</v>
      </c>
    </row>
    <row r="299" spans="2:16" x14ac:dyDescent="0.3">
      <c r="B299" s="291" t="s">
        <v>204</v>
      </c>
      <c r="C299" s="13" t="s">
        <v>192</v>
      </c>
      <c r="D299" s="80">
        <v>32.698204154623454</v>
      </c>
      <c r="E299" s="80">
        <v>33.72431768347986</v>
      </c>
      <c r="F299" s="80">
        <v>61.079542474174332</v>
      </c>
      <c r="G299" s="80">
        <v>15.622637461623286</v>
      </c>
      <c r="H299" s="80">
        <v>19.68879883262559</v>
      </c>
      <c r="I299" s="80">
        <v>32.093778105179801</v>
      </c>
      <c r="J299" s="80">
        <v>22.524138442840481</v>
      </c>
      <c r="K299" s="80">
        <v>12.377083195417002</v>
      </c>
      <c r="L299" s="80">
        <v>45.076229106985508</v>
      </c>
      <c r="M299" s="80">
        <v>7.9730979336181385</v>
      </c>
      <c r="N299" s="80">
        <v>14.186666092725792</v>
      </c>
      <c r="O299" s="80">
        <v>2.4617650635241373</v>
      </c>
      <c r="P299" s="80">
        <v>0.49374145318349449</v>
      </c>
    </row>
    <row r="300" spans="2:16" x14ac:dyDescent="0.3">
      <c r="B300" s="295"/>
      <c r="C300" s="12" t="s">
        <v>193</v>
      </c>
      <c r="D300" s="81">
        <v>32.864117740084843</v>
      </c>
      <c r="E300" s="81">
        <v>28.980481056294682</v>
      </c>
      <c r="F300" s="81">
        <v>56.403691751126985</v>
      </c>
      <c r="G300" s="81">
        <v>12.16059514729489</v>
      </c>
      <c r="H300" s="81">
        <v>25.792535515570098</v>
      </c>
      <c r="I300" s="81">
        <v>35.170588824756464</v>
      </c>
      <c r="J300" s="81">
        <v>26.628752971072316</v>
      </c>
      <c r="K300" s="81">
        <v>15.78454682557723</v>
      </c>
      <c r="L300" s="81">
        <v>45.234640581359322</v>
      </c>
      <c r="M300" s="81">
        <v>7.1809609161390648</v>
      </c>
      <c r="N300" s="81">
        <v>11.139524697805218</v>
      </c>
      <c r="O300" s="81">
        <v>2.2429457051012136</v>
      </c>
      <c r="P300" s="81">
        <v>0.4166182678173363</v>
      </c>
    </row>
    <row r="301" spans="2:16" x14ac:dyDescent="0.3">
      <c r="B301" s="291" t="s">
        <v>209</v>
      </c>
      <c r="C301" s="13" t="s">
        <v>205</v>
      </c>
      <c r="D301" s="80">
        <v>27.5043631091709</v>
      </c>
      <c r="E301" s="80">
        <v>27.756985311611842</v>
      </c>
      <c r="F301" s="80">
        <v>55.968632631537851</v>
      </c>
      <c r="G301" s="80">
        <v>14.951677603928292</v>
      </c>
      <c r="H301" s="80">
        <v>25.837947420665024</v>
      </c>
      <c r="I301" s="80">
        <v>36.327151065001104</v>
      </c>
      <c r="J301" s="80">
        <v>29.0230741268857</v>
      </c>
      <c r="K301" s="80">
        <v>15.633847414683258</v>
      </c>
      <c r="L301" s="80">
        <v>43.782664590628514</v>
      </c>
      <c r="M301" s="80">
        <v>7.4454440681532272</v>
      </c>
      <c r="N301" s="80">
        <v>13.129044899175527</v>
      </c>
      <c r="O301" s="80">
        <v>2.6391677585588678</v>
      </c>
      <c r="P301" s="80">
        <v>0</v>
      </c>
    </row>
    <row r="302" spans="2:16" x14ac:dyDescent="0.3">
      <c r="B302" s="292"/>
      <c r="C302" s="9" t="s">
        <v>206</v>
      </c>
      <c r="D302" s="79">
        <v>38.447660400321212</v>
      </c>
      <c r="E302" s="79">
        <v>32.426439523435405</v>
      </c>
      <c r="F302" s="79">
        <v>56.151131075043814</v>
      </c>
      <c r="G302" s="79">
        <v>8.789081814863426</v>
      </c>
      <c r="H302" s="79">
        <v>20.346244005327094</v>
      </c>
      <c r="I302" s="79">
        <v>34.037226557647003</v>
      </c>
      <c r="J302" s="79">
        <v>23.16948742842953</v>
      </c>
      <c r="K302" s="79">
        <v>13.166444703217978</v>
      </c>
      <c r="L302" s="79">
        <v>48.725273674875226</v>
      </c>
      <c r="M302" s="79">
        <v>8.578601430548435</v>
      </c>
      <c r="N302" s="79">
        <v>13.069951811180552</v>
      </c>
      <c r="O302" s="79">
        <v>3.0924575751102501</v>
      </c>
      <c r="P302" s="79">
        <v>0</v>
      </c>
    </row>
    <row r="303" spans="2:16" x14ac:dyDescent="0.3">
      <c r="B303" s="292"/>
      <c r="C303" s="9" t="s">
        <v>207</v>
      </c>
      <c r="D303" s="79">
        <v>29.918782553149299</v>
      </c>
      <c r="E303" s="79">
        <v>32.004962346192571</v>
      </c>
      <c r="F303" s="79">
        <v>59.958832105654778</v>
      </c>
      <c r="G303" s="79">
        <v>15.470922171293356</v>
      </c>
      <c r="H303" s="79">
        <v>21.636455742323665</v>
      </c>
      <c r="I303" s="79">
        <v>38.193773732360931</v>
      </c>
      <c r="J303" s="79">
        <v>20.349421019384849</v>
      </c>
      <c r="K303" s="79">
        <v>15.958849147047443</v>
      </c>
      <c r="L303" s="79">
        <v>42.723710197589845</v>
      </c>
      <c r="M303" s="79">
        <v>7.9447631907945722</v>
      </c>
      <c r="N303" s="79">
        <v>12.994279476152796</v>
      </c>
      <c r="O303" s="79">
        <v>2.110122480673212</v>
      </c>
      <c r="P303" s="79">
        <v>0.73512583738247317</v>
      </c>
    </row>
    <row r="304" spans="2:16" x14ac:dyDescent="0.3">
      <c r="B304" s="293"/>
      <c r="C304" s="25" t="s">
        <v>208</v>
      </c>
      <c r="D304" s="82">
        <v>34.170157012317034</v>
      </c>
      <c r="E304" s="82">
        <v>32.828007479771856</v>
      </c>
      <c r="F304" s="82">
        <v>61.878221211839602</v>
      </c>
      <c r="G304" s="82">
        <v>16.041421968267823</v>
      </c>
      <c r="H304" s="82">
        <v>22.706934498785053</v>
      </c>
      <c r="I304" s="82">
        <v>27.867819066255162</v>
      </c>
      <c r="J304" s="82">
        <v>25.607181115440191</v>
      </c>
      <c r="K304" s="82">
        <v>11.968727689534608</v>
      </c>
      <c r="L304" s="82">
        <v>45.299754766867565</v>
      </c>
      <c r="M304" s="82">
        <v>6.7522198396982853</v>
      </c>
      <c r="N304" s="82">
        <v>12.167167377288211</v>
      </c>
      <c r="O304" s="82">
        <v>1.8576501918165376</v>
      </c>
      <c r="P304" s="82">
        <v>0.85473778211836804</v>
      </c>
    </row>
    <row r="305" spans="2:16" x14ac:dyDescent="0.3">
      <c r="B305" s="60"/>
      <c r="C305" s="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</row>
    <row r="306" spans="2:16" x14ac:dyDescent="0.3">
      <c r="B306" s="60"/>
      <c r="C306" s="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</row>
    <row r="307" spans="2:16" x14ac:dyDescent="0.3">
      <c r="B307" s="40"/>
      <c r="C307" s="9"/>
      <c r="D307" s="83"/>
      <c r="E307" s="83"/>
      <c r="F307" s="83"/>
      <c r="G307" s="9"/>
      <c r="H307" s="56"/>
      <c r="I307" s="56"/>
      <c r="J307" s="56"/>
      <c r="K307" s="9"/>
      <c r="L307" s="56"/>
      <c r="M307" s="56"/>
      <c r="N307" s="56"/>
    </row>
    <row r="308" spans="2:16" x14ac:dyDescent="0.3">
      <c r="B308" s="40"/>
      <c r="C308" s="9"/>
      <c r="D308" s="83"/>
      <c r="E308" s="83"/>
      <c r="F308" s="83"/>
      <c r="G308" s="9"/>
      <c r="H308" s="56"/>
      <c r="I308" s="56"/>
      <c r="J308" s="56"/>
      <c r="K308" s="9"/>
      <c r="L308" s="56"/>
      <c r="M308" s="56"/>
      <c r="N308" s="56"/>
    </row>
    <row r="309" spans="2:16" x14ac:dyDescent="0.3">
      <c r="B309" s="40"/>
      <c r="C309" s="9"/>
      <c r="D309" s="83"/>
      <c r="E309" s="83"/>
      <c r="F309" s="83"/>
      <c r="G309" s="9"/>
      <c r="H309" s="56"/>
      <c r="I309" s="56"/>
      <c r="J309" s="56"/>
      <c r="K309" s="9"/>
      <c r="L309" s="56"/>
      <c r="M309" s="56"/>
      <c r="N309" s="56"/>
    </row>
    <row r="310" spans="2:16" x14ac:dyDescent="0.3">
      <c r="B310" s="40"/>
      <c r="C310" s="9"/>
      <c r="D310" s="83"/>
      <c r="E310" s="83"/>
      <c r="F310" s="83"/>
      <c r="G310" s="9"/>
      <c r="H310" s="56"/>
      <c r="I310" s="56"/>
      <c r="J310" s="56"/>
      <c r="K310" s="9"/>
      <c r="L310" s="56"/>
      <c r="M310" s="56"/>
      <c r="N310" s="56"/>
    </row>
    <row r="311" spans="2:16" x14ac:dyDescent="0.3">
      <c r="B311" s="40"/>
      <c r="C311" s="9"/>
      <c r="D311" s="83"/>
      <c r="E311" s="83"/>
      <c r="F311" s="83"/>
      <c r="G311" s="9"/>
      <c r="H311" s="56"/>
      <c r="I311" s="56"/>
      <c r="J311" s="56"/>
      <c r="K311" s="9"/>
      <c r="L311" s="56"/>
      <c r="M311" s="56"/>
      <c r="N311" s="56"/>
    </row>
    <row r="312" spans="2:16" x14ac:dyDescent="0.3">
      <c r="B312" s="40"/>
      <c r="C312" s="9"/>
      <c r="D312" s="83"/>
      <c r="E312" s="83"/>
      <c r="F312" s="83"/>
      <c r="G312" s="9"/>
      <c r="H312" s="56"/>
      <c r="I312" s="56"/>
      <c r="J312" s="56"/>
      <c r="K312" s="9"/>
      <c r="L312" s="56"/>
      <c r="M312" s="56"/>
      <c r="N312" s="56"/>
    </row>
    <row r="313" spans="2:16" x14ac:dyDescent="0.3">
      <c r="B313" s="40"/>
      <c r="C313" s="9"/>
      <c r="D313" s="83"/>
      <c r="E313" s="83"/>
      <c r="F313" s="83"/>
      <c r="G313" s="9"/>
      <c r="H313" s="56"/>
      <c r="I313" s="56"/>
      <c r="J313" s="56"/>
      <c r="K313" s="9"/>
      <c r="L313" s="56"/>
      <c r="M313" s="56"/>
      <c r="N313" s="56"/>
    </row>
    <row r="314" spans="2:16" x14ac:dyDescent="0.3">
      <c r="B314" s="40"/>
      <c r="C314" s="9"/>
      <c r="D314" s="83"/>
      <c r="E314" s="83"/>
      <c r="F314" s="83"/>
      <c r="G314" s="9"/>
      <c r="H314" s="56"/>
      <c r="I314" s="56"/>
      <c r="J314" s="56"/>
      <c r="K314" s="9"/>
      <c r="L314" s="56"/>
      <c r="M314" s="56"/>
      <c r="N314" s="56"/>
    </row>
    <row r="315" spans="2:16" x14ac:dyDescent="0.3">
      <c r="B315" s="40"/>
      <c r="C315" s="9"/>
      <c r="D315" s="83"/>
      <c r="E315" s="83"/>
      <c r="F315" s="83"/>
      <c r="G315" s="9"/>
      <c r="H315" s="56"/>
      <c r="I315" s="56"/>
      <c r="J315" s="56"/>
      <c r="K315" s="9"/>
      <c r="L315" s="56"/>
      <c r="M315" s="56"/>
      <c r="N315" s="56"/>
    </row>
    <row r="316" spans="2:16" x14ac:dyDescent="0.3">
      <c r="B316" s="40"/>
      <c r="C316" s="9"/>
      <c r="D316" s="83"/>
      <c r="E316" s="83"/>
      <c r="F316" s="83"/>
      <c r="G316" s="9"/>
      <c r="H316" s="56"/>
      <c r="I316" s="56"/>
      <c r="J316" s="56"/>
      <c r="K316" s="9"/>
      <c r="L316" s="56"/>
      <c r="M316" s="56"/>
      <c r="N316" s="56"/>
    </row>
    <row r="317" spans="2:16" x14ac:dyDescent="0.3">
      <c r="B317" s="40"/>
      <c r="C317" s="9"/>
      <c r="D317" s="83"/>
      <c r="E317" s="83"/>
      <c r="F317" s="83"/>
      <c r="G317" s="9"/>
      <c r="H317" s="56"/>
      <c r="I317" s="56"/>
      <c r="J317" s="56"/>
      <c r="K317" s="9"/>
      <c r="L317" s="56"/>
      <c r="M317" s="56"/>
      <c r="N317" s="56"/>
    </row>
    <row r="318" spans="2:16" x14ac:dyDescent="0.3">
      <c r="B318" s="40"/>
      <c r="C318" s="9"/>
      <c r="D318" s="83"/>
      <c r="E318" s="83"/>
      <c r="F318" s="83"/>
      <c r="G318" s="9"/>
      <c r="H318" s="56"/>
      <c r="I318" s="56"/>
      <c r="J318" s="56"/>
      <c r="K318" s="9"/>
      <c r="L318" s="56"/>
      <c r="M318" s="56"/>
      <c r="N318" s="56"/>
    </row>
    <row r="319" spans="2:16" x14ac:dyDescent="0.3">
      <c r="B319" s="40"/>
      <c r="C319" s="9"/>
      <c r="D319" s="83"/>
      <c r="E319" s="83"/>
      <c r="F319" s="83"/>
      <c r="G319" s="9"/>
      <c r="H319" s="56"/>
      <c r="I319" s="56"/>
      <c r="J319" s="56"/>
      <c r="K319" s="9"/>
      <c r="L319" s="56"/>
      <c r="M319" s="56"/>
      <c r="N319" s="56"/>
    </row>
    <row r="320" spans="2:16" x14ac:dyDescent="0.3">
      <c r="B320" s="40"/>
      <c r="C320" s="9"/>
      <c r="D320" s="83"/>
      <c r="E320" s="83"/>
      <c r="F320" s="83"/>
      <c r="G320" s="9"/>
      <c r="H320" s="56"/>
      <c r="I320" s="56"/>
      <c r="J320" s="56"/>
      <c r="K320" s="9"/>
      <c r="L320" s="56"/>
      <c r="M320" s="56"/>
      <c r="N320" s="56"/>
    </row>
    <row r="321" spans="2:14" x14ac:dyDescent="0.3">
      <c r="B321" s="40"/>
      <c r="C321" s="9"/>
      <c r="D321" s="83"/>
      <c r="E321" s="83"/>
      <c r="F321" s="83"/>
      <c r="G321" s="9"/>
      <c r="H321" s="56"/>
      <c r="I321" s="56"/>
      <c r="J321" s="56"/>
      <c r="K321" s="9"/>
      <c r="L321" s="56"/>
      <c r="M321" s="56"/>
      <c r="N321" s="56"/>
    </row>
    <row r="322" spans="2:14" x14ac:dyDescent="0.3">
      <c r="B322" s="40"/>
      <c r="C322" s="9"/>
      <c r="D322" s="83"/>
      <c r="E322" s="83"/>
      <c r="F322" s="83"/>
      <c r="G322" s="9"/>
      <c r="H322" s="56"/>
      <c r="I322" s="56"/>
      <c r="J322" s="56"/>
      <c r="K322" s="9"/>
      <c r="L322" s="56"/>
      <c r="M322" s="56"/>
      <c r="N322" s="56"/>
    </row>
    <row r="323" spans="2:14" x14ac:dyDescent="0.3">
      <c r="B323" s="40"/>
      <c r="C323" s="9"/>
      <c r="D323" s="83"/>
      <c r="E323" s="83"/>
      <c r="F323" s="83"/>
      <c r="G323" s="9"/>
      <c r="H323" s="56"/>
      <c r="I323" s="56"/>
      <c r="J323" s="56"/>
      <c r="K323" s="9"/>
      <c r="L323" s="56"/>
      <c r="M323" s="56"/>
      <c r="N323" s="56"/>
    </row>
    <row r="324" spans="2:14" x14ac:dyDescent="0.3">
      <c r="B324" s="40"/>
      <c r="C324" s="9"/>
      <c r="D324" s="83"/>
      <c r="E324" s="83"/>
      <c r="F324" s="83"/>
      <c r="G324" s="9"/>
      <c r="H324" s="56"/>
      <c r="I324" s="56"/>
      <c r="J324" s="56"/>
      <c r="K324" s="9"/>
      <c r="L324" s="56"/>
      <c r="M324" s="56"/>
      <c r="N324" s="56"/>
    </row>
    <row r="325" spans="2:14" x14ac:dyDescent="0.3">
      <c r="B325" s="40"/>
      <c r="C325" s="9"/>
      <c r="D325" s="83"/>
      <c r="E325" s="83"/>
      <c r="F325" s="83"/>
      <c r="G325" s="9"/>
      <c r="H325" s="56"/>
      <c r="I325" s="56"/>
      <c r="J325" s="56"/>
      <c r="K325" s="9"/>
      <c r="L325" s="56"/>
      <c r="M325" s="56"/>
      <c r="N325" s="56"/>
    </row>
    <row r="326" spans="2:14" x14ac:dyDescent="0.3">
      <c r="B326" s="40"/>
      <c r="C326" s="9"/>
      <c r="D326" s="83"/>
      <c r="E326" s="83"/>
      <c r="F326" s="83"/>
      <c r="G326" s="9"/>
      <c r="H326" s="56"/>
      <c r="I326" s="56"/>
      <c r="J326" s="56"/>
      <c r="K326" s="9"/>
      <c r="L326" s="56"/>
      <c r="M326" s="56"/>
      <c r="N326" s="56"/>
    </row>
    <row r="327" spans="2:14" x14ac:dyDescent="0.3">
      <c r="B327" s="40"/>
      <c r="C327" s="9"/>
      <c r="D327" s="83"/>
      <c r="E327" s="83"/>
      <c r="F327" s="83"/>
      <c r="G327" s="9"/>
      <c r="H327" s="56"/>
      <c r="I327" s="56"/>
      <c r="J327" s="56"/>
      <c r="K327" s="9"/>
      <c r="L327" s="56"/>
      <c r="M327" s="56"/>
      <c r="N327" s="56"/>
    </row>
    <row r="328" spans="2:14" x14ac:dyDescent="0.3">
      <c r="B328" s="40"/>
      <c r="C328" s="9"/>
      <c r="D328" s="83"/>
      <c r="E328" s="83"/>
      <c r="F328" s="83"/>
      <c r="G328" s="9"/>
      <c r="H328" s="56"/>
      <c r="I328" s="56"/>
      <c r="J328" s="56"/>
      <c r="K328" s="9"/>
      <c r="L328" s="56"/>
      <c r="M328" s="56"/>
      <c r="N328" s="56"/>
    </row>
    <row r="329" spans="2:14" x14ac:dyDescent="0.3">
      <c r="B329" s="40"/>
      <c r="C329" s="9"/>
      <c r="D329" s="83"/>
      <c r="E329" s="83"/>
      <c r="F329" s="83"/>
      <c r="G329" s="9"/>
      <c r="H329" s="56"/>
      <c r="I329" s="56"/>
      <c r="J329" s="56"/>
      <c r="K329" s="9"/>
      <c r="L329" s="56"/>
      <c r="M329" s="56"/>
      <c r="N329" s="56"/>
    </row>
    <row r="330" spans="2:14" x14ac:dyDescent="0.3">
      <c r="B330" s="40"/>
      <c r="C330" s="9"/>
      <c r="D330" s="83"/>
      <c r="E330" s="83"/>
      <c r="F330" s="83"/>
      <c r="G330" s="9"/>
      <c r="H330" s="56"/>
      <c r="I330" s="56"/>
      <c r="J330" s="56"/>
      <c r="K330" s="9"/>
      <c r="L330" s="56"/>
      <c r="M330" s="56"/>
      <c r="N330" s="56"/>
    </row>
    <row r="331" spans="2:14" x14ac:dyDescent="0.3">
      <c r="B331" s="40"/>
      <c r="C331" s="9"/>
      <c r="D331" s="83"/>
      <c r="E331" s="83"/>
      <c r="F331" s="83"/>
      <c r="G331" s="9"/>
      <c r="H331" s="56"/>
      <c r="I331" s="56"/>
      <c r="J331" s="56"/>
      <c r="K331" s="9"/>
      <c r="L331" s="56"/>
      <c r="M331" s="56"/>
      <c r="N331" s="56"/>
    </row>
    <row r="332" spans="2:14" x14ac:dyDescent="0.3">
      <c r="B332" s="40"/>
      <c r="C332" s="9"/>
      <c r="D332" s="83"/>
      <c r="E332" s="83"/>
      <c r="F332" s="83"/>
      <c r="G332" s="9"/>
      <c r="H332" s="56"/>
      <c r="I332" s="56"/>
      <c r="J332" s="56"/>
      <c r="K332" s="9"/>
      <c r="L332" s="56"/>
      <c r="M332" s="56"/>
      <c r="N332" s="56"/>
    </row>
    <row r="333" spans="2:14" x14ac:dyDescent="0.3">
      <c r="B333" s="40"/>
      <c r="C333" s="9"/>
      <c r="D333" s="83"/>
      <c r="E333" s="83"/>
      <c r="F333" s="83"/>
      <c r="G333" s="9"/>
      <c r="H333" s="56"/>
      <c r="I333" s="56"/>
      <c r="J333" s="56"/>
      <c r="K333" s="9"/>
      <c r="L333" s="56"/>
      <c r="M333" s="56"/>
      <c r="N333" s="56"/>
    </row>
  </sheetData>
  <mergeCells count="71">
    <mergeCell ref="B294:B298"/>
    <mergeCell ref="B299:B300"/>
    <mergeCell ref="B301:B304"/>
    <mergeCell ref="B269:C269"/>
    <mergeCell ref="B270:B271"/>
    <mergeCell ref="B272:B277"/>
    <mergeCell ref="B278:B289"/>
    <mergeCell ref="B290:B293"/>
    <mergeCell ref="B219:B222"/>
    <mergeCell ref="E266:S266"/>
    <mergeCell ref="B268:C268"/>
    <mergeCell ref="B260:B263"/>
    <mergeCell ref="B229:B230"/>
    <mergeCell ref="B231:B236"/>
    <mergeCell ref="B237:B248"/>
    <mergeCell ref="B249:B252"/>
    <mergeCell ref="B253:B257"/>
    <mergeCell ref="B258:B259"/>
    <mergeCell ref="B175:B176"/>
    <mergeCell ref="B177:B180"/>
    <mergeCell ref="E225:S225"/>
    <mergeCell ref="B227:C227"/>
    <mergeCell ref="B228:C228"/>
    <mergeCell ref="F183:U183"/>
    <mergeCell ref="B185:C186"/>
    <mergeCell ref="D185:J185"/>
    <mergeCell ref="K185:P185"/>
    <mergeCell ref="B187:C187"/>
    <mergeCell ref="B188:B189"/>
    <mergeCell ref="B190:B195"/>
    <mergeCell ref="B196:B207"/>
    <mergeCell ref="B208:B211"/>
    <mergeCell ref="B212:B216"/>
    <mergeCell ref="B217:B218"/>
    <mergeCell ref="B170:B174"/>
    <mergeCell ref="B124:B127"/>
    <mergeCell ref="B128:B132"/>
    <mergeCell ref="B133:B134"/>
    <mergeCell ref="B135:B138"/>
    <mergeCell ref="B145:C145"/>
    <mergeCell ref="B146:B147"/>
    <mergeCell ref="B148:B153"/>
    <mergeCell ref="B154:B165"/>
    <mergeCell ref="B166:B169"/>
    <mergeCell ref="F141:U141"/>
    <mergeCell ref="B143:C144"/>
    <mergeCell ref="D143:J143"/>
    <mergeCell ref="K143:P143"/>
    <mergeCell ref="B94:B97"/>
    <mergeCell ref="B102:C102"/>
    <mergeCell ref="B103:C103"/>
    <mergeCell ref="B104:B105"/>
    <mergeCell ref="B106:B111"/>
    <mergeCell ref="B112:B123"/>
    <mergeCell ref="B92:B93"/>
    <mergeCell ref="B42:B45"/>
    <mergeCell ref="B46:B50"/>
    <mergeCell ref="B51:B52"/>
    <mergeCell ref="B53:B56"/>
    <mergeCell ref="B61:C61"/>
    <mergeCell ref="B62:C62"/>
    <mergeCell ref="B63:B64"/>
    <mergeCell ref="B65:B70"/>
    <mergeCell ref="B71:B82"/>
    <mergeCell ref="B83:B86"/>
    <mergeCell ref="B87:B91"/>
    <mergeCell ref="B30:B41"/>
    <mergeCell ref="B20:C20"/>
    <mergeCell ref="B21:C21"/>
    <mergeCell ref="B22:B23"/>
    <mergeCell ref="B24:B29"/>
  </mergeCells>
  <phoneticPr fontId="2" type="noConversion"/>
  <pageMargins left="0.70866141732283472" right="0.70866141732283472" top="1.1417322834645669" bottom="0.39370078740157483" header="0.31496062992125984" footer="0.31496062992125984"/>
  <pageSetup paperSize="9" orientation="portrait" r:id="rId1"/>
  <headerFooter>
    <oddHeader>&amp;L&amp;P&amp;RKorea Fashion Index  2017상반기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EE20-DC1A-4B63-A550-CE48F61DA20C}">
  <sheetPr codeName="Sheet24"/>
  <dimension ref="B2:Q921"/>
  <sheetViews>
    <sheetView showGridLines="0" topLeftCell="A891" workbookViewId="0">
      <selection activeCell="B6" sqref="B6:P6"/>
    </sheetView>
  </sheetViews>
  <sheetFormatPr defaultRowHeight="16.5" x14ac:dyDescent="0.3"/>
  <cols>
    <col min="1" max="1" width="4.125" customWidth="1"/>
    <col min="2" max="2" width="12.125" customWidth="1"/>
    <col min="3" max="3" width="13.5" customWidth="1"/>
    <col min="4" max="16" width="11.5" customWidth="1"/>
  </cols>
  <sheetData>
    <row r="2" spans="2:16" ht="20.25" x14ac:dyDescent="0.3">
      <c r="B2" s="278" t="s">
        <v>507</v>
      </c>
      <c r="C2" s="278"/>
      <c r="D2" s="32" t="s">
        <v>527</v>
      </c>
    </row>
    <row r="3" spans="2:16" x14ac:dyDescent="0.3">
      <c r="B3" s="44"/>
    </row>
    <row r="4" spans="2:16" ht="17.25" x14ac:dyDescent="0.3">
      <c r="B4" s="33" t="s">
        <v>112</v>
      </c>
    </row>
    <row r="6" spans="2:16" x14ac:dyDescent="0.3">
      <c r="B6" s="17" t="s">
        <v>492</v>
      </c>
    </row>
    <row r="7" spans="2:16" x14ac:dyDescent="0.3">
      <c r="N7" s="30"/>
      <c r="P7" s="30" t="s">
        <v>52</v>
      </c>
    </row>
    <row r="8" spans="2:16" ht="31.5" customHeight="1" x14ac:dyDescent="0.3">
      <c r="B8" s="229"/>
      <c r="C8" s="229"/>
      <c r="D8" s="230" t="s">
        <v>138</v>
      </c>
      <c r="E8" s="231" t="s">
        <v>378</v>
      </c>
      <c r="F8" s="231" t="s">
        <v>123</v>
      </c>
      <c r="G8" s="231" t="s">
        <v>139</v>
      </c>
      <c r="H8" s="231" t="s">
        <v>382</v>
      </c>
      <c r="I8" s="231" t="s">
        <v>383</v>
      </c>
      <c r="J8" s="231" t="s">
        <v>140</v>
      </c>
      <c r="K8" s="231" t="s">
        <v>141</v>
      </c>
      <c r="L8" s="231" t="s">
        <v>379</v>
      </c>
      <c r="M8" s="231" t="s">
        <v>384</v>
      </c>
      <c r="N8" s="231" t="s">
        <v>380</v>
      </c>
      <c r="O8" s="231" t="s">
        <v>381</v>
      </c>
      <c r="P8" s="231" t="s">
        <v>12</v>
      </c>
    </row>
    <row r="9" spans="2:16" s="1" customFormat="1" ht="21.75" customHeight="1" x14ac:dyDescent="0.3">
      <c r="B9" s="292" t="s">
        <v>20</v>
      </c>
      <c r="C9" s="292"/>
      <c r="D9" s="86">
        <v>21.884745324302557</v>
      </c>
      <c r="E9" s="86">
        <v>7.9885867091117557</v>
      </c>
      <c r="F9" s="88">
        <v>26.167956980755115</v>
      </c>
      <c r="G9" s="86">
        <v>3.2157199322888084</v>
      </c>
      <c r="H9" s="88">
        <v>5.9846816511608347</v>
      </c>
      <c r="I9" s="86">
        <v>3.0637305188268149</v>
      </c>
      <c r="J9" s="86">
        <v>10.60447179811381</v>
      </c>
      <c r="K9" s="86">
        <v>8.6971342079304623</v>
      </c>
      <c r="L9" s="88">
        <v>1.7537014541157847</v>
      </c>
      <c r="M9" s="86">
        <v>2.7294692326427126</v>
      </c>
      <c r="N9" s="86">
        <v>5.8859256034556839</v>
      </c>
      <c r="O9" s="86">
        <v>0.93045986990709428</v>
      </c>
      <c r="P9" s="86">
        <v>1.0934167173877247</v>
      </c>
    </row>
    <row r="10" spans="2:16" s="1" customFormat="1" x14ac:dyDescent="0.3">
      <c r="B10" s="296" t="s">
        <v>5</v>
      </c>
      <c r="C10" s="13" t="s">
        <v>0</v>
      </c>
      <c r="D10" s="84">
        <v>22.392917117153608</v>
      </c>
      <c r="E10" s="84">
        <v>8.4653897280999733</v>
      </c>
      <c r="F10" s="89">
        <v>25.371739088761501</v>
      </c>
      <c r="G10" s="84">
        <v>3.4944377696340623</v>
      </c>
      <c r="H10" s="89">
        <v>5.7005330044357025</v>
      </c>
      <c r="I10" s="84">
        <v>2.5496551773018563</v>
      </c>
      <c r="J10" s="84">
        <v>8.680175036826709</v>
      </c>
      <c r="K10" s="84">
        <v>10.653858690981739</v>
      </c>
      <c r="L10" s="89">
        <v>1.307095577113939</v>
      </c>
      <c r="M10" s="84">
        <v>2.5287072915674011</v>
      </c>
      <c r="N10" s="84">
        <v>6.2316756499999837</v>
      </c>
      <c r="O10" s="84">
        <v>1.235428449057099</v>
      </c>
      <c r="P10" s="84">
        <v>1.388387419066365</v>
      </c>
    </row>
    <row r="11" spans="2:16" s="1" customFormat="1" x14ac:dyDescent="0.3">
      <c r="B11" s="295"/>
      <c r="C11" s="12" t="s">
        <v>1</v>
      </c>
      <c r="D11" s="90">
        <v>21.358202922731191</v>
      </c>
      <c r="E11" s="90">
        <v>7.4945470748256025</v>
      </c>
      <c r="F11" s="90">
        <v>26.992958460417992</v>
      </c>
      <c r="G11" s="90">
        <v>2.9269263363017521</v>
      </c>
      <c r="H11" s="90">
        <v>6.2791023824074186</v>
      </c>
      <c r="I11" s="90">
        <v>3.5963898846621261</v>
      </c>
      <c r="J11" s="90">
        <v>12.598332638638787</v>
      </c>
      <c r="K11" s="90">
        <v>6.6696733708389075</v>
      </c>
      <c r="L11" s="90">
        <v>2.2164523079428537</v>
      </c>
      <c r="M11" s="90">
        <v>2.9374887962728877</v>
      </c>
      <c r="N11" s="90">
        <v>5.5276765577352043</v>
      </c>
      <c r="O11" s="90">
        <v>0.61446655754973667</v>
      </c>
      <c r="P11" s="90">
        <v>0.78778270967586816</v>
      </c>
    </row>
    <row r="12" spans="2:16" s="1" customFormat="1" x14ac:dyDescent="0.3">
      <c r="B12" s="296" t="s">
        <v>4</v>
      </c>
      <c r="C12" s="9" t="s">
        <v>175</v>
      </c>
      <c r="D12" s="86">
        <v>11.826183577647924</v>
      </c>
      <c r="E12" s="86">
        <v>4.195586868957748</v>
      </c>
      <c r="F12" s="88">
        <v>55.948326949752492</v>
      </c>
      <c r="G12" s="86">
        <v>1.6530042467291068</v>
      </c>
      <c r="H12" s="88">
        <v>3.4871949538644453</v>
      </c>
      <c r="I12" s="86">
        <v>3.7621207988598728</v>
      </c>
      <c r="J12" s="86">
        <v>4.4619269527880583</v>
      </c>
      <c r="K12" s="86">
        <v>2.7333142863904616</v>
      </c>
      <c r="L12" s="88">
        <v>1.0656443761833951</v>
      </c>
      <c r="M12" s="86">
        <v>3.1225446066450444</v>
      </c>
      <c r="N12" s="86">
        <v>4.7833964431471889</v>
      </c>
      <c r="O12" s="86">
        <v>1.7423795476892829</v>
      </c>
      <c r="P12" s="86">
        <v>1.2183763913450163</v>
      </c>
    </row>
    <row r="13" spans="2:16" s="1" customFormat="1" x14ac:dyDescent="0.3">
      <c r="B13" s="292"/>
      <c r="C13" s="9" t="s">
        <v>176</v>
      </c>
      <c r="D13" s="86">
        <v>9.1816277161694071</v>
      </c>
      <c r="E13" s="86">
        <v>10.924224580645701</v>
      </c>
      <c r="F13" s="88">
        <v>39.153739960447993</v>
      </c>
      <c r="G13" s="86">
        <v>4.1550441569538661</v>
      </c>
      <c r="H13" s="88">
        <v>4.1343881450139559</v>
      </c>
      <c r="I13" s="86">
        <v>2.9391002894295837</v>
      </c>
      <c r="J13" s="86">
        <v>9.0096613959207428</v>
      </c>
      <c r="K13" s="86">
        <v>5.7301278132260487</v>
      </c>
      <c r="L13" s="88">
        <v>4.5753520595260158</v>
      </c>
      <c r="M13" s="86">
        <v>2.5460376022703706</v>
      </c>
      <c r="N13" s="86">
        <v>5.5839921980255234</v>
      </c>
      <c r="O13" s="86">
        <v>1.2192488211820105</v>
      </c>
      <c r="P13" s="86">
        <v>0.84745526118890269</v>
      </c>
    </row>
    <row r="14" spans="2:16" s="1" customFormat="1" x14ac:dyDescent="0.3">
      <c r="B14" s="292"/>
      <c r="C14" s="9" t="s">
        <v>177</v>
      </c>
      <c r="D14" s="86">
        <v>15.203128790267758</v>
      </c>
      <c r="E14" s="86">
        <v>10.322567314417114</v>
      </c>
      <c r="F14" s="88">
        <v>33.514496630221593</v>
      </c>
      <c r="G14" s="86">
        <v>3.3794452954776095</v>
      </c>
      <c r="H14" s="88">
        <v>3.6625546597640475</v>
      </c>
      <c r="I14" s="86">
        <v>2.6785941632704202</v>
      </c>
      <c r="J14" s="86">
        <v>8.8220797425674782</v>
      </c>
      <c r="K14" s="86">
        <v>6.8401011486127565</v>
      </c>
      <c r="L14" s="88">
        <v>2.5787320889798555</v>
      </c>
      <c r="M14" s="86">
        <v>4.2071263820972291</v>
      </c>
      <c r="N14" s="86">
        <v>5.602285086522401</v>
      </c>
      <c r="O14" s="86">
        <v>1.0771712094366677</v>
      </c>
      <c r="P14" s="86">
        <v>2.1117174883653549</v>
      </c>
    </row>
    <row r="15" spans="2:16" s="1" customFormat="1" x14ac:dyDescent="0.3">
      <c r="B15" s="292"/>
      <c r="C15" s="9" t="s">
        <v>178</v>
      </c>
      <c r="D15" s="86">
        <v>24.087179348691031</v>
      </c>
      <c r="E15" s="86">
        <v>7.2310785134738005</v>
      </c>
      <c r="F15" s="88">
        <v>23.50523517548017</v>
      </c>
      <c r="G15" s="86">
        <v>3.5520048888037885</v>
      </c>
      <c r="H15" s="88">
        <v>6.3946575909539147</v>
      </c>
      <c r="I15" s="86">
        <v>3.4802821330119533</v>
      </c>
      <c r="J15" s="86">
        <v>10.949668122197401</v>
      </c>
      <c r="K15" s="86">
        <v>9.8136969385025434</v>
      </c>
      <c r="L15" s="88">
        <v>1.3047379578229654</v>
      </c>
      <c r="M15" s="86">
        <v>2.6566991645234754</v>
      </c>
      <c r="N15" s="86">
        <v>4.9102271337172736</v>
      </c>
      <c r="O15" s="86">
        <v>0.77567653742947318</v>
      </c>
      <c r="P15" s="86">
        <v>1.3388564953924182</v>
      </c>
    </row>
    <row r="16" spans="2:16" s="1" customFormat="1" x14ac:dyDescent="0.3">
      <c r="B16" s="292"/>
      <c r="C16" s="9" t="s">
        <v>179</v>
      </c>
      <c r="D16" s="86">
        <v>27.995888763119538</v>
      </c>
      <c r="E16" s="86">
        <v>6.5285159471746832</v>
      </c>
      <c r="F16" s="88">
        <v>18.325388782077106</v>
      </c>
      <c r="G16" s="86">
        <v>3.2233369370220095</v>
      </c>
      <c r="H16" s="88">
        <v>8.2956248721578287</v>
      </c>
      <c r="I16" s="86">
        <v>2.9811642727487495</v>
      </c>
      <c r="J16" s="86">
        <v>12.152172113002095</v>
      </c>
      <c r="K16" s="86">
        <v>11.383280659631165</v>
      </c>
      <c r="L16" s="88">
        <v>0.70017283014635701</v>
      </c>
      <c r="M16" s="86">
        <v>1.9606099559053112</v>
      </c>
      <c r="N16" s="86">
        <v>5.0273266408421806</v>
      </c>
      <c r="O16" s="86">
        <v>0.6610543174971607</v>
      </c>
      <c r="P16" s="86">
        <v>0.76546390867594238</v>
      </c>
    </row>
    <row r="17" spans="2:16" s="1" customFormat="1" x14ac:dyDescent="0.3">
      <c r="B17" s="298"/>
      <c r="C17" s="12" t="s">
        <v>180</v>
      </c>
      <c r="D17" s="90">
        <v>30.835175712469091</v>
      </c>
      <c r="E17" s="90">
        <v>7.0121339585619928</v>
      </c>
      <c r="F17" s="91">
        <v>14.140273443187915</v>
      </c>
      <c r="G17" s="90">
        <v>2.3631069733919818</v>
      </c>
      <c r="H17" s="91">
        <v>6.9907514657956336</v>
      </c>
      <c r="I17" s="90">
        <v>2.9956914947184679</v>
      </c>
      <c r="J17" s="90">
        <v>12.747067032816394</v>
      </c>
      <c r="K17" s="90">
        <v>9.8736539653542224</v>
      </c>
      <c r="L17" s="91">
        <v>0.64151262613352933</v>
      </c>
      <c r="M17" s="90">
        <v>2.4612772084487515</v>
      </c>
      <c r="N17" s="90">
        <v>8.5833408414436629</v>
      </c>
      <c r="O17" s="90">
        <v>0.84527988621334127</v>
      </c>
      <c r="P17" s="90">
        <v>0.51073539146485425</v>
      </c>
    </row>
    <row r="18" spans="2:16" s="1" customFormat="1" x14ac:dyDescent="0.3">
      <c r="B18" s="292" t="s">
        <v>223</v>
      </c>
      <c r="C18" s="9" t="s">
        <v>210</v>
      </c>
      <c r="D18" s="86">
        <v>16.259383155123032</v>
      </c>
      <c r="E18" s="86">
        <v>3.4202973664263778</v>
      </c>
      <c r="F18" s="88">
        <v>54.922849710774024</v>
      </c>
      <c r="G18" s="86">
        <v>0.92698090971881297</v>
      </c>
      <c r="H18" s="88">
        <v>2.1233500522663777</v>
      </c>
      <c r="I18" s="86">
        <v>4.7207769976076266</v>
      </c>
      <c r="J18" s="86">
        <v>5.5437753250134651</v>
      </c>
      <c r="K18" s="86">
        <v>2.5043339217024085</v>
      </c>
      <c r="L18" s="88">
        <v>1.3977094606172933</v>
      </c>
      <c r="M18" s="86">
        <v>0</v>
      </c>
      <c r="N18" s="86">
        <v>4.5184134289722193</v>
      </c>
      <c r="O18" s="86">
        <v>2.5055061042853524</v>
      </c>
      <c r="P18" s="86">
        <v>1.1566235674930117</v>
      </c>
    </row>
    <row r="19" spans="2:16" s="1" customFormat="1" x14ac:dyDescent="0.3">
      <c r="B19" s="292"/>
      <c r="C19" s="9" t="s">
        <v>211</v>
      </c>
      <c r="D19" s="86">
        <v>8.0176748596044067</v>
      </c>
      <c r="E19" s="86">
        <v>13.574916694611439</v>
      </c>
      <c r="F19" s="88">
        <v>33.190250578213799</v>
      </c>
      <c r="G19" s="86">
        <v>4.9543520112834791</v>
      </c>
      <c r="H19" s="88">
        <v>4.8551571243152223</v>
      </c>
      <c r="I19" s="86">
        <v>3.6146429436221497</v>
      </c>
      <c r="J19" s="86">
        <v>6.1746565556291833</v>
      </c>
      <c r="K19" s="86">
        <v>7.320489947300211</v>
      </c>
      <c r="L19" s="88">
        <v>2.4357638083884599</v>
      </c>
      <c r="M19" s="86">
        <v>3.8458205446338782</v>
      </c>
      <c r="N19" s="86">
        <v>8.3654731272307234</v>
      </c>
      <c r="O19" s="86">
        <v>2.0257521357370987</v>
      </c>
      <c r="P19" s="86">
        <v>1.6250496694298937</v>
      </c>
    </row>
    <row r="20" spans="2:16" s="1" customFormat="1" x14ac:dyDescent="0.3">
      <c r="B20" s="292"/>
      <c r="C20" s="9" t="s">
        <v>212</v>
      </c>
      <c r="D20" s="86">
        <v>15.155674447550121</v>
      </c>
      <c r="E20" s="86">
        <v>11.02949361423441</v>
      </c>
      <c r="F20" s="88">
        <v>32.696361668152022</v>
      </c>
      <c r="G20" s="86">
        <v>4.1505070283424033</v>
      </c>
      <c r="H20" s="88">
        <v>3.8923546954289394</v>
      </c>
      <c r="I20" s="86">
        <v>1.9815506634534019</v>
      </c>
      <c r="J20" s="86">
        <v>7.49475833504893</v>
      </c>
      <c r="K20" s="86">
        <v>8.8535366979867796</v>
      </c>
      <c r="L20" s="88">
        <v>2.4085495772629919</v>
      </c>
      <c r="M20" s="86">
        <v>2.7034629847499216</v>
      </c>
      <c r="N20" s="86">
        <v>4.8166277271653266</v>
      </c>
      <c r="O20" s="86">
        <v>1.8004482120380587</v>
      </c>
      <c r="P20" s="86">
        <v>3.0166743485866538</v>
      </c>
    </row>
    <row r="21" spans="2:16" s="1" customFormat="1" x14ac:dyDescent="0.3">
      <c r="B21" s="292"/>
      <c r="C21" s="9" t="s">
        <v>213</v>
      </c>
      <c r="D21" s="86">
        <v>27.056213769136701</v>
      </c>
      <c r="E21" s="86">
        <v>6.6990527078816866</v>
      </c>
      <c r="F21" s="88">
        <v>21.870697620044229</v>
      </c>
      <c r="G21" s="86">
        <v>3.9049458036379723</v>
      </c>
      <c r="H21" s="88">
        <v>6.5421597520277945</v>
      </c>
      <c r="I21" s="86">
        <v>3.2513591030256292</v>
      </c>
      <c r="J21" s="86">
        <v>10.224835766877344</v>
      </c>
      <c r="K21" s="86">
        <v>10.484977981479016</v>
      </c>
      <c r="L21" s="88">
        <v>1.0383038436037775</v>
      </c>
      <c r="M21" s="86">
        <v>2.6645551405689982</v>
      </c>
      <c r="N21" s="86">
        <v>4.0496968896854026</v>
      </c>
      <c r="O21" s="86">
        <v>0.68487982028376471</v>
      </c>
      <c r="P21" s="86">
        <v>1.528321801747851</v>
      </c>
    </row>
    <row r="22" spans="2:16" s="1" customFormat="1" x14ac:dyDescent="0.3">
      <c r="B22" s="292"/>
      <c r="C22" s="9" t="s">
        <v>214</v>
      </c>
      <c r="D22" s="86">
        <v>31.691815844697217</v>
      </c>
      <c r="E22" s="86">
        <v>6.1694408318710519</v>
      </c>
      <c r="F22" s="88">
        <v>20.354216718935771</v>
      </c>
      <c r="G22" s="86">
        <v>2.7132298143750333</v>
      </c>
      <c r="H22" s="88">
        <v>5.7021804074157663</v>
      </c>
      <c r="I22" s="86">
        <v>1.6349268799518681</v>
      </c>
      <c r="J22" s="86">
        <v>8.4657421340460619</v>
      </c>
      <c r="K22" s="86">
        <v>13.589856480260645</v>
      </c>
      <c r="L22" s="88">
        <v>0.40108710715407203</v>
      </c>
      <c r="M22" s="86">
        <v>2.2701494554985491</v>
      </c>
      <c r="N22" s="86">
        <v>5.173699278124344</v>
      </c>
      <c r="O22" s="86">
        <v>1.0018178230969006</v>
      </c>
      <c r="P22" s="86">
        <v>0.83183722457271136</v>
      </c>
    </row>
    <row r="23" spans="2:16" s="1" customFormat="1" x14ac:dyDescent="0.3">
      <c r="B23" s="292"/>
      <c r="C23" s="12" t="s">
        <v>215</v>
      </c>
      <c r="D23" s="90">
        <v>26.792680439309308</v>
      </c>
      <c r="E23" s="90">
        <v>7.6602672691123264</v>
      </c>
      <c r="F23" s="91">
        <v>14.330971471880913</v>
      </c>
      <c r="G23" s="90">
        <v>2.8049236750552917</v>
      </c>
      <c r="H23" s="91">
        <v>8.0494913058612401</v>
      </c>
      <c r="I23" s="90">
        <v>1.9602335872354593</v>
      </c>
      <c r="J23" s="90">
        <v>11.254386482154993</v>
      </c>
      <c r="K23" s="90">
        <v>13.867314692329568</v>
      </c>
      <c r="L23" s="91">
        <v>0.68002240728860841</v>
      </c>
      <c r="M23" s="90">
        <v>2.0646137699639362</v>
      </c>
      <c r="N23" s="90">
        <v>9.6620381498166168</v>
      </c>
      <c r="O23" s="90">
        <v>0.59534507527982916</v>
      </c>
      <c r="P23" s="90">
        <v>0.27771167471197905</v>
      </c>
    </row>
    <row r="24" spans="2:16" s="1" customFormat="1" x14ac:dyDescent="0.3">
      <c r="B24" s="292"/>
      <c r="C24" s="9" t="s">
        <v>216</v>
      </c>
      <c r="D24" s="86">
        <v>7.1126180880452612</v>
      </c>
      <c r="E24" s="86">
        <v>5.0199074933101473</v>
      </c>
      <c r="F24" s="88">
        <v>57.038657768283997</v>
      </c>
      <c r="G24" s="86">
        <v>2.4249429980016002</v>
      </c>
      <c r="H24" s="88">
        <v>4.937292597563248</v>
      </c>
      <c r="I24" s="86">
        <v>2.7428369394617218</v>
      </c>
      <c r="J24" s="86">
        <v>3.3116599586707309</v>
      </c>
      <c r="K24" s="86">
        <v>2.9767759050088025</v>
      </c>
      <c r="L24" s="88">
        <v>0.71257871899025138</v>
      </c>
      <c r="M24" s="86">
        <v>6.4425662389690466</v>
      </c>
      <c r="N24" s="86">
        <v>5.0651376030291457</v>
      </c>
      <c r="O24" s="86">
        <v>0.93099108242663597</v>
      </c>
      <c r="P24" s="86">
        <v>1.2840346082394833</v>
      </c>
    </row>
    <row r="25" spans="2:16" s="1" customFormat="1" x14ac:dyDescent="0.3">
      <c r="B25" s="292"/>
      <c r="C25" s="9" t="s">
        <v>217</v>
      </c>
      <c r="D25" s="86">
        <v>10.450152748780157</v>
      </c>
      <c r="E25" s="86">
        <v>8.0353882490500386</v>
      </c>
      <c r="F25" s="88">
        <v>45.653002813238523</v>
      </c>
      <c r="G25" s="86">
        <v>3.2839246642178557</v>
      </c>
      <c r="H25" s="88">
        <v>3.348863638745494</v>
      </c>
      <c r="I25" s="86">
        <v>2.2028653443403385</v>
      </c>
      <c r="J25" s="86">
        <v>12.099369529028181</v>
      </c>
      <c r="K25" s="86">
        <v>3.9968839222809471</v>
      </c>
      <c r="L25" s="88">
        <v>6.9071657929942809</v>
      </c>
      <c r="M25" s="86">
        <v>1.1294791995404851</v>
      </c>
      <c r="N25" s="86">
        <v>2.5526166861005239</v>
      </c>
      <c r="O25" s="86">
        <v>0.34028741168306692</v>
      </c>
      <c r="P25" s="86">
        <v>0</v>
      </c>
    </row>
    <row r="26" spans="2:16" s="1" customFormat="1" x14ac:dyDescent="0.3">
      <c r="B26" s="292"/>
      <c r="C26" s="9" t="s">
        <v>218</v>
      </c>
      <c r="D26" s="86">
        <v>15.254773691858773</v>
      </c>
      <c r="E26" s="86">
        <v>9.5532143512230281</v>
      </c>
      <c r="F26" s="88">
        <v>34.404878778294716</v>
      </c>
      <c r="G26" s="86">
        <v>2.5402932804254421</v>
      </c>
      <c r="H26" s="88">
        <v>3.4124616324900767</v>
      </c>
      <c r="I26" s="86">
        <v>3.4371916043303052</v>
      </c>
      <c r="J26" s="86">
        <v>10.266613151848079</v>
      </c>
      <c r="K26" s="86">
        <v>4.6488647969429344</v>
      </c>
      <c r="L26" s="88">
        <v>2.7639429372776116</v>
      </c>
      <c r="M26" s="86">
        <v>5.8435740438895394</v>
      </c>
      <c r="N26" s="86">
        <v>6.4573216265870963</v>
      </c>
      <c r="O26" s="86">
        <v>0.29002365911171407</v>
      </c>
      <c r="P26" s="86">
        <v>1.1268464457206595</v>
      </c>
    </row>
    <row r="27" spans="2:16" s="1" customFormat="1" x14ac:dyDescent="0.3">
      <c r="B27" s="292"/>
      <c r="C27" s="9" t="s">
        <v>219</v>
      </c>
      <c r="D27" s="86">
        <v>21.016334815705321</v>
      </c>
      <c r="E27" s="86">
        <v>7.7813478283928523</v>
      </c>
      <c r="F27" s="88">
        <v>25.19582208195207</v>
      </c>
      <c r="G27" s="86">
        <v>3.1869614014928986</v>
      </c>
      <c r="H27" s="88">
        <v>6.2420974852784132</v>
      </c>
      <c r="I27" s="86">
        <v>3.7170550819097405</v>
      </c>
      <c r="J27" s="86">
        <v>11.69935544826464</v>
      </c>
      <c r="K27" s="86">
        <v>9.1193972339501403</v>
      </c>
      <c r="L27" s="88">
        <v>1.5803082703180389</v>
      </c>
      <c r="M27" s="86">
        <v>2.6485738019730887</v>
      </c>
      <c r="N27" s="86">
        <v>5.8002655169561326</v>
      </c>
      <c r="O27" s="86">
        <v>0.8695867327912622</v>
      </c>
      <c r="P27" s="86">
        <v>1.1428943010151922</v>
      </c>
    </row>
    <row r="28" spans="2:16" s="1" customFormat="1" x14ac:dyDescent="0.3">
      <c r="B28" s="292"/>
      <c r="C28" s="9" t="s">
        <v>220</v>
      </c>
      <c r="D28" s="86">
        <v>24.233329555502458</v>
      </c>
      <c r="E28" s="86">
        <v>6.8940646583616827</v>
      </c>
      <c r="F28" s="88">
        <v>16.259984063313109</v>
      </c>
      <c r="G28" s="86">
        <v>3.7426405403731779</v>
      </c>
      <c r="H28" s="88">
        <v>10.935825323865187</v>
      </c>
      <c r="I28" s="86">
        <v>4.3516723445000238</v>
      </c>
      <c r="J28" s="86">
        <v>15.905062999214021</v>
      </c>
      <c r="K28" s="86">
        <v>9.1369235243408689</v>
      </c>
      <c r="L28" s="88">
        <v>1.0046506285641414</v>
      </c>
      <c r="M28" s="86">
        <v>1.6454899146791324</v>
      </c>
      <c r="N28" s="86">
        <v>4.8783151203242774</v>
      </c>
      <c r="O28" s="86">
        <v>0.3141473473880898</v>
      </c>
      <c r="P28" s="86">
        <v>0.69789397957418675</v>
      </c>
    </row>
    <row r="29" spans="2:16" s="1" customFormat="1" x14ac:dyDescent="0.3">
      <c r="B29" s="295"/>
      <c r="C29" s="9" t="s">
        <v>221</v>
      </c>
      <c r="D29" s="90">
        <v>34.75663993232876</v>
      </c>
      <c r="E29" s="90">
        <v>6.3834055580868698</v>
      </c>
      <c r="F29" s="91">
        <v>13.955284854263128</v>
      </c>
      <c r="G29" s="90">
        <v>1.9345181265942277</v>
      </c>
      <c r="H29" s="91">
        <v>5.9637099678072945</v>
      </c>
      <c r="I29" s="90">
        <v>4.0001481139568504</v>
      </c>
      <c r="J29" s="90">
        <v>14.195057191262201</v>
      </c>
      <c r="K29" s="90">
        <v>5.9995622005294402</v>
      </c>
      <c r="L29" s="91">
        <v>0.60415581586910949</v>
      </c>
      <c r="M29" s="90">
        <v>2.846064666747703</v>
      </c>
      <c r="N29" s="90">
        <v>7.5369393955524027</v>
      </c>
      <c r="O29" s="90">
        <v>1.0877317265112341</v>
      </c>
      <c r="P29" s="90">
        <v>0.73678245049105151</v>
      </c>
    </row>
    <row r="30" spans="2:16" s="1" customFormat="1" ht="16.5" customHeight="1" x14ac:dyDescent="0.3">
      <c r="B30" s="291" t="s">
        <v>222</v>
      </c>
      <c r="C30" s="13" t="s">
        <v>226</v>
      </c>
      <c r="D30" s="80">
        <v>24.504527199671085</v>
      </c>
      <c r="E30" s="80">
        <v>6.1622920428678407</v>
      </c>
      <c r="F30" s="80">
        <v>25.880809296323516</v>
      </c>
      <c r="G30" s="80">
        <v>3.0131406605826592</v>
      </c>
      <c r="H30" s="80">
        <v>5.0027223608866462</v>
      </c>
      <c r="I30" s="80">
        <v>2.8934116515462001</v>
      </c>
      <c r="J30" s="80">
        <v>10.674497154227444</v>
      </c>
      <c r="K30" s="80">
        <v>8.638952404039193</v>
      </c>
      <c r="L30" s="80">
        <v>2.0235191293320387</v>
      </c>
      <c r="M30" s="80">
        <v>2.9451647793370004</v>
      </c>
      <c r="N30" s="80">
        <v>5.6434598630618753</v>
      </c>
      <c r="O30" s="80">
        <v>0.956260760438149</v>
      </c>
      <c r="P30" s="80">
        <v>1.6612426976863339</v>
      </c>
    </row>
    <row r="31" spans="2:16" s="1" customFormat="1" x14ac:dyDescent="0.3">
      <c r="B31" s="294"/>
      <c r="C31" s="9" t="s">
        <v>227</v>
      </c>
      <c r="D31" s="79">
        <v>20.222511462777145</v>
      </c>
      <c r="E31" s="79">
        <v>8.3147943650743112</v>
      </c>
      <c r="F31" s="79">
        <v>26.169141236837795</v>
      </c>
      <c r="G31" s="79">
        <v>2.3674998223984911</v>
      </c>
      <c r="H31" s="79">
        <v>7.0697273365742452</v>
      </c>
      <c r="I31" s="79">
        <v>2.9705273120010038</v>
      </c>
      <c r="J31" s="79">
        <v>9.8348683293423651</v>
      </c>
      <c r="K31" s="79">
        <v>10.1199196318325</v>
      </c>
      <c r="L31" s="79">
        <v>2.1213094252569524</v>
      </c>
      <c r="M31" s="79">
        <v>3.6569879314190166</v>
      </c>
      <c r="N31" s="79">
        <v>5.3303568831908512</v>
      </c>
      <c r="O31" s="79">
        <v>0.82450575436032125</v>
      </c>
      <c r="P31" s="79">
        <v>0.9978505089350298</v>
      </c>
    </row>
    <row r="32" spans="2:16" s="1" customFormat="1" x14ac:dyDescent="0.3">
      <c r="B32" s="292"/>
      <c r="C32" s="9" t="s">
        <v>228</v>
      </c>
      <c r="D32" s="79">
        <v>24.525392764299053</v>
      </c>
      <c r="E32" s="79">
        <v>8.2629408411530125</v>
      </c>
      <c r="F32" s="79">
        <v>24.137568600020899</v>
      </c>
      <c r="G32" s="79">
        <v>3.0454110535956138</v>
      </c>
      <c r="H32" s="79">
        <v>5.6292883633943855</v>
      </c>
      <c r="I32" s="79">
        <v>3.0896196365612205</v>
      </c>
      <c r="J32" s="79">
        <v>12.130488062888604</v>
      </c>
      <c r="K32" s="79">
        <v>8.4232332947294495</v>
      </c>
      <c r="L32" s="79">
        <v>1.2308844808892261</v>
      </c>
      <c r="M32" s="79">
        <v>1.8482849829557213</v>
      </c>
      <c r="N32" s="79">
        <v>5.7947561065023345</v>
      </c>
      <c r="O32" s="79">
        <v>1.3140972614819328</v>
      </c>
      <c r="P32" s="79">
        <v>0.56803455152867866</v>
      </c>
    </row>
    <row r="33" spans="2:16" s="1" customFormat="1" x14ac:dyDescent="0.3">
      <c r="B33" s="295"/>
      <c r="C33" s="12" t="s">
        <v>229</v>
      </c>
      <c r="D33" s="81">
        <v>18.697453272449028</v>
      </c>
      <c r="E33" s="81">
        <v>9.382363116209234</v>
      </c>
      <c r="F33" s="81">
        <v>28.315283523703144</v>
      </c>
      <c r="G33" s="81">
        <v>4.6904734025667016</v>
      </c>
      <c r="H33" s="81">
        <v>6.0138145682324202</v>
      </c>
      <c r="I33" s="81">
        <v>3.3527562777718214</v>
      </c>
      <c r="J33" s="81">
        <v>10.145713869859472</v>
      </c>
      <c r="K33" s="81">
        <v>7.175414692718471</v>
      </c>
      <c r="L33" s="81">
        <v>1.4454003664358079</v>
      </c>
      <c r="M33" s="81">
        <v>2.082769516253979</v>
      </c>
      <c r="N33" s="81">
        <v>6.9574183824168756</v>
      </c>
      <c r="O33" s="81">
        <v>0.693089795413801</v>
      </c>
      <c r="P33" s="81">
        <v>1.0480492159693984</v>
      </c>
    </row>
    <row r="34" spans="2:16" s="1" customFormat="1" x14ac:dyDescent="0.3">
      <c r="B34" s="296" t="s">
        <v>199</v>
      </c>
      <c r="C34" s="13" t="s">
        <v>192</v>
      </c>
      <c r="D34" s="80">
        <v>20.390031385738311</v>
      </c>
      <c r="E34" s="80">
        <v>8.1385053694298808</v>
      </c>
      <c r="F34" s="80">
        <v>26.954281526289282</v>
      </c>
      <c r="G34" s="80">
        <v>3.3367019845599768</v>
      </c>
      <c r="H34" s="80">
        <v>6.7709656715214699</v>
      </c>
      <c r="I34" s="80">
        <v>3.0403200254230227</v>
      </c>
      <c r="J34" s="80">
        <v>10.133952541560268</v>
      </c>
      <c r="K34" s="80">
        <v>8.0869309865706249</v>
      </c>
      <c r="L34" s="80">
        <v>1.769170553574053</v>
      </c>
      <c r="M34" s="80">
        <v>3.0046637463955923</v>
      </c>
      <c r="N34" s="80">
        <v>6.4578434646560963</v>
      </c>
      <c r="O34" s="80">
        <v>0.71728762824538406</v>
      </c>
      <c r="P34" s="80">
        <v>1.1993451160355335</v>
      </c>
    </row>
    <row r="35" spans="2:16" s="1" customFormat="1" ht="16.5" customHeight="1" x14ac:dyDescent="0.3">
      <c r="B35" s="292"/>
      <c r="C35" s="9" t="s">
        <v>200</v>
      </c>
      <c r="D35" s="79">
        <v>27.98322642955776</v>
      </c>
      <c r="E35" s="79">
        <v>7.8186432739085392</v>
      </c>
      <c r="F35" s="79">
        <v>26.310615310201946</v>
      </c>
      <c r="G35" s="79">
        <v>2.7852775406894383</v>
      </c>
      <c r="H35" s="79">
        <v>3.3700494417363598</v>
      </c>
      <c r="I35" s="79">
        <v>3.3415759451011162</v>
      </c>
      <c r="J35" s="79">
        <v>8.2455185288865973</v>
      </c>
      <c r="K35" s="79">
        <v>8.4320160734807885</v>
      </c>
      <c r="L35" s="79">
        <v>3.0450713017353017</v>
      </c>
      <c r="M35" s="79">
        <v>2.3648998738415821</v>
      </c>
      <c r="N35" s="79">
        <v>4.0960657855450568</v>
      </c>
      <c r="O35" s="79">
        <v>1.1623046727008046</v>
      </c>
      <c r="P35" s="79">
        <v>1.0447358226146402</v>
      </c>
    </row>
    <row r="36" spans="2:16" s="1" customFormat="1" ht="16.5" customHeight="1" x14ac:dyDescent="0.3">
      <c r="B36" s="292"/>
      <c r="C36" s="9" t="s">
        <v>201</v>
      </c>
      <c r="D36" s="79">
        <v>20.039807545700654</v>
      </c>
      <c r="E36" s="79">
        <v>9.8576901030480393</v>
      </c>
      <c r="F36" s="79">
        <v>26.80563126103878</v>
      </c>
      <c r="G36" s="79">
        <v>2.3633958249906004</v>
      </c>
      <c r="H36" s="79">
        <v>5.2085497588844225</v>
      </c>
      <c r="I36" s="79">
        <v>2.6583554887837928</v>
      </c>
      <c r="J36" s="79">
        <v>11.576940703499645</v>
      </c>
      <c r="K36" s="79">
        <v>10.118361456025159</v>
      </c>
      <c r="L36" s="79">
        <v>2.745687722828309</v>
      </c>
      <c r="M36" s="79">
        <v>2.0844943544981329</v>
      </c>
      <c r="N36" s="79">
        <v>3.9806449295372457</v>
      </c>
      <c r="O36" s="79">
        <v>1.5789242085133988</v>
      </c>
      <c r="P36" s="79">
        <v>0.98151664265199345</v>
      </c>
    </row>
    <row r="37" spans="2:16" s="1" customFormat="1" x14ac:dyDescent="0.3">
      <c r="B37" s="292"/>
      <c r="C37" s="9" t="s">
        <v>202</v>
      </c>
      <c r="D37" s="79">
        <v>27.253490609801702</v>
      </c>
      <c r="E37" s="79">
        <v>7.3245079638310981</v>
      </c>
      <c r="F37" s="79">
        <v>23.461928087354313</v>
      </c>
      <c r="G37" s="79">
        <v>3.5664170165936211</v>
      </c>
      <c r="H37" s="79">
        <v>7.67116003689521</v>
      </c>
      <c r="I37" s="79">
        <v>1.8785239365208577</v>
      </c>
      <c r="J37" s="79">
        <v>9.9350628792992897</v>
      </c>
      <c r="K37" s="79">
        <v>9.9875739965722659</v>
      </c>
      <c r="L37" s="79">
        <v>0.99261622384859083</v>
      </c>
      <c r="M37" s="79">
        <v>2.1136675550735653</v>
      </c>
      <c r="N37" s="79">
        <v>4.1385698014258985</v>
      </c>
      <c r="O37" s="79">
        <v>1.2343377782442841</v>
      </c>
      <c r="P37" s="79">
        <v>0.44214411453934732</v>
      </c>
    </row>
    <row r="38" spans="2:16" s="1" customFormat="1" x14ac:dyDescent="0.3">
      <c r="B38" s="295"/>
      <c r="C38" s="12" t="s">
        <v>203</v>
      </c>
      <c r="D38" s="81">
        <v>22.814313956890363</v>
      </c>
      <c r="E38" s="81">
        <v>7.1188681119488519</v>
      </c>
      <c r="F38" s="81">
        <v>25.200548538169208</v>
      </c>
      <c r="G38" s="81">
        <v>3.2719815738948181</v>
      </c>
      <c r="H38" s="81">
        <v>4.4304663344528281</v>
      </c>
      <c r="I38" s="81">
        <v>3.7032054018160081</v>
      </c>
      <c r="J38" s="81">
        <v>11.857777631148558</v>
      </c>
      <c r="K38" s="81">
        <v>8.9351813591925566</v>
      </c>
      <c r="L38" s="81">
        <v>1.3489515903012088</v>
      </c>
      <c r="M38" s="81">
        <v>2.7208383372784883</v>
      </c>
      <c r="N38" s="81">
        <v>6.4780994337220896</v>
      </c>
      <c r="O38" s="81">
        <v>0.94649449451229339</v>
      </c>
      <c r="P38" s="81">
        <v>1.1732732366729202</v>
      </c>
    </row>
    <row r="39" spans="2:16" s="1" customFormat="1" x14ac:dyDescent="0.3">
      <c r="B39" s="291" t="s">
        <v>204</v>
      </c>
      <c r="C39" s="13" t="s">
        <v>192</v>
      </c>
      <c r="D39" s="80">
        <v>20.390031385738311</v>
      </c>
      <c r="E39" s="80">
        <v>8.1385053694298808</v>
      </c>
      <c r="F39" s="80">
        <v>26.954281526289282</v>
      </c>
      <c r="G39" s="80">
        <v>3.3367019845599768</v>
      </c>
      <c r="H39" s="80">
        <v>6.7709656715214699</v>
      </c>
      <c r="I39" s="80">
        <v>3.0403200254230227</v>
      </c>
      <c r="J39" s="80">
        <v>10.133952541560268</v>
      </c>
      <c r="K39" s="80">
        <v>8.0869309865706249</v>
      </c>
      <c r="L39" s="80">
        <v>1.769170553574053</v>
      </c>
      <c r="M39" s="80">
        <v>3.0046637463955923</v>
      </c>
      <c r="N39" s="80">
        <v>6.4578434646560963</v>
      </c>
      <c r="O39" s="80">
        <v>0.71728762824538406</v>
      </c>
      <c r="P39" s="80">
        <v>1.1993451160355335</v>
      </c>
    </row>
    <row r="40" spans="2:16" s="1" customFormat="1" x14ac:dyDescent="0.3">
      <c r="B40" s="295"/>
      <c r="C40" s="12" t="s">
        <v>193</v>
      </c>
      <c r="D40" s="81">
        <v>23.500183803731666</v>
      </c>
      <c r="E40" s="81">
        <v>7.8265594700436925</v>
      </c>
      <c r="F40" s="81">
        <v>25.318122845004215</v>
      </c>
      <c r="G40" s="81">
        <v>3.0849664432655075</v>
      </c>
      <c r="H40" s="81">
        <v>5.1348913137063974</v>
      </c>
      <c r="I40" s="81">
        <v>3.0890318229032969</v>
      </c>
      <c r="J40" s="81">
        <v>11.112993792013956</v>
      </c>
      <c r="K40" s="81">
        <v>9.3566221130229508</v>
      </c>
      <c r="L40" s="81">
        <v>1.7369829517574253</v>
      </c>
      <c r="M40" s="81">
        <v>2.4320479031333027</v>
      </c>
      <c r="N40" s="81">
        <v>5.2678152773132325</v>
      </c>
      <c r="O40" s="81">
        <v>1.1608495338030591</v>
      </c>
      <c r="P40" s="81">
        <v>0.97893273030168382</v>
      </c>
    </row>
    <row r="41" spans="2:16" s="1" customFormat="1" x14ac:dyDescent="0.3">
      <c r="B41" s="291" t="s">
        <v>209</v>
      </c>
      <c r="C41" s="13" t="s">
        <v>205</v>
      </c>
      <c r="D41" s="80">
        <v>17.63503627840268</v>
      </c>
      <c r="E41" s="80">
        <v>7.0920279237461985</v>
      </c>
      <c r="F41" s="80">
        <v>27.894593087788124</v>
      </c>
      <c r="G41" s="80">
        <v>2.9041207435096061</v>
      </c>
      <c r="H41" s="80">
        <v>6.0079259314729097</v>
      </c>
      <c r="I41" s="80">
        <v>3.2570251541374016</v>
      </c>
      <c r="J41" s="80">
        <v>10.852149266702622</v>
      </c>
      <c r="K41" s="80">
        <v>10.084986130137521</v>
      </c>
      <c r="L41" s="80">
        <v>2.5935280437196577</v>
      </c>
      <c r="M41" s="80">
        <v>4.1942223056103654</v>
      </c>
      <c r="N41" s="80">
        <v>4.036630436652243</v>
      </c>
      <c r="O41" s="80">
        <v>1.2409255275587756</v>
      </c>
      <c r="P41" s="80">
        <v>2.2068291705619658</v>
      </c>
    </row>
    <row r="42" spans="2:16" s="1" customFormat="1" x14ac:dyDescent="0.3">
      <c r="B42" s="292"/>
      <c r="C42" s="9" t="s">
        <v>206</v>
      </c>
      <c r="D42" s="79">
        <v>26.232152478910603</v>
      </c>
      <c r="E42" s="79">
        <v>8.0996931977450703</v>
      </c>
      <c r="F42" s="79">
        <v>21.492890612599229</v>
      </c>
      <c r="G42" s="79">
        <v>2.5761122260334868</v>
      </c>
      <c r="H42" s="79">
        <v>4.9929509256593656</v>
      </c>
      <c r="I42" s="79">
        <v>2.2108813433632784</v>
      </c>
      <c r="J42" s="79">
        <v>11.111882064472564</v>
      </c>
      <c r="K42" s="79">
        <v>8.7370870891603758</v>
      </c>
      <c r="L42" s="79">
        <v>1.5998316347162227</v>
      </c>
      <c r="M42" s="79">
        <v>3.553965060406477</v>
      </c>
      <c r="N42" s="79">
        <v>7.4572924091963504</v>
      </c>
      <c r="O42" s="79">
        <v>0.76924213905157535</v>
      </c>
      <c r="P42" s="79">
        <v>1.166018818685385</v>
      </c>
    </row>
    <row r="43" spans="2:16" s="1" customFormat="1" x14ac:dyDescent="0.3">
      <c r="B43" s="292"/>
      <c r="C43" s="9" t="s">
        <v>207</v>
      </c>
      <c r="D43" s="79">
        <v>23.394284164564763</v>
      </c>
      <c r="E43" s="79">
        <v>8.2930431481076798</v>
      </c>
      <c r="F43" s="79">
        <v>24.042337463504559</v>
      </c>
      <c r="G43" s="79">
        <v>3.6325626572661305</v>
      </c>
      <c r="H43" s="79">
        <v>5.764240425460657</v>
      </c>
      <c r="I43" s="79">
        <v>2.7113668388790755</v>
      </c>
      <c r="J43" s="79">
        <v>11.229266844778337</v>
      </c>
      <c r="K43" s="79">
        <v>9.3833867799697366</v>
      </c>
      <c r="L43" s="79">
        <v>1.2562235377992832</v>
      </c>
      <c r="M43" s="79">
        <v>1.5847241314642542</v>
      </c>
      <c r="N43" s="79">
        <v>6.7593794321138434</v>
      </c>
      <c r="O43" s="79">
        <v>0.94716256582366187</v>
      </c>
      <c r="P43" s="79">
        <v>1.002022010268073</v>
      </c>
    </row>
    <row r="44" spans="2:16" s="1" customFormat="1" x14ac:dyDescent="0.3">
      <c r="B44" s="293"/>
      <c r="C44" s="25" t="s">
        <v>208</v>
      </c>
      <c r="D44" s="82">
        <v>19.294344323599873</v>
      </c>
      <c r="E44" s="82">
        <v>8.0071533330662561</v>
      </c>
      <c r="F44" s="82">
        <v>30.648818483254036</v>
      </c>
      <c r="G44" s="82">
        <v>3.3907922499668626</v>
      </c>
      <c r="H44" s="82">
        <v>6.863080768039592</v>
      </c>
      <c r="I44" s="82">
        <v>3.8996211550320092</v>
      </c>
      <c r="J44" s="82">
        <v>9.5572310180413016</v>
      </c>
      <c r="K44" s="82">
        <v>7.4231212710363286</v>
      </c>
      <c r="L44" s="82">
        <v>1.9721632631838428</v>
      </c>
      <c r="M44" s="82">
        <v>2.6257932868905454</v>
      </c>
      <c r="N44" s="82">
        <v>4.7721958108325753</v>
      </c>
      <c r="O44" s="82">
        <v>0.89196632122968655</v>
      </c>
      <c r="P44" s="82">
        <v>0.65371871582706675</v>
      </c>
    </row>
    <row r="45" spans="2:16" x14ac:dyDescent="0.3">
      <c r="B45" s="133"/>
      <c r="C45" s="9"/>
      <c r="D45" s="140"/>
      <c r="E45" s="140"/>
      <c r="F45" s="51"/>
      <c r="G45" s="140"/>
      <c r="H45" s="51"/>
      <c r="I45" s="140"/>
      <c r="J45" s="140"/>
      <c r="K45" s="51"/>
      <c r="L45" s="140"/>
      <c r="M45" s="51"/>
      <c r="N45" s="140"/>
      <c r="O45" s="140"/>
      <c r="P45" s="140"/>
    </row>
    <row r="47" spans="2:16" x14ac:dyDescent="0.3">
      <c r="B47" s="17" t="s">
        <v>491</v>
      </c>
    </row>
    <row r="48" spans="2:16" x14ac:dyDescent="0.3">
      <c r="N48" s="30"/>
      <c r="P48" s="30" t="s">
        <v>157</v>
      </c>
    </row>
    <row r="49" spans="2:16" ht="31.5" customHeight="1" x14ac:dyDescent="0.3">
      <c r="B49" s="229"/>
      <c r="C49" s="229"/>
      <c r="D49" s="230" t="s">
        <v>138</v>
      </c>
      <c r="E49" s="231" t="s">
        <v>378</v>
      </c>
      <c r="F49" s="231" t="s">
        <v>123</v>
      </c>
      <c r="G49" s="231" t="s">
        <v>139</v>
      </c>
      <c r="H49" s="231" t="s">
        <v>382</v>
      </c>
      <c r="I49" s="231" t="s">
        <v>383</v>
      </c>
      <c r="J49" s="231" t="s">
        <v>140</v>
      </c>
      <c r="K49" s="231" t="s">
        <v>141</v>
      </c>
      <c r="L49" s="231" t="s">
        <v>379</v>
      </c>
      <c r="M49" s="231" t="s">
        <v>384</v>
      </c>
      <c r="N49" s="231" t="s">
        <v>380</v>
      </c>
      <c r="O49" s="231" t="s">
        <v>381</v>
      </c>
      <c r="P49" s="231" t="s">
        <v>12</v>
      </c>
    </row>
    <row r="50" spans="2:16" s="1" customFormat="1" ht="21.75" customHeight="1" x14ac:dyDescent="0.3">
      <c r="B50" s="292" t="s">
        <v>20</v>
      </c>
      <c r="C50" s="292"/>
      <c r="D50" s="86">
        <v>33.761356654342443</v>
      </c>
      <c r="E50" s="86">
        <v>17.406305848015403</v>
      </c>
      <c r="F50" s="88">
        <v>47.980000939110376</v>
      </c>
      <c r="G50" s="86">
        <v>13.088918409112718</v>
      </c>
      <c r="H50" s="88">
        <v>25.018950270740959</v>
      </c>
      <c r="I50" s="86">
        <v>15.362821981798138</v>
      </c>
      <c r="J50" s="86">
        <v>41.299507013388705</v>
      </c>
      <c r="K50" s="86">
        <v>38.152594214076295</v>
      </c>
      <c r="L50" s="88">
        <v>16.854808992515316</v>
      </c>
      <c r="M50" s="86">
        <v>18.133191738151002</v>
      </c>
      <c r="N50" s="86">
        <v>25.82643539815227</v>
      </c>
      <c r="O50" s="86">
        <v>5.456567859945296</v>
      </c>
      <c r="P50" s="86">
        <v>1.6585406806486074</v>
      </c>
    </row>
    <row r="51" spans="2:16" s="1" customFormat="1" x14ac:dyDescent="0.3">
      <c r="B51" s="296" t="s">
        <v>5</v>
      </c>
      <c r="C51" s="13" t="s">
        <v>0</v>
      </c>
      <c r="D51" s="84">
        <v>35.052411976381393</v>
      </c>
      <c r="E51" s="84">
        <v>17.098039972054849</v>
      </c>
      <c r="F51" s="89">
        <v>48.186561855316533</v>
      </c>
      <c r="G51" s="84">
        <v>12.859178539233779</v>
      </c>
      <c r="H51" s="89">
        <v>23.92983334244154</v>
      </c>
      <c r="I51" s="84">
        <v>16.509960278449316</v>
      </c>
      <c r="J51" s="84">
        <v>38.134662045028612</v>
      </c>
      <c r="K51" s="84">
        <v>42.70418963792644</v>
      </c>
      <c r="L51" s="89">
        <v>13.17414454919785</v>
      </c>
      <c r="M51" s="84">
        <v>17.538776954650555</v>
      </c>
      <c r="N51" s="84">
        <v>25.807594090461993</v>
      </c>
      <c r="O51" s="84">
        <v>7.1164921104200616</v>
      </c>
      <c r="P51" s="84">
        <v>1.8881546484365845</v>
      </c>
    </row>
    <row r="52" spans="2:16" s="1" customFormat="1" x14ac:dyDescent="0.3">
      <c r="B52" s="295"/>
      <c r="C52" s="12" t="s">
        <v>1</v>
      </c>
      <c r="D52" s="90">
        <v>32.423629178336121</v>
      </c>
      <c r="E52" s="90">
        <v>17.72571565575074</v>
      </c>
      <c r="F52" s="90">
        <v>47.765972765135317</v>
      </c>
      <c r="G52" s="90">
        <v>13.326963464987019</v>
      </c>
      <c r="H52" s="90">
        <v>26.147439201230615</v>
      </c>
      <c r="I52" s="90">
        <v>14.174214187837766</v>
      </c>
      <c r="J52" s="90">
        <v>44.578762363029021</v>
      </c>
      <c r="K52" s="90">
        <v>33.436456838542142</v>
      </c>
      <c r="L52" s="90">
        <v>20.668530892527563</v>
      </c>
      <c r="M52" s="90">
        <v>18.749094848157014</v>
      </c>
      <c r="N52" s="90">
        <v>25.845957826472461</v>
      </c>
      <c r="O52" s="90">
        <v>3.7366366997196856</v>
      </c>
      <c r="P52" s="90">
        <v>1.4206260782752753</v>
      </c>
    </row>
    <row r="53" spans="2:16" s="1" customFormat="1" x14ac:dyDescent="0.3">
      <c r="B53" s="296" t="s">
        <v>4</v>
      </c>
      <c r="C53" s="9" t="s">
        <v>175</v>
      </c>
      <c r="D53" s="86">
        <v>20.52857728128367</v>
      </c>
      <c r="E53" s="86">
        <v>19.863152387266382</v>
      </c>
      <c r="F53" s="88">
        <v>76.609349555857008</v>
      </c>
      <c r="G53" s="86">
        <v>9.3185646012705661</v>
      </c>
      <c r="H53" s="88">
        <v>19.005781056422556</v>
      </c>
      <c r="I53" s="86">
        <v>18.861632188698863</v>
      </c>
      <c r="J53" s="86">
        <v>32.507821377562109</v>
      </c>
      <c r="K53" s="86">
        <v>17.300908439085745</v>
      </c>
      <c r="L53" s="88">
        <v>28.560344185247168</v>
      </c>
      <c r="M53" s="86">
        <v>19.629086445941553</v>
      </c>
      <c r="N53" s="86">
        <v>31.19947255277738</v>
      </c>
      <c r="O53" s="86">
        <v>4.9457063281709397</v>
      </c>
      <c r="P53" s="86">
        <v>1.6696036004161516</v>
      </c>
    </row>
    <row r="54" spans="2:16" s="1" customFormat="1" x14ac:dyDescent="0.3">
      <c r="B54" s="292"/>
      <c r="C54" s="9" t="s">
        <v>176</v>
      </c>
      <c r="D54" s="86">
        <v>17.337618691298342</v>
      </c>
      <c r="E54" s="86">
        <v>21.8430779980281</v>
      </c>
      <c r="F54" s="88">
        <v>62.788346609627929</v>
      </c>
      <c r="G54" s="86">
        <v>14.347339225972936</v>
      </c>
      <c r="H54" s="88">
        <v>16.984208944512886</v>
      </c>
      <c r="I54" s="86">
        <v>15.498597104701176</v>
      </c>
      <c r="J54" s="86">
        <v>36.465194803202607</v>
      </c>
      <c r="K54" s="86">
        <v>35.085268669607267</v>
      </c>
      <c r="L54" s="88">
        <v>26.990448057070498</v>
      </c>
      <c r="M54" s="86">
        <v>21.610167339245912</v>
      </c>
      <c r="N54" s="86">
        <v>25.959694529244164</v>
      </c>
      <c r="O54" s="86">
        <v>3.7739693639278151</v>
      </c>
      <c r="P54" s="86">
        <v>1.3160686635606842</v>
      </c>
    </row>
    <row r="55" spans="2:16" s="1" customFormat="1" x14ac:dyDescent="0.3">
      <c r="B55" s="292"/>
      <c r="C55" s="9" t="s">
        <v>177</v>
      </c>
      <c r="D55" s="86">
        <v>26.664740394130433</v>
      </c>
      <c r="E55" s="86">
        <v>21.773764173434941</v>
      </c>
      <c r="F55" s="88">
        <v>60.669899660405257</v>
      </c>
      <c r="G55" s="86">
        <v>15.236773887685128</v>
      </c>
      <c r="H55" s="88">
        <v>18.651345511299322</v>
      </c>
      <c r="I55" s="86">
        <v>15.87117187439547</v>
      </c>
      <c r="J55" s="86">
        <v>37.852166651802804</v>
      </c>
      <c r="K55" s="86">
        <v>34.231542708871807</v>
      </c>
      <c r="L55" s="88">
        <v>22.150577622990959</v>
      </c>
      <c r="M55" s="86">
        <v>19.569855567429837</v>
      </c>
      <c r="N55" s="86">
        <v>21.157619191223311</v>
      </c>
      <c r="O55" s="86">
        <v>4.0035514541379165</v>
      </c>
      <c r="P55" s="86">
        <v>2.1669913021936704</v>
      </c>
    </row>
    <row r="56" spans="2:16" s="1" customFormat="1" x14ac:dyDescent="0.3">
      <c r="B56" s="292"/>
      <c r="C56" s="9" t="s">
        <v>178</v>
      </c>
      <c r="D56" s="86">
        <v>34.847595430764159</v>
      </c>
      <c r="E56" s="86">
        <v>16.157637850865562</v>
      </c>
      <c r="F56" s="88">
        <v>45.698906765563031</v>
      </c>
      <c r="G56" s="86">
        <v>13.590126401269536</v>
      </c>
      <c r="H56" s="88">
        <v>26.871613357171587</v>
      </c>
      <c r="I56" s="86">
        <v>15.14040615646265</v>
      </c>
      <c r="J56" s="86">
        <v>43.597010358968049</v>
      </c>
      <c r="K56" s="86">
        <v>40.57459916463916</v>
      </c>
      <c r="L56" s="88">
        <v>18.270719536170375</v>
      </c>
      <c r="M56" s="86">
        <v>18.942365065578958</v>
      </c>
      <c r="N56" s="86">
        <v>20.047269041496321</v>
      </c>
      <c r="O56" s="86">
        <v>4.5497082452444468</v>
      </c>
      <c r="P56" s="86">
        <v>1.7120426258068071</v>
      </c>
    </row>
    <row r="57" spans="2:16" s="1" customFormat="1" x14ac:dyDescent="0.3">
      <c r="B57" s="292"/>
      <c r="C57" s="9" t="s">
        <v>179</v>
      </c>
      <c r="D57" s="86">
        <v>41.052355785674436</v>
      </c>
      <c r="E57" s="86">
        <v>13.83817586516208</v>
      </c>
      <c r="F57" s="88">
        <v>38.505616250743877</v>
      </c>
      <c r="G57" s="86">
        <v>12.652113470479364</v>
      </c>
      <c r="H57" s="88">
        <v>30.519391987522809</v>
      </c>
      <c r="I57" s="86">
        <v>14.220747947377038</v>
      </c>
      <c r="J57" s="86">
        <v>44.093401491943716</v>
      </c>
      <c r="K57" s="86">
        <v>44.926222627372063</v>
      </c>
      <c r="L57" s="88">
        <v>10.603210531014689</v>
      </c>
      <c r="M57" s="86">
        <v>15.957742122748225</v>
      </c>
      <c r="N57" s="86">
        <v>25.792132531523947</v>
      </c>
      <c r="O57" s="86">
        <v>6.0343822585934106</v>
      </c>
      <c r="P57" s="86">
        <v>1.8045071298443491</v>
      </c>
    </row>
    <row r="58" spans="2:16" s="1" customFormat="1" x14ac:dyDescent="0.3">
      <c r="B58" s="298"/>
      <c r="C58" s="12" t="s">
        <v>180</v>
      </c>
      <c r="D58" s="90">
        <v>46.541042811576119</v>
      </c>
      <c r="E58" s="90">
        <v>14.901275952660885</v>
      </c>
      <c r="F58" s="91">
        <v>31.696142078179417</v>
      </c>
      <c r="G58" s="90">
        <v>11.155958011694828</v>
      </c>
      <c r="H58" s="91">
        <v>30.112342429271067</v>
      </c>
      <c r="I58" s="90">
        <v>15.501651205035582</v>
      </c>
      <c r="J58" s="90">
        <v>44.659030003133424</v>
      </c>
      <c r="K58" s="90">
        <v>38.78809102308427</v>
      </c>
      <c r="L58" s="91">
        <v>7.2123824423157652</v>
      </c>
      <c r="M58" s="90">
        <v>15.459063832368045</v>
      </c>
      <c r="N58" s="90">
        <v>34.297768492872379</v>
      </c>
      <c r="O58" s="90">
        <v>8.4028273893173004</v>
      </c>
      <c r="P58" s="90">
        <v>1.2724243284902288</v>
      </c>
    </row>
    <row r="59" spans="2:16" s="1" customFormat="1" x14ac:dyDescent="0.3">
      <c r="B59" s="292" t="s">
        <v>223</v>
      </c>
      <c r="C59" s="9" t="s">
        <v>210</v>
      </c>
      <c r="D59" s="86">
        <v>27.259976780622441</v>
      </c>
      <c r="E59" s="86">
        <v>18.451121037576073</v>
      </c>
      <c r="F59" s="88">
        <v>80.019203469520278</v>
      </c>
      <c r="G59" s="86">
        <v>11.089399159182394</v>
      </c>
      <c r="H59" s="88">
        <v>17.792128399723723</v>
      </c>
      <c r="I59" s="86">
        <v>26.337667079821603</v>
      </c>
      <c r="J59" s="86">
        <v>30.340185257412355</v>
      </c>
      <c r="K59" s="86">
        <v>16.963815827513599</v>
      </c>
      <c r="L59" s="88">
        <v>17.906534471103861</v>
      </c>
      <c r="M59" s="86">
        <v>12.149378112460143</v>
      </c>
      <c r="N59" s="86">
        <v>33.882394868889016</v>
      </c>
      <c r="O59" s="86">
        <v>6.6515719686815249</v>
      </c>
      <c r="P59" s="86">
        <v>1.1566235674930117</v>
      </c>
    </row>
    <row r="60" spans="2:16" s="1" customFormat="1" x14ac:dyDescent="0.3">
      <c r="B60" s="292"/>
      <c r="C60" s="9" t="s">
        <v>211</v>
      </c>
      <c r="D60" s="86">
        <v>17.401525593318318</v>
      </c>
      <c r="E60" s="86">
        <v>23.443342283843162</v>
      </c>
      <c r="F60" s="88">
        <v>57.490594183491837</v>
      </c>
      <c r="G60" s="86">
        <v>14.086948359959733</v>
      </c>
      <c r="H60" s="88">
        <v>17.342543896889925</v>
      </c>
      <c r="I60" s="86">
        <v>15.338626111552244</v>
      </c>
      <c r="J60" s="86">
        <v>32.718407117532578</v>
      </c>
      <c r="K60" s="86">
        <v>38.912252973528538</v>
      </c>
      <c r="L60" s="88">
        <v>20.075109367189448</v>
      </c>
      <c r="M60" s="86">
        <v>23.697282582145018</v>
      </c>
      <c r="N60" s="86">
        <v>30.04512950297088</v>
      </c>
      <c r="O60" s="86">
        <v>6.9245921850048129</v>
      </c>
      <c r="P60" s="86">
        <v>2.5236458425734036</v>
      </c>
    </row>
    <row r="61" spans="2:16" s="1" customFormat="1" x14ac:dyDescent="0.3">
      <c r="B61" s="292"/>
      <c r="C61" s="9" t="s">
        <v>212</v>
      </c>
      <c r="D61" s="86">
        <v>27.755479299872164</v>
      </c>
      <c r="E61" s="86">
        <v>21.377141278175852</v>
      </c>
      <c r="F61" s="88">
        <v>58.424614604771776</v>
      </c>
      <c r="G61" s="86">
        <v>16.888719337578735</v>
      </c>
      <c r="H61" s="88">
        <v>18.785525180451479</v>
      </c>
      <c r="I61" s="86">
        <v>18.269883500499258</v>
      </c>
      <c r="J61" s="86">
        <v>35.155567531453237</v>
      </c>
      <c r="K61" s="86">
        <v>36.136021193598751</v>
      </c>
      <c r="L61" s="88">
        <v>17.327206843076954</v>
      </c>
      <c r="M61" s="86">
        <v>21.0586817393703</v>
      </c>
      <c r="N61" s="86">
        <v>20.397348336234923</v>
      </c>
      <c r="O61" s="86">
        <v>5.3010741939190629</v>
      </c>
      <c r="P61" s="86">
        <v>3.1227369609973801</v>
      </c>
    </row>
    <row r="62" spans="2:16" s="1" customFormat="1" x14ac:dyDescent="0.3">
      <c r="B62" s="292"/>
      <c r="C62" s="9" t="s">
        <v>213</v>
      </c>
      <c r="D62" s="86">
        <v>38.544488774020557</v>
      </c>
      <c r="E62" s="86">
        <v>15.197960166457166</v>
      </c>
      <c r="F62" s="88">
        <v>46.281821275097073</v>
      </c>
      <c r="G62" s="86">
        <v>13.019197797462773</v>
      </c>
      <c r="H62" s="88">
        <v>26.628922041308233</v>
      </c>
      <c r="I62" s="86">
        <v>16.96500220444371</v>
      </c>
      <c r="J62" s="86">
        <v>42.542500784437387</v>
      </c>
      <c r="K62" s="86">
        <v>44.904587755276765</v>
      </c>
      <c r="L62" s="88">
        <v>14.848945443819893</v>
      </c>
      <c r="M62" s="86">
        <v>16.834137372146017</v>
      </c>
      <c r="N62" s="86">
        <v>17.238783758222446</v>
      </c>
      <c r="O62" s="86">
        <v>5.4653308255604802</v>
      </c>
      <c r="P62" s="86">
        <v>1.528321801747851</v>
      </c>
    </row>
    <row r="63" spans="2:16" s="1" customFormat="1" x14ac:dyDescent="0.3">
      <c r="B63" s="292"/>
      <c r="C63" s="9" t="s">
        <v>214</v>
      </c>
      <c r="D63" s="86">
        <v>44.42335411858538</v>
      </c>
      <c r="E63" s="86">
        <v>12.889414918009914</v>
      </c>
      <c r="F63" s="88">
        <v>41.23705571329743</v>
      </c>
      <c r="G63" s="86">
        <v>11.572624850777107</v>
      </c>
      <c r="H63" s="88">
        <v>28.169180064843818</v>
      </c>
      <c r="I63" s="86">
        <v>15.408263304021277</v>
      </c>
      <c r="J63" s="86">
        <v>39.159735259317472</v>
      </c>
      <c r="K63" s="86">
        <v>49.210611035863458</v>
      </c>
      <c r="L63" s="88">
        <v>8.5807218903206817</v>
      </c>
      <c r="M63" s="86">
        <v>15.442043372075112</v>
      </c>
      <c r="N63" s="86">
        <v>24.802241474667824</v>
      </c>
      <c r="O63" s="86">
        <v>7.2396088207680256</v>
      </c>
      <c r="P63" s="86">
        <v>1.8651451774525107</v>
      </c>
    </row>
    <row r="64" spans="2:16" s="1" customFormat="1" x14ac:dyDescent="0.3">
      <c r="B64" s="292"/>
      <c r="C64" s="12" t="s">
        <v>215</v>
      </c>
      <c r="D64" s="90">
        <v>43.783584101057386</v>
      </c>
      <c r="E64" s="90">
        <v>14.470703974908439</v>
      </c>
      <c r="F64" s="91">
        <v>33.280359313045196</v>
      </c>
      <c r="G64" s="90">
        <v>9.9647144207703438</v>
      </c>
      <c r="H64" s="91">
        <v>27.865693869402939</v>
      </c>
      <c r="I64" s="90">
        <v>14.240185725828727</v>
      </c>
      <c r="J64" s="90">
        <v>41.491950625501637</v>
      </c>
      <c r="K64" s="90">
        <v>48.395397308863465</v>
      </c>
      <c r="L64" s="91">
        <v>6.0699405002428106</v>
      </c>
      <c r="M64" s="90">
        <v>13.746541357071337</v>
      </c>
      <c r="N64" s="90">
        <v>35.250077222751095</v>
      </c>
      <c r="O64" s="90">
        <v>10.610760310457326</v>
      </c>
      <c r="P64" s="90">
        <v>0.83009127009946471</v>
      </c>
    </row>
    <row r="65" spans="2:16" s="1" customFormat="1" x14ac:dyDescent="0.3">
      <c r="B65" s="292"/>
      <c r="C65" s="9" t="s">
        <v>216</v>
      </c>
      <c r="D65" s="86">
        <v>13.371468330442632</v>
      </c>
      <c r="E65" s="86">
        <v>21.364483902760206</v>
      </c>
      <c r="F65" s="88">
        <v>72.983848503819189</v>
      </c>
      <c r="G65" s="86">
        <v>7.4357383232975556</v>
      </c>
      <c r="H65" s="88">
        <v>20.296187946301014</v>
      </c>
      <c r="I65" s="86">
        <v>10.912795361927454</v>
      </c>
      <c r="J65" s="86">
        <v>34.812543876830546</v>
      </c>
      <c r="K65" s="86">
        <v>17.659319575994562</v>
      </c>
      <c r="L65" s="88">
        <v>39.887925748805017</v>
      </c>
      <c r="M65" s="86">
        <v>27.581829032159856</v>
      </c>
      <c r="N65" s="86">
        <v>28.346875953074768</v>
      </c>
      <c r="O65" s="86">
        <v>3.1319577539212884</v>
      </c>
      <c r="P65" s="86">
        <v>2.2150256906661192</v>
      </c>
    </row>
    <row r="66" spans="2:16" s="1" customFormat="1" x14ac:dyDescent="0.3">
      <c r="B66" s="292"/>
      <c r="C66" s="9" t="s">
        <v>217</v>
      </c>
      <c r="D66" s="86">
        <v>17.267970247624927</v>
      </c>
      <c r="E66" s="86">
        <v>20.099042323473149</v>
      </c>
      <c r="F66" s="88">
        <v>68.562061181677493</v>
      </c>
      <c r="G66" s="86">
        <v>14.631124200542883</v>
      </c>
      <c r="H66" s="88">
        <v>16.593680363749609</v>
      </c>
      <c r="I66" s="86">
        <v>15.672940256278512</v>
      </c>
      <c r="J66" s="86">
        <v>40.548602429501528</v>
      </c>
      <c r="K66" s="86">
        <v>30.914459378190074</v>
      </c>
      <c r="L66" s="88">
        <v>34.527076527560332</v>
      </c>
      <c r="M66" s="86">
        <v>19.335540908606383</v>
      </c>
      <c r="N66" s="86">
        <v>21.507214771111791</v>
      </c>
      <c r="O66" s="86">
        <v>0.34028741168306692</v>
      </c>
      <c r="P66" s="86">
        <v>0</v>
      </c>
    </row>
    <row r="67" spans="2:16" s="1" customFormat="1" x14ac:dyDescent="0.3">
      <c r="B67" s="292"/>
      <c r="C67" s="9" t="s">
        <v>218</v>
      </c>
      <c r="D67" s="86">
        <v>25.477681418646842</v>
      </c>
      <c r="E67" s="86">
        <v>22.205411715501093</v>
      </c>
      <c r="F67" s="88">
        <v>63.113459492898315</v>
      </c>
      <c r="G67" s="86">
        <v>13.438949804412154</v>
      </c>
      <c r="H67" s="88">
        <v>18.505316814829325</v>
      </c>
      <c r="I67" s="86">
        <v>13.260636804660608</v>
      </c>
      <c r="J67" s="86">
        <v>40.786894818406992</v>
      </c>
      <c r="K67" s="86">
        <v>32.158885112255639</v>
      </c>
      <c r="L67" s="88">
        <v>27.399886642996623</v>
      </c>
      <c r="M67" s="86">
        <v>17.949555364481775</v>
      </c>
      <c r="N67" s="86">
        <v>21.985027416474601</v>
      </c>
      <c r="O67" s="86">
        <v>2.591448148715195</v>
      </c>
      <c r="P67" s="86">
        <v>1.1268464457206595</v>
      </c>
    </row>
    <row r="68" spans="2:16" s="1" customFormat="1" x14ac:dyDescent="0.3">
      <c r="B68" s="292"/>
      <c r="C68" s="9" t="s">
        <v>219</v>
      </c>
      <c r="D68" s="86">
        <v>31.023933221261636</v>
      </c>
      <c r="E68" s="86">
        <v>17.150223504403154</v>
      </c>
      <c r="F68" s="88">
        <v>45.096003740096293</v>
      </c>
      <c r="G68" s="86">
        <v>14.180632516541083</v>
      </c>
      <c r="H68" s="88">
        <v>27.12262671538317</v>
      </c>
      <c r="I68" s="86">
        <v>13.253243528685157</v>
      </c>
      <c r="J68" s="86">
        <v>44.687679749537608</v>
      </c>
      <c r="K68" s="86">
        <v>36.096132461833307</v>
      </c>
      <c r="L68" s="88">
        <v>21.809828477530804</v>
      </c>
      <c r="M68" s="86">
        <v>21.122885251564341</v>
      </c>
      <c r="N68" s="86">
        <v>22.952059103450978</v>
      </c>
      <c r="O68" s="86">
        <v>3.6026883738413713</v>
      </c>
      <c r="P68" s="86">
        <v>1.9020633558704036</v>
      </c>
    </row>
    <row r="69" spans="2:16" s="1" customFormat="1" x14ac:dyDescent="0.3">
      <c r="B69" s="292"/>
      <c r="C69" s="9" t="s">
        <v>220</v>
      </c>
      <c r="D69" s="86">
        <v>37.620583313869901</v>
      </c>
      <c r="E69" s="86">
        <v>14.804041575913898</v>
      </c>
      <c r="F69" s="88">
        <v>35.724932954499963</v>
      </c>
      <c r="G69" s="86">
        <v>13.751063681327372</v>
      </c>
      <c r="H69" s="88">
        <v>32.911974772395531</v>
      </c>
      <c r="I69" s="86">
        <v>13.011823436501391</v>
      </c>
      <c r="J69" s="86">
        <v>49.116014465940573</v>
      </c>
      <c r="K69" s="86">
        <v>40.564593001147138</v>
      </c>
      <c r="L69" s="88">
        <v>12.662161665433683</v>
      </c>
      <c r="M69" s="86">
        <v>16.482738162949719</v>
      </c>
      <c r="N69" s="86">
        <v>26.799869867327118</v>
      </c>
      <c r="O69" s="86">
        <v>4.80742723521697</v>
      </c>
      <c r="P69" s="86">
        <v>1.7427758674779363</v>
      </c>
    </row>
    <row r="70" spans="2:16" s="1" customFormat="1" x14ac:dyDescent="0.3">
      <c r="B70" s="295"/>
      <c r="C70" s="9" t="s">
        <v>221</v>
      </c>
      <c r="D70" s="90">
        <v>49.215944064481832</v>
      </c>
      <c r="E70" s="90">
        <v>15.318956739090325</v>
      </c>
      <c r="F70" s="91">
        <v>30.159355815432885</v>
      </c>
      <c r="G70" s="90">
        <v>12.311536139383314</v>
      </c>
      <c r="H70" s="91">
        <v>32.291727028832014</v>
      </c>
      <c r="I70" s="90">
        <v>16.725348799474897</v>
      </c>
      <c r="J70" s="90">
        <v>47.73128800756438</v>
      </c>
      <c r="K70" s="90">
        <v>29.468424504472818</v>
      </c>
      <c r="L70" s="91">
        <v>8.3206200273665942</v>
      </c>
      <c r="M70" s="90">
        <v>17.120313916485614</v>
      </c>
      <c r="N70" s="90">
        <v>33.3739715906786</v>
      </c>
      <c r="O70" s="90">
        <v>6.2609992942822297</v>
      </c>
      <c r="P70" s="90">
        <v>1.7015140724553661</v>
      </c>
    </row>
    <row r="71" spans="2:16" s="1" customFormat="1" ht="16.5" customHeight="1" x14ac:dyDescent="0.3">
      <c r="B71" s="291" t="s">
        <v>222</v>
      </c>
      <c r="C71" s="13" t="s">
        <v>226</v>
      </c>
      <c r="D71" s="80">
        <v>37.214323877903496</v>
      </c>
      <c r="E71" s="80">
        <v>15.892478661128584</v>
      </c>
      <c r="F71" s="80">
        <v>47.833347375636343</v>
      </c>
      <c r="G71" s="80">
        <v>12.267353788220367</v>
      </c>
      <c r="H71" s="80">
        <v>23.857085579793011</v>
      </c>
      <c r="I71" s="80">
        <v>15.261351196742226</v>
      </c>
      <c r="J71" s="80">
        <v>39.461636151105658</v>
      </c>
      <c r="K71" s="80">
        <v>38.644583412646639</v>
      </c>
      <c r="L71" s="80">
        <v>16.403407682067513</v>
      </c>
      <c r="M71" s="80">
        <v>18.537308536480118</v>
      </c>
      <c r="N71" s="80">
        <v>26.687449357368781</v>
      </c>
      <c r="O71" s="80">
        <v>5.5173876930263761</v>
      </c>
      <c r="P71" s="80">
        <v>2.4222866878808298</v>
      </c>
    </row>
    <row r="72" spans="2:16" s="1" customFormat="1" x14ac:dyDescent="0.3">
      <c r="B72" s="294"/>
      <c r="C72" s="9" t="s">
        <v>227</v>
      </c>
      <c r="D72" s="79">
        <v>33.827140242844237</v>
      </c>
      <c r="E72" s="79">
        <v>17.86111577650545</v>
      </c>
      <c r="F72" s="79">
        <v>48.092129442103392</v>
      </c>
      <c r="G72" s="79">
        <v>13.580505563670586</v>
      </c>
      <c r="H72" s="79">
        <v>23.672834133526717</v>
      </c>
      <c r="I72" s="79">
        <v>13.936191236407524</v>
      </c>
      <c r="J72" s="79">
        <v>40.055125240336935</v>
      </c>
      <c r="K72" s="79">
        <v>39.944209092446748</v>
      </c>
      <c r="L72" s="79">
        <v>17.262784575258763</v>
      </c>
      <c r="M72" s="79">
        <v>18.161526365948433</v>
      </c>
      <c r="N72" s="79">
        <v>27.061631381119067</v>
      </c>
      <c r="O72" s="79">
        <v>4.8570604166213869</v>
      </c>
      <c r="P72" s="79">
        <v>1.6877465332107155</v>
      </c>
    </row>
    <row r="73" spans="2:16" s="1" customFormat="1" x14ac:dyDescent="0.3">
      <c r="B73" s="292"/>
      <c r="C73" s="9" t="s">
        <v>228</v>
      </c>
      <c r="D73" s="79">
        <v>35.689178122053171</v>
      </c>
      <c r="E73" s="79">
        <v>17.420266355810618</v>
      </c>
      <c r="F73" s="79">
        <v>48.068229588376553</v>
      </c>
      <c r="G73" s="79">
        <v>13.377817486510471</v>
      </c>
      <c r="H73" s="79">
        <v>27.272266770109297</v>
      </c>
      <c r="I73" s="79">
        <v>15.604130601509954</v>
      </c>
      <c r="J73" s="79">
        <v>44.514026057938587</v>
      </c>
      <c r="K73" s="79">
        <v>37.076117694947044</v>
      </c>
      <c r="L73" s="79">
        <v>14.377707731183618</v>
      </c>
      <c r="M73" s="79">
        <v>18.165970375891739</v>
      </c>
      <c r="N73" s="79">
        <v>22.330838734113286</v>
      </c>
      <c r="O73" s="79">
        <v>5.2925634945002642</v>
      </c>
      <c r="P73" s="79">
        <v>0.81088698705557694</v>
      </c>
    </row>
    <row r="74" spans="2:16" s="1" customFormat="1" x14ac:dyDescent="0.3">
      <c r="B74" s="295"/>
      <c r="C74" s="12" t="s">
        <v>229</v>
      </c>
      <c r="D74" s="81">
        <v>28.047689536569486</v>
      </c>
      <c r="E74" s="81">
        <v>18.515805776673027</v>
      </c>
      <c r="F74" s="81">
        <v>47.921683914679711</v>
      </c>
      <c r="G74" s="81">
        <v>13.122788380230114</v>
      </c>
      <c r="H74" s="81">
        <v>26.039502020725553</v>
      </c>
      <c r="I74" s="81">
        <v>17.09893733622097</v>
      </c>
      <c r="J74" s="81">
        <v>42.087844520989044</v>
      </c>
      <c r="K74" s="81">
        <v>36.25609402083608</v>
      </c>
      <c r="L74" s="81">
        <v>19.064733122733461</v>
      </c>
      <c r="M74" s="81">
        <v>17.611222443093862</v>
      </c>
      <c r="N74" s="81">
        <v>26.404816681240341</v>
      </c>
      <c r="O74" s="81">
        <v>6.3079269171093379</v>
      </c>
      <c r="P74" s="81">
        <v>1.5209553288994533</v>
      </c>
    </row>
    <row r="75" spans="2:16" s="1" customFormat="1" x14ac:dyDescent="0.3">
      <c r="B75" s="296" t="s">
        <v>199</v>
      </c>
      <c r="C75" s="13" t="s">
        <v>192</v>
      </c>
      <c r="D75" s="80">
        <v>32.353243740904219</v>
      </c>
      <c r="E75" s="80">
        <v>18.288323330730304</v>
      </c>
      <c r="F75" s="80">
        <v>48.079309787443904</v>
      </c>
      <c r="G75" s="80">
        <v>13.791080157075564</v>
      </c>
      <c r="H75" s="80">
        <v>25.365183217669141</v>
      </c>
      <c r="I75" s="80">
        <v>16.301084663744696</v>
      </c>
      <c r="J75" s="80">
        <v>41.389548142540008</v>
      </c>
      <c r="K75" s="80">
        <v>35.927980945496046</v>
      </c>
      <c r="L75" s="80">
        <v>17.37641269215748</v>
      </c>
      <c r="M75" s="80">
        <v>19.476616556521158</v>
      </c>
      <c r="N75" s="80">
        <v>25.295165979134133</v>
      </c>
      <c r="O75" s="80">
        <v>4.6447230538647357</v>
      </c>
      <c r="P75" s="80">
        <v>1.7113277327167422</v>
      </c>
    </row>
    <row r="76" spans="2:16" s="1" customFormat="1" ht="16.5" customHeight="1" x14ac:dyDescent="0.3">
      <c r="B76" s="292"/>
      <c r="C76" s="9" t="s">
        <v>200</v>
      </c>
      <c r="D76" s="79">
        <v>40.16729046287734</v>
      </c>
      <c r="E76" s="79">
        <v>17.064140964099391</v>
      </c>
      <c r="F76" s="79">
        <v>53.912351221786324</v>
      </c>
      <c r="G76" s="79">
        <v>10.470115708598014</v>
      </c>
      <c r="H76" s="79">
        <v>23.376172674932437</v>
      </c>
      <c r="I76" s="79">
        <v>9.2530439003395895</v>
      </c>
      <c r="J76" s="79">
        <v>37.223473754526573</v>
      </c>
      <c r="K76" s="79">
        <v>40.176516137172278</v>
      </c>
      <c r="L76" s="79">
        <v>17.731823363664873</v>
      </c>
      <c r="M76" s="79">
        <v>14.465100471348439</v>
      </c>
      <c r="N76" s="79">
        <v>24.834093912702262</v>
      </c>
      <c r="O76" s="79">
        <v>8.4330642050727</v>
      </c>
      <c r="P76" s="79">
        <v>2.8928132228795431</v>
      </c>
    </row>
    <row r="77" spans="2:16" s="1" customFormat="1" ht="16.5" customHeight="1" x14ac:dyDescent="0.3">
      <c r="B77" s="292"/>
      <c r="C77" s="9" t="s">
        <v>201</v>
      </c>
      <c r="D77" s="79">
        <v>32.705428818476946</v>
      </c>
      <c r="E77" s="79">
        <v>18.234408429713234</v>
      </c>
      <c r="F77" s="79">
        <v>47.201734604280183</v>
      </c>
      <c r="G77" s="79">
        <v>11.048018375541572</v>
      </c>
      <c r="H77" s="79">
        <v>25.488386441414928</v>
      </c>
      <c r="I77" s="79">
        <v>14.268594830494266</v>
      </c>
      <c r="J77" s="79">
        <v>47.512200629900988</v>
      </c>
      <c r="K77" s="79">
        <v>42.207447076875951</v>
      </c>
      <c r="L77" s="79">
        <v>15.977201727978722</v>
      </c>
      <c r="M77" s="79">
        <v>14.634857629311531</v>
      </c>
      <c r="N77" s="79">
        <v>23.314850296764231</v>
      </c>
      <c r="O77" s="79">
        <v>6.1377118474136623</v>
      </c>
      <c r="P77" s="79">
        <v>1.2691592918343388</v>
      </c>
    </row>
    <row r="78" spans="2:16" s="1" customFormat="1" x14ac:dyDescent="0.3">
      <c r="B78" s="292"/>
      <c r="C78" s="9" t="s">
        <v>202</v>
      </c>
      <c r="D78" s="79">
        <v>40.896064154213093</v>
      </c>
      <c r="E78" s="79">
        <v>15.654166552941239</v>
      </c>
      <c r="F78" s="79">
        <v>49.307393048171562</v>
      </c>
      <c r="G78" s="79">
        <v>12.24367809052905</v>
      </c>
      <c r="H78" s="79">
        <v>24.675986899769118</v>
      </c>
      <c r="I78" s="79">
        <v>14.734042299988889</v>
      </c>
      <c r="J78" s="79">
        <v>41.948485707822883</v>
      </c>
      <c r="K78" s="79">
        <v>40.667407262996782</v>
      </c>
      <c r="L78" s="79">
        <v>15.139330877266769</v>
      </c>
      <c r="M78" s="79">
        <v>13.254832104263926</v>
      </c>
      <c r="N78" s="79">
        <v>24.695823284673757</v>
      </c>
      <c r="O78" s="79">
        <v>5.8659185154840543</v>
      </c>
      <c r="P78" s="79">
        <v>0.9168712018789269</v>
      </c>
    </row>
    <row r="79" spans="2:16" s="1" customFormat="1" x14ac:dyDescent="0.3">
      <c r="B79" s="295"/>
      <c r="C79" s="12" t="s">
        <v>203</v>
      </c>
      <c r="D79" s="81">
        <v>33.418903500931258</v>
      </c>
      <c r="E79" s="81">
        <v>15.863480290504373</v>
      </c>
      <c r="F79" s="81">
        <v>46.57114149258598</v>
      </c>
      <c r="G79" s="81">
        <v>13.255353129871702</v>
      </c>
      <c r="H79" s="81">
        <v>24.477679832233335</v>
      </c>
      <c r="I79" s="81">
        <v>15.119021313018404</v>
      </c>
      <c r="J79" s="81">
        <v>38.800116584108011</v>
      </c>
      <c r="K79" s="81">
        <v>39.84674909716567</v>
      </c>
      <c r="L79" s="81">
        <v>16.624780432305027</v>
      </c>
      <c r="M79" s="81">
        <v>19.295318889464159</v>
      </c>
      <c r="N79" s="81">
        <v>28.700379025802921</v>
      </c>
      <c r="O79" s="81">
        <v>6.2378287172806992</v>
      </c>
      <c r="P79" s="81">
        <v>1.7892476947290032</v>
      </c>
    </row>
    <row r="80" spans="2:16" s="1" customFormat="1" x14ac:dyDescent="0.3">
      <c r="B80" s="291" t="s">
        <v>204</v>
      </c>
      <c r="C80" s="13" t="s">
        <v>192</v>
      </c>
      <c r="D80" s="80">
        <v>32.353243740904219</v>
      </c>
      <c r="E80" s="80">
        <v>18.288323330730304</v>
      </c>
      <c r="F80" s="80">
        <v>48.079309787443904</v>
      </c>
      <c r="G80" s="80">
        <v>13.791080157075564</v>
      </c>
      <c r="H80" s="80">
        <v>25.365183217669141</v>
      </c>
      <c r="I80" s="80">
        <v>16.301084663744696</v>
      </c>
      <c r="J80" s="80">
        <v>41.389548142540008</v>
      </c>
      <c r="K80" s="80">
        <v>35.927980945496046</v>
      </c>
      <c r="L80" s="80">
        <v>17.37641269215748</v>
      </c>
      <c r="M80" s="80">
        <v>19.476616556521158</v>
      </c>
      <c r="N80" s="80">
        <v>25.295165979134133</v>
      </c>
      <c r="O80" s="80">
        <v>4.6447230538647357</v>
      </c>
      <c r="P80" s="80">
        <v>1.7113277327167422</v>
      </c>
    </row>
    <row r="81" spans="2:16" s="1" customFormat="1" x14ac:dyDescent="0.3">
      <c r="B81" s="295"/>
      <c r="C81" s="12" t="s">
        <v>193</v>
      </c>
      <c r="D81" s="81">
        <v>35.283199546858818</v>
      </c>
      <c r="E81" s="81">
        <v>16.453049880873778</v>
      </c>
      <c r="F81" s="81">
        <v>47.872671147900611</v>
      </c>
      <c r="G81" s="81">
        <v>12.330044702795766</v>
      </c>
      <c r="H81" s="81">
        <v>24.644752900339359</v>
      </c>
      <c r="I81" s="81">
        <v>14.348778022534574</v>
      </c>
      <c r="J81" s="81">
        <v>41.20219347331345</v>
      </c>
      <c r="K81" s="81">
        <v>40.556884281354982</v>
      </c>
      <c r="L81" s="81">
        <v>16.291076584812377</v>
      </c>
      <c r="M81" s="81">
        <v>16.681261646498207</v>
      </c>
      <c r="N81" s="81">
        <v>26.400614202727233</v>
      </c>
      <c r="O81" s="81">
        <v>6.3339834678620655</v>
      </c>
      <c r="P81" s="81">
        <v>1.6014901421299479</v>
      </c>
    </row>
    <row r="82" spans="2:16" s="1" customFormat="1" x14ac:dyDescent="0.3">
      <c r="B82" s="291" t="s">
        <v>209</v>
      </c>
      <c r="C82" s="13" t="s">
        <v>205</v>
      </c>
      <c r="D82" s="80">
        <v>31.010883872575107</v>
      </c>
      <c r="E82" s="80">
        <v>17.919359113491819</v>
      </c>
      <c r="F82" s="80">
        <v>51.015398096561611</v>
      </c>
      <c r="G82" s="80">
        <v>12.890979141455466</v>
      </c>
      <c r="H82" s="80">
        <v>25.247544172762893</v>
      </c>
      <c r="I82" s="80">
        <v>13.177615226283928</v>
      </c>
      <c r="J82" s="80">
        <v>39.029185777920787</v>
      </c>
      <c r="K82" s="80">
        <v>42.537060011934308</v>
      </c>
      <c r="L82" s="80">
        <v>19.002084702707549</v>
      </c>
      <c r="M82" s="80">
        <v>20.244953476295269</v>
      </c>
      <c r="N82" s="80">
        <v>22.095686549855284</v>
      </c>
      <c r="O82" s="80">
        <v>3.622420687594226</v>
      </c>
      <c r="P82" s="80">
        <v>2.2068291705619658</v>
      </c>
    </row>
    <row r="83" spans="2:16" s="1" customFormat="1" x14ac:dyDescent="0.3">
      <c r="B83" s="292"/>
      <c r="C83" s="9" t="s">
        <v>206</v>
      </c>
      <c r="D83" s="79">
        <v>39.345158403624339</v>
      </c>
      <c r="E83" s="79">
        <v>16.427545267081296</v>
      </c>
      <c r="F83" s="79">
        <v>41.18268959433999</v>
      </c>
      <c r="G83" s="79">
        <v>11.540851613720861</v>
      </c>
      <c r="H83" s="79">
        <v>23.67795353437625</v>
      </c>
      <c r="I83" s="79">
        <v>13.428625997335173</v>
      </c>
      <c r="J83" s="79">
        <v>44.588698570657037</v>
      </c>
      <c r="K83" s="79">
        <v>36.712429641851941</v>
      </c>
      <c r="L83" s="79">
        <v>14.134492538479629</v>
      </c>
      <c r="M83" s="79">
        <v>19.682532450807944</v>
      </c>
      <c r="N83" s="79">
        <v>29.88439121697229</v>
      </c>
      <c r="O83" s="79">
        <v>7.1129675972433111</v>
      </c>
      <c r="P83" s="79">
        <v>2.2816635735096682</v>
      </c>
    </row>
    <row r="84" spans="2:16" s="1" customFormat="1" x14ac:dyDescent="0.3">
      <c r="B84" s="292"/>
      <c r="C84" s="9" t="s">
        <v>207</v>
      </c>
      <c r="D84" s="79">
        <v>35.730570233727292</v>
      </c>
      <c r="E84" s="79">
        <v>17.430144323355783</v>
      </c>
      <c r="F84" s="79">
        <v>46.715555945487139</v>
      </c>
      <c r="G84" s="79">
        <v>12.651459918749955</v>
      </c>
      <c r="H84" s="79">
        <v>25.243460884409284</v>
      </c>
      <c r="I84" s="79">
        <v>16.326968297142855</v>
      </c>
      <c r="J84" s="79">
        <v>42.049584140797755</v>
      </c>
      <c r="K84" s="79">
        <v>38.607393356622076</v>
      </c>
      <c r="L84" s="79">
        <v>14.503918031277163</v>
      </c>
      <c r="M84" s="79">
        <v>17.378410757564687</v>
      </c>
      <c r="N84" s="79">
        <v>26.423362844077257</v>
      </c>
      <c r="O84" s="79">
        <v>5.3359433219424535</v>
      </c>
      <c r="P84" s="79">
        <v>1.6032279448463365</v>
      </c>
    </row>
    <row r="85" spans="2:16" s="1" customFormat="1" x14ac:dyDescent="0.3">
      <c r="B85" s="293"/>
      <c r="C85" s="25" t="s">
        <v>208</v>
      </c>
      <c r="D85" s="82">
        <v>29.245632672094835</v>
      </c>
      <c r="E85" s="82">
        <v>17.833866237766461</v>
      </c>
      <c r="F85" s="82">
        <v>52.534479897443646</v>
      </c>
      <c r="G85" s="82">
        <v>14.649124368216837</v>
      </c>
      <c r="H85" s="82">
        <v>25.625561176381584</v>
      </c>
      <c r="I85" s="82">
        <v>16.706300115142039</v>
      </c>
      <c r="J85" s="82">
        <v>39.307523760359601</v>
      </c>
      <c r="K85" s="82">
        <v>36.828265093167687</v>
      </c>
      <c r="L85" s="82">
        <v>20.031608515687616</v>
      </c>
      <c r="M85" s="82">
        <v>16.885607818312526</v>
      </c>
      <c r="N85" s="82">
        <v>24.07929397903283</v>
      </c>
      <c r="O85" s="82">
        <v>5.2229766490062621</v>
      </c>
      <c r="P85" s="82">
        <v>1.0497597173878728</v>
      </c>
    </row>
    <row r="86" spans="2:16" x14ac:dyDescent="0.3">
      <c r="B86" s="133"/>
      <c r="C86" s="9"/>
      <c r="D86" s="140"/>
      <c r="E86" s="140"/>
      <c r="F86" s="51"/>
      <c r="G86" s="140"/>
      <c r="H86" s="51"/>
      <c r="I86" s="140"/>
      <c r="J86" s="140"/>
      <c r="K86" s="51"/>
      <c r="L86" s="140"/>
      <c r="M86" s="51"/>
      <c r="N86" s="140"/>
      <c r="O86" s="140"/>
      <c r="P86" s="140"/>
    </row>
    <row r="88" spans="2:16" x14ac:dyDescent="0.3">
      <c r="B88" s="17" t="s">
        <v>493</v>
      </c>
    </row>
    <row r="89" spans="2:16" x14ac:dyDescent="0.3">
      <c r="N89" s="30"/>
      <c r="P89" s="30" t="s">
        <v>52</v>
      </c>
    </row>
    <row r="90" spans="2:16" ht="31.5" customHeight="1" x14ac:dyDescent="0.3">
      <c r="B90" s="229"/>
      <c r="C90" s="229"/>
      <c r="D90" s="230" t="s">
        <v>138</v>
      </c>
      <c r="E90" s="231" t="s">
        <v>378</v>
      </c>
      <c r="F90" s="231" t="s">
        <v>123</v>
      </c>
      <c r="G90" s="231" t="s">
        <v>139</v>
      </c>
      <c r="H90" s="231" t="s">
        <v>382</v>
      </c>
      <c r="I90" s="231" t="s">
        <v>383</v>
      </c>
      <c r="J90" s="231" t="s">
        <v>140</v>
      </c>
      <c r="K90" s="231" t="s">
        <v>141</v>
      </c>
      <c r="L90" s="231" t="s">
        <v>379</v>
      </c>
      <c r="M90" s="231" t="s">
        <v>384</v>
      </c>
      <c r="N90" s="231" t="s">
        <v>380</v>
      </c>
      <c r="O90" s="231" t="s">
        <v>381</v>
      </c>
      <c r="P90" s="231" t="s">
        <v>12</v>
      </c>
    </row>
    <row r="91" spans="2:16" s="1" customFormat="1" ht="21.75" customHeight="1" x14ac:dyDescent="0.3">
      <c r="B91" s="292" t="s">
        <v>20</v>
      </c>
      <c r="C91" s="292"/>
      <c r="D91" s="86">
        <v>15.788094884084311</v>
      </c>
      <c r="E91" s="86">
        <v>6.2771082273555923</v>
      </c>
      <c r="F91" s="88">
        <v>21.790768667893119</v>
      </c>
      <c r="G91" s="86">
        <v>5.1204478949614085</v>
      </c>
      <c r="H91" s="88">
        <v>6.0204301937989246</v>
      </c>
      <c r="I91" s="86">
        <v>4.2814603931178192</v>
      </c>
      <c r="J91" s="86">
        <v>13.914846728254126</v>
      </c>
      <c r="K91" s="86">
        <v>7.3014109685506172</v>
      </c>
      <c r="L91" s="88">
        <v>2.981626756130773</v>
      </c>
      <c r="M91" s="86">
        <v>3.8477727379873006</v>
      </c>
      <c r="N91" s="86">
        <v>10.893942702882283</v>
      </c>
      <c r="O91" s="86">
        <v>1.0993128152240004</v>
      </c>
      <c r="P91" s="86">
        <v>0.68277702975891952</v>
      </c>
    </row>
    <row r="92" spans="2:16" s="1" customFormat="1" x14ac:dyDescent="0.3">
      <c r="B92" s="296" t="s">
        <v>5</v>
      </c>
      <c r="C92" s="13" t="s">
        <v>0</v>
      </c>
      <c r="D92" s="84">
        <v>16.008407000852028</v>
      </c>
      <c r="E92" s="84">
        <v>7.1132049581209724</v>
      </c>
      <c r="F92" s="89">
        <v>21.996624758973653</v>
      </c>
      <c r="G92" s="84">
        <v>5.5237489128235113</v>
      </c>
      <c r="H92" s="89">
        <v>5.9440196568540831</v>
      </c>
      <c r="I92" s="84">
        <v>4.0864618213926596</v>
      </c>
      <c r="J92" s="84">
        <v>11.078706662941054</v>
      </c>
      <c r="K92" s="84">
        <v>8.5412101401641696</v>
      </c>
      <c r="L92" s="89">
        <v>2.4055113519063545</v>
      </c>
      <c r="M92" s="84">
        <v>4.0848865126558254</v>
      </c>
      <c r="N92" s="84">
        <v>11.246803861644054</v>
      </c>
      <c r="O92" s="84">
        <v>1.0839063959137913</v>
      </c>
      <c r="P92" s="84">
        <v>0.88650796575776902</v>
      </c>
    </row>
    <row r="93" spans="2:16" s="1" customFormat="1" x14ac:dyDescent="0.3">
      <c r="B93" s="295"/>
      <c r="C93" s="12" t="s">
        <v>1</v>
      </c>
      <c r="D93" s="90">
        <v>15.559818398277663</v>
      </c>
      <c r="E93" s="90">
        <v>5.4107862733298466</v>
      </c>
      <c r="F93" s="90">
        <v>21.577470798746528</v>
      </c>
      <c r="G93" s="90">
        <v>4.7025673878399372</v>
      </c>
      <c r="H93" s="90">
        <v>6.0996030014879548</v>
      </c>
      <c r="I93" s="90">
        <v>4.4835082393456256</v>
      </c>
      <c r="J93" s="90">
        <v>16.853514364263294</v>
      </c>
      <c r="K93" s="90">
        <v>6.0167925728195817</v>
      </c>
      <c r="L93" s="90">
        <v>3.5785689571548782</v>
      </c>
      <c r="M93" s="90">
        <v>3.6020872077865231</v>
      </c>
      <c r="N93" s="90">
        <v>10.528325475461354</v>
      </c>
      <c r="O93" s="90">
        <v>1.1152761826075326</v>
      </c>
      <c r="P93" s="90">
        <v>0.47168114087957486</v>
      </c>
    </row>
    <row r="94" spans="2:16" s="1" customFormat="1" x14ac:dyDescent="0.3">
      <c r="B94" s="296" t="s">
        <v>4</v>
      </c>
      <c r="C94" s="9" t="s">
        <v>175</v>
      </c>
      <c r="D94" s="86">
        <v>6.2029677165102237</v>
      </c>
      <c r="E94" s="86">
        <v>4.7749751493947086</v>
      </c>
      <c r="F94" s="88">
        <v>42.350840874968981</v>
      </c>
      <c r="G94" s="86">
        <v>2.5370330689239395</v>
      </c>
      <c r="H94" s="88">
        <v>5.8445017731689797</v>
      </c>
      <c r="I94" s="86">
        <v>3.7003484383479037</v>
      </c>
      <c r="J94" s="86">
        <v>6.8139162702401084</v>
      </c>
      <c r="K94" s="86">
        <v>1.5067407786635469</v>
      </c>
      <c r="L94" s="88">
        <v>4.951788193520847</v>
      </c>
      <c r="M94" s="86">
        <v>5.0514068412192668</v>
      </c>
      <c r="N94" s="86">
        <v>14.252758649224479</v>
      </c>
      <c r="O94" s="86">
        <v>0.72138300194361538</v>
      </c>
      <c r="P94" s="86">
        <v>1.2913392438734361</v>
      </c>
    </row>
    <row r="95" spans="2:16" s="1" customFormat="1" x14ac:dyDescent="0.3">
      <c r="B95" s="292"/>
      <c r="C95" s="9" t="s">
        <v>176</v>
      </c>
      <c r="D95" s="86">
        <v>6.7708704952277765</v>
      </c>
      <c r="E95" s="86">
        <v>4.7760291209273245</v>
      </c>
      <c r="F95" s="88">
        <v>33.203122703930674</v>
      </c>
      <c r="G95" s="86">
        <v>6.120076313835793</v>
      </c>
      <c r="H95" s="88">
        <v>5.2596292095275121</v>
      </c>
      <c r="I95" s="86">
        <v>4.7928756852367034</v>
      </c>
      <c r="J95" s="86">
        <v>12.254039617367905</v>
      </c>
      <c r="K95" s="86">
        <v>6.5137833666940343</v>
      </c>
      <c r="L95" s="88">
        <v>5.3727128741831489</v>
      </c>
      <c r="M95" s="86">
        <v>4.1068735049661926</v>
      </c>
      <c r="N95" s="86">
        <v>8.9213441916673073</v>
      </c>
      <c r="O95" s="86">
        <v>1.3995306619721921</v>
      </c>
      <c r="P95" s="86">
        <v>0.50911225446354713</v>
      </c>
    </row>
    <row r="96" spans="2:16" s="1" customFormat="1" x14ac:dyDescent="0.3">
      <c r="B96" s="292"/>
      <c r="C96" s="9" t="s">
        <v>177</v>
      </c>
      <c r="D96" s="86">
        <v>10.670065012082661</v>
      </c>
      <c r="E96" s="86">
        <v>7.4432071788737213</v>
      </c>
      <c r="F96" s="88">
        <v>26.818011746376847</v>
      </c>
      <c r="G96" s="86">
        <v>7.0236185783414564</v>
      </c>
      <c r="H96" s="88">
        <v>5.3781254975421948</v>
      </c>
      <c r="I96" s="86">
        <v>4.726766006569429</v>
      </c>
      <c r="J96" s="86">
        <v>13.673361468292553</v>
      </c>
      <c r="K96" s="86">
        <v>5.3044266960762121</v>
      </c>
      <c r="L96" s="88">
        <v>4.4627575581777039</v>
      </c>
      <c r="M96" s="86">
        <v>4.0553617643316811</v>
      </c>
      <c r="N96" s="86">
        <v>8.6322826898216309</v>
      </c>
      <c r="O96" s="86">
        <v>0.84844345093386364</v>
      </c>
      <c r="P96" s="86">
        <v>0.96357235258035545</v>
      </c>
    </row>
    <row r="97" spans="2:16" s="1" customFormat="1" x14ac:dyDescent="0.3">
      <c r="B97" s="292"/>
      <c r="C97" s="9" t="s">
        <v>178</v>
      </c>
      <c r="D97" s="86">
        <v>15.970722604398702</v>
      </c>
      <c r="E97" s="86">
        <v>8.6382578196740099</v>
      </c>
      <c r="F97" s="88">
        <v>19.069530632810487</v>
      </c>
      <c r="G97" s="86">
        <v>5.1195308062986697</v>
      </c>
      <c r="H97" s="88">
        <v>7.0570852358767349</v>
      </c>
      <c r="I97" s="86">
        <v>4.0727406097194656</v>
      </c>
      <c r="J97" s="86">
        <v>13.565793378819233</v>
      </c>
      <c r="K97" s="86">
        <v>8.5533114804233961</v>
      </c>
      <c r="L97" s="88">
        <v>2.8095401567373521</v>
      </c>
      <c r="M97" s="86">
        <v>4.097558938687671</v>
      </c>
      <c r="N97" s="86">
        <v>9.7190049417015061</v>
      </c>
      <c r="O97" s="86">
        <v>0.65172397408129845</v>
      </c>
      <c r="P97" s="86">
        <v>0.67519942077170902</v>
      </c>
    </row>
    <row r="98" spans="2:16" s="1" customFormat="1" x14ac:dyDescent="0.3">
      <c r="B98" s="292"/>
      <c r="C98" s="9" t="s">
        <v>179</v>
      </c>
      <c r="D98" s="86">
        <v>20.834520799835211</v>
      </c>
      <c r="E98" s="86">
        <v>6.0180590994737662</v>
      </c>
      <c r="F98" s="88">
        <v>15.684878033951186</v>
      </c>
      <c r="G98" s="86">
        <v>5.0371230953230501</v>
      </c>
      <c r="H98" s="88">
        <v>5.2629237030718752</v>
      </c>
      <c r="I98" s="86">
        <v>4.4247162977623518</v>
      </c>
      <c r="J98" s="86">
        <v>17.249928907914153</v>
      </c>
      <c r="K98" s="86">
        <v>9.1036915963925988</v>
      </c>
      <c r="L98" s="88">
        <v>1.6222531323419731</v>
      </c>
      <c r="M98" s="86">
        <v>3.1879171933445694</v>
      </c>
      <c r="N98" s="86">
        <v>10.382306835586094</v>
      </c>
      <c r="O98" s="86">
        <v>0.54743307191547452</v>
      </c>
      <c r="P98" s="86">
        <v>0.64424823308783685</v>
      </c>
    </row>
    <row r="99" spans="2:16" s="1" customFormat="1" x14ac:dyDescent="0.3">
      <c r="B99" s="298"/>
      <c r="C99" s="12" t="s">
        <v>180</v>
      </c>
      <c r="D99" s="90">
        <v>23.640148521166193</v>
      </c>
      <c r="E99" s="90">
        <v>4.7272747946691851</v>
      </c>
      <c r="F99" s="91">
        <v>13.275984540263478</v>
      </c>
      <c r="G99" s="90">
        <v>3.4242044319446192</v>
      </c>
      <c r="H99" s="91">
        <v>7.0156464910200427</v>
      </c>
      <c r="I99" s="90">
        <v>3.6879237844767077</v>
      </c>
      <c r="J99" s="90">
        <v>13.707313964353007</v>
      </c>
      <c r="K99" s="90">
        <v>7.7065178822057421</v>
      </c>
      <c r="L99" s="91">
        <v>1.0791075869282245</v>
      </c>
      <c r="M99" s="90">
        <v>3.6726078274341245</v>
      </c>
      <c r="N99" s="90">
        <v>15.33465869066295</v>
      </c>
      <c r="O99" s="90">
        <v>2.2430141363344891</v>
      </c>
      <c r="P99" s="90">
        <v>0.48559734854108882</v>
      </c>
    </row>
    <row r="100" spans="2:16" s="1" customFormat="1" x14ac:dyDescent="0.3">
      <c r="B100" s="292" t="s">
        <v>223</v>
      </c>
      <c r="C100" s="9" t="s">
        <v>210</v>
      </c>
      <c r="D100" s="86">
        <v>8.624586538437951</v>
      </c>
      <c r="E100" s="86">
        <v>5.2848543847863665</v>
      </c>
      <c r="F100" s="88">
        <v>44.522264635724554</v>
      </c>
      <c r="G100" s="86">
        <v>2.1234464200422547</v>
      </c>
      <c r="H100" s="88">
        <v>6.3306515057377375</v>
      </c>
      <c r="I100" s="86">
        <v>5.1444955952917848</v>
      </c>
      <c r="J100" s="86">
        <v>5.7396472098375027</v>
      </c>
      <c r="K100" s="86">
        <v>1.3977094606172933</v>
      </c>
      <c r="L100" s="88">
        <v>1.3977094606172933</v>
      </c>
      <c r="M100" s="86">
        <v>3.614299716398397</v>
      </c>
      <c r="N100" s="86">
        <v>14.422625611891574</v>
      </c>
      <c r="O100" s="86">
        <v>0</v>
      </c>
      <c r="P100" s="86">
        <v>1.3977094606172933</v>
      </c>
    </row>
    <row r="101" spans="2:16" s="1" customFormat="1" x14ac:dyDescent="0.3">
      <c r="B101" s="292"/>
      <c r="C101" s="9" t="s">
        <v>211</v>
      </c>
      <c r="D101" s="86">
        <v>5.9332835759843592</v>
      </c>
      <c r="E101" s="86">
        <v>5.9464348715361428</v>
      </c>
      <c r="F101" s="88">
        <v>28.846517559194893</v>
      </c>
      <c r="G101" s="86">
        <v>7.7622088003472287</v>
      </c>
      <c r="H101" s="88">
        <v>6.9802176786170245</v>
      </c>
      <c r="I101" s="86">
        <v>5.6320163342415546</v>
      </c>
      <c r="J101" s="86">
        <v>9.5054597720356799</v>
      </c>
      <c r="K101" s="86">
        <v>7.8131117163333137</v>
      </c>
      <c r="L101" s="88">
        <v>4.9407420561674993</v>
      </c>
      <c r="M101" s="86">
        <v>4.0197149950760211</v>
      </c>
      <c r="N101" s="86">
        <v>9.2725832311058323</v>
      </c>
      <c r="O101" s="86">
        <v>2.3714540968875801</v>
      </c>
      <c r="P101" s="86">
        <v>0.97625531247280561</v>
      </c>
    </row>
    <row r="102" spans="2:16" s="1" customFormat="1" x14ac:dyDescent="0.3">
      <c r="B102" s="292"/>
      <c r="C102" s="9" t="s">
        <v>212</v>
      </c>
      <c r="D102" s="86">
        <v>10.124202636418097</v>
      </c>
      <c r="E102" s="86">
        <v>7.4251241405691228</v>
      </c>
      <c r="F102" s="88">
        <v>28.306523158171405</v>
      </c>
      <c r="G102" s="86">
        <v>8.3068623653553395</v>
      </c>
      <c r="H102" s="88">
        <v>5.8702694389360719</v>
      </c>
      <c r="I102" s="86">
        <v>3.9459412285336199</v>
      </c>
      <c r="J102" s="86">
        <v>10.56369518860784</v>
      </c>
      <c r="K102" s="86">
        <v>7.0401867810471224</v>
      </c>
      <c r="L102" s="88">
        <v>3.9679766718408191</v>
      </c>
      <c r="M102" s="86">
        <v>5.3653956255795308</v>
      </c>
      <c r="N102" s="86">
        <v>7.1762882180657215</v>
      </c>
      <c r="O102" s="86">
        <v>0.64847787549952207</v>
      </c>
      <c r="P102" s="86">
        <v>1.2590566713757554</v>
      </c>
    </row>
    <row r="103" spans="2:16" s="1" customFormat="1" x14ac:dyDescent="0.3">
      <c r="B103" s="292"/>
      <c r="C103" s="9" t="s">
        <v>213</v>
      </c>
      <c r="D103" s="86">
        <v>19.167762893900285</v>
      </c>
      <c r="E103" s="86">
        <v>11.194606382149011</v>
      </c>
      <c r="F103" s="88">
        <v>18.760474600599007</v>
      </c>
      <c r="G103" s="86">
        <v>5.0478904669443461</v>
      </c>
      <c r="H103" s="88">
        <v>5.7248949081382294</v>
      </c>
      <c r="I103" s="86">
        <v>4.0961386348443307</v>
      </c>
      <c r="J103" s="86">
        <v>9.1506956114507929</v>
      </c>
      <c r="K103" s="86">
        <v>9.5285452904349413</v>
      </c>
      <c r="L103" s="88">
        <v>2.411129350547474</v>
      </c>
      <c r="M103" s="86">
        <v>3.5436989700160169</v>
      </c>
      <c r="N103" s="86">
        <v>10.126171059601344</v>
      </c>
      <c r="O103" s="86">
        <v>0.52211859070818423</v>
      </c>
      <c r="P103" s="86">
        <v>0.7258732406662064</v>
      </c>
    </row>
    <row r="104" spans="2:16" s="1" customFormat="1" x14ac:dyDescent="0.3">
      <c r="B104" s="292"/>
      <c r="C104" s="9" t="s">
        <v>214</v>
      </c>
      <c r="D104" s="86">
        <v>22.434495345934732</v>
      </c>
      <c r="E104" s="86">
        <v>7.0650140978269231</v>
      </c>
      <c r="F104" s="88">
        <v>17.978772961324118</v>
      </c>
      <c r="G104" s="86">
        <v>4.0751820915756181</v>
      </c>
      <c r="H104" s="88">
        <v>4.4686570486971418</v>
      </c>
      <c r="I104" s="86">
        <v>2.7255254415200643</v>
      </c>
      <c r="J104" s="86">
        <v>15.021849076322386</v>
      </c>
      <c r="K104" s="86">
        <v>9.8274912944235009</v>
      </c>
      <c r="L104" s="88">
        <v>1.4311583383666515</v>
      </c>
      <c r="M104" s="86">
        <v>3.3906592605683872</v>
      </c>
      <c r="N104" s="86">
        <v>10.079474546845066</v>
      </c>
      <c r="O104" s="86">
        <v>0.6698832720226946</v>
      </c>
      <c r="P104" s="86">
        <v>0.83183722457271136</v>
      </c>
    </row>
    <row r="105" spans="2:16" s="1" customFormat="1" x14ac:dyDescent="0.3">
      <c r="B105" s="292"/>
      <c r="C105" s="12" t="s">
        <v>215</v>
      </c>
      <c r="D105" s="90">
        <v>20.814758190496491</v>
      </c>
      <c r="E105" s="90">
        <v>4.0571019899427094</v>
      </c>
      <c r="F105" s="91">
        <v>12.999910180354716</v>
      </c>
      <c r="G105" s="90">
        <v>4.1716717150875198</v>
      </c>
      <c r="H105" s="91">
        <v>6.9873530893956026</v>
      </c>
      <c r="I105" s="90">
        <v>4.2275894774376059</v>
      </c>
      <c r="J105" s="90">
        <v>11.635970267863087</v>
      </c>
      <c r="K105" s="90">
        <v>9.7684025476448237</v>
      </c>
      <c r="L105" s="91">
        <v>0.25965603559411399</v>
      </c>
      <c r="M105" s="90">
        <v>4.4686106525678602</v>
      </c>
      <c r="N105" s="90">
        <v>18.288532576915671</v>
      </c>
      <c r="O105" s="90">
        <v>1.7417271330704205</v>
      </c>
      <c r="P105" s="90">
        <v>0.57871614362944224</v>
      </c>
    </row>
    <row r="106" spans="2:16" s="1" customFormat="1" x14ac:dyDescent="0.3">
      <c r="B106" s="292"/>
      <c r="C106" s="9" t="s">
        <v>216</v>
      </c>
      <c r="D106" s="86">
        <v>3.6282000552465283</v>
      </c>
      <c r="E106" s="86">
        <v>4.2328499583659918</v>
      </c>
      <c r="F106" s="88">
        <v>40.042091195842225</v>
      </c>
      <c r="G106" s="86">
        <v>2.9767759050088025</v>
      </c>
      <c r="H106" s="88">
        <v>5.3276067942335237</v>
      </c>
      <c r="I106" s="86">
        <v>2.1648700368193632</v>
      </c>
      <c r="J106" s="86">
        <v>7.9561246191242194</v>
      </c>
      <c r="K106" s="86">
        <v>1.6226674923265065</v>
      </c>
      <c r="L106" s="88">
        <v>8.7306351797614496</v>
      </c>
      <c r="M106" s="86">
        <v>6.5793999825241674</v>
      </c>
      <c r="N106" s="86">
        <v>14.072148902458403</v>
      </c>
      <c r="O106" s="86">
        <v>1.4883879525044013</v>
      </c>
      <c r="P106" s="86">
        <v>1.178241925784508</v>
      </c>
    </row>
    <row r="107" spans="2:16" s="1" customFormat="1" x14ac:dyDescent="0.3">
      <c r="B107" s="292"/>
      <c r="C107" s="9" t="s">
        <v>217</v>
      </c>
      <c r="D107" s="86">
        <v>7.683708131266739</v>
      </c>
      <c r="E107" s="86">
        <v>3.5004714515725341</v>
      </c>
      <c r="F107" s="88">
        <v>37.951135178943943</v>
      </c>
      <c r="G107" s="86">
        <v>4.3304109040608187</v>
      </c>
      <c r="H107" s="88">
        <v>3.3844591529818162</v>
      </c>
      <c r="I107" s="86">
        <v>3.8783447288152071</v>
      </c>
      <c r="J107" s="86">
        <v>15.249558137098129</v>
      </c>
      <c r="K107" s="86">
        <v>5.0977203983342463</v>
      </c>
      <c r="L107" s="88">
        <v>5.8434929344918789</v>
      </c>
      <c r="M107" s="86">
        <v>4.2018625339265325</v>
      </c>
      <c r="N107" s="86">
        <v>8.5385490368249854</v>
      </c>
      <c r="O107" s="86">
        <v>0.34028741168306692</v>
      </c>
      <c r="P107" s="86">
        <v>0</v>
      </c>
    </row>
    <row r="108" spans="2:16" s="1" customFormat="1" x14ac:dyDescent="0.3">
      <c r="B108" s="292"/>
      <c r="C108" s="9" t="s">
        <v>218</v>
      </c>
      <c r="D108" s="86">
        <v>11.264130951236616</v>
      </c>
      <c r="E108" s="86">
        <v>7.4628870791783974</v>
      </c>
      <c r="F108" s="88">
        <v>25.198054099153445</v>
      </c>
      <c r="G108" s="86">
        <v>5.6270551596447334</v>
      </c>
      <c r="H108" s="88">
        <v>4.8425217157515839</v>
      </c>
      <c r="I108" s="86">
        <v>5.5765432137159019</v>
      </c>
      <c r="J108" s="86">
        <v>17.057633587519383</v>
      </c>
      <c r="K108" s="86">
        <v>3.4153865442083</v>
      </c>
      <c r="L108" s="88">
        <v>5.0012311460657193</v>
      </c>
      <c r="M108" s="86">
        <v>2.6296425156687966</v>
      </c>
      <c r="N108" s="86">
        <v>10.216851917941979</v>
      </c>
      <c r="O108" s="86">
        <v>1.0660674211227823</v>
      </c>
      <c r="P108" s="86">
        <v>0.64199464879233215</v>
      </c>
    </row>
    <row r="109" spans="2:16" s="1" customFormat="1" x14ac:dyDescent="0.3">
      <c r="B109" s="292"/>
      <c r="C109" s="9" t="s">
        <v>219</v>
      </c>
      <c r="D109" s="86">
        <v>12.664053733487698</v>
      </c>
      <c r="E109" s="86">
        <v>5.9942504099169334</v>
      </c>
      <c r="F109" s="88">
        <v>19.389184396460752</v>
      </c>
      <c r="G109" s="86">
        <v>5.1936277392720349</v>
      </c>
      <c r="H109" s="88">
        <v>8.4349572324627289</v>
      </c>
      <c r="I109" s="86">
        <v>4.0485402511642974</v>
      </c>
      <c r="J109" s="86">
        <v>18.132287707128519</v>
      </c>
      <c r="K109" s="86">
        <v>7.5446362716640154</v>
      </c>
      <c r="L109" s="88">
        <v>3.2216127274173818</v>
      </c>
      <c r="M109" s="86">
        <v>4.6704111242745121</v>
      </c>
      <c r="N109" s="86">
        <v>9.2978768340044002</v>
      </c>
      <c r="O109" s="86">
        <v>0.78577360996159995</v>
      </c>
      <c r="P109" s="86">
        <v>0.62278796278491744</v>
      </c>
    </row>
    <row r="110" spans="2:16" s="1" customFormat="1" x14ac:dyDescent="0.3">
      <c r="B110" s="292"/>
      <c r="C110" s="9" t="s">
        <v>220</v>
      </c>
      <c r="D110" s="86">
        <v>19.205701067328484</v>
      </c>
      <c r="E110" s="86">
        <v>4.9522290432885523</v>
      </c>
      <c r="F110" s="88">
        <v>13.349627556929105</v>
      </c>
      <c r="G110" s="86">
        <v>6.0164064796936447</v>
      </c>
      <c r="H110" s="88">
        <v>6.0715098163144594</v>
      </c>
      <c r="I110" s="86">
        <v>6.1545410644685372</v>
      </c>
      <c r="J110" s="86">
        <v>19.518177739837263</v>
      </c>
      <c r="K110" s="86">
        <v>8.3668428550115603</v>
      </c>
      <c r="L110" s="88">
        <v>1.8167930842212785</v>
      </c>
      <c r="M110" s="86">
        <v>2.9815199850212228</v>
      </c>
      <c r="N110" s="86">
        <v>10.690598744819324</v>
      </c>
      <c r="O110" s="86">
        <v>0.42277527490847788</v>
      </c>
      <c r="P110" s="86">
        <v>0.45327728815844642</v>
      </c>
    </row>
    <row r="111" spans="2:16" s="1" customFormat="1" x14ac:dyDescent="0.3">
      <c r="B111" s="295"/>
      <c r="C111" s="9" t="s">
        <v>221</v>
      </c>
      <c r="D111" s="90">
        <v>26.380947542607853</v>
      </c>
      <c r="E111" s="90">
        <v>5.3773828337080634</v>
      </c>
      <c r="F111" s="91">
        <v>13.543793319556599</v>
      </c>
      <c r="G111" s="90">
        <v>2.6991160871735387</v>
      </c>
      <c r="H111" s="91">
        <v>7.0430927969848778</v>
      </c>
      <c r="I111" s="90">
        <v>3.1644155147991175</v>
      </c>
      <c r="J111" s="90">
        <v>15.716642273713758</v>
      </c>
      <c r="K111" s="90">
        <v>5.7063654034432973</v>
      </c>
      <c r="L111" s="91">
        <v>1.8740250132517153</v>
      </c>
      <c r="M111" s="90">
        <v>2.9004370797293313</v>
      </c>
      <c r="N111" s="90">
        <v>12.469222871399092</v>
      </c>
      <c r="O111" s="90">
        <v>2.7292927623683849</v>
      </c>
      <c r="P111" s="90">
        <v>0.39526650126468327</v>
      </c>
    </row>
    <row r="112" spans="2:16" s="1" customFormat="1" ht="16.5" customHeight="1" x14ac:dyDescent="0.3">
      <c r="B112" s="291" t="s">
        <v>222</v>
      </c>
      <c r="C112" s="13" t="s">
        <v>226</v>
      </c>
      <c r="D112" s="80">
        <v>17.466684225610233</v>
      </c>
      <c r="E112" s="80">
        <v>5.4758464397741822</v>
      </c>
      <c r="F112" s="80">
        <v>22.062848789217924</v>
      </c>
      <c r="G112" s="80">
        <v>6.3015890612347469</v>
      </c>
      <c r="H112" s="80">
        <v>6.9844663939047136</v>
      </c>
      <c r="I112" s="80">
        <v>3.6660330991937689</v>
      </c>
      <c r="J112" s="80">
        <v>13.646408248355149</v>
      </c>
      <c r="K112" s="80">
        <v>7.4580658003442091</v>
      </c>
      <c r="L112" s="80">
        <v>2.9774911813638956</v>
      </c>
      <c r="M112" s="80">
        <v>3.0962627076228357</v>
      </c>
      <c r="N112" s="80">
        <v>9.125206416721225</v>
      </c>
      <c r="O112" s="80">
        <v>1.3337826179992196</v>
      </c>
      <c r="P112" s="80">
        <v>0.40531501865789332</v>
      </c>
    </row>
    <row r="113" spans="2:16" s="1" customFormat="1" x14ac:dyDescent="0.3">
      <c r="B113" s="294"/>
      <c r="C113" s="9" t="s">
        <v>227</v>
      </c>
      <c r="D113" s="79">
        <v>15.848600839587116</v>
      </c>
      <c r="E113" s="79">
        <v>6.7688425324665236</v>
      </c>
      <c r="F113" s="79">
        <v>21.091902605064185</v>
      </c>
      <c r="G113" s="79">
        <v>4.4461387292371004</v>
      </c>
      <c r="H113" s="79">
        <v>5.1989043791734382</v>
      </c>
      <c r="I113" s="79">
        <v>3.9154779840938203</v>
      </c>
      <c r="J113" s="79">
        <v>13.163173979556731</v>
      </c>
      <c r="K113" s="79">
        <v>7.5665814073193243</v>
      </c>
      <c r="L113" s="79">
        <v>3.3834905820644772</v>
      </c>
      <c r="M113" s="79">
        <v>4.4786599118796708</v>
      </c>
      <c r="N113" s="79">
        <v>12.096778811384308</v>
      </c>
      <c r="O113" s="79">
        <v>1.1761612463951838</v>
      </c>
      <c r="P113" s="79">
        <v>0.86528699177815904</v>
      </c>
    </row>
    <row r="114" spans="2:16" s="1" customFormat="1" x14ac:dyDescent="0.3">
      <c r="B114" s="292"/>
      <c r="C114" s="9" t="s">
        <v>228</v>
      </c>
      <c r="D114" s="79">
        <v>17.48684408713963</v>
      </c>
      <c r="E114" s="79">
        <v>6.028792053807198</v>
      </c>
      <c r="F114" s="79">
        <v>20.397581461589752</v>
      </c>
      <c r="G114" s="79">
        <v>5.1117686944614791</v>
      </c>
      <c r="H114" s="79">
        <v>6.4086781539512456</v>
      </c>
      <c r="I114" s="79">
        <v>4.5106823803127378</v>
      </c>
      <c r="J114" s="79">
        <v>15.41823001368366</v>
      </c>
      <c r="K114" s="79">
        <v>7.836852272222222</v>
      </c>
      <c r="L114" s="79">
        <v>2.5326862658981044</v>
      </c>
      <c r="M114" s="79">
        <v>3.4682791837038605</v>
      </c>
      <c r="N114" s="79">
        <v>9.7042358232365107</v>
      </c>
      <c r="O114" s="79">
        <v>0.91690671891077624</v>
      </c>
      <c r="P114" s="79">
        <v>0.17846289108295327</v>
      </c>
    </row>
    <row r="115" spans="2:16" s="1" customFormat="1" x14ac:dyDescent="0.3">
      <c r="B115" s="295"/>
      <c r="C115" s="12" t="s">
        <v>229</v>
      </c>
      <c r="D115" s="81">
        <v>12.289269993629572</v>
      </c>
      <c r="E115" s="81">
        <v>6.7707099997258959</v>
      </c>
      <c r="F115" s="81">
        <v>23.636538151404057</v>
      </c>
      <c r="G115" s="81">
        <v>4.6644635382497324</v>
      </c>
      <c r="H115" s="81">
        <v>5.6423946000058187</v>
      </c>
      <c r="I115" s="81">
        <v>5.2415159785589038</v>
      </c>
      <c r="J115" s="81">
        <v>13.835236414953551</v>
      </c>
      <c r="K115" s="81">
        <v>6.3016847571735477</v>
      </c>
      <c r="L115" s="81">
        <v>2.8719037527710141</v>
      </c>
      <c r="M115" s="81">
        <v>4.2238074857038388</v>
      </c>
      <c r="N115" s="81">
        <v>12.408908796576823</v>
      </c>
      <c r="O115" s="81">
        <v>0.89964939246591269</v>
      </c>
      <c r="P115" s="81">
        <v>1.2139171387814962</v>
      </c>
    </row>
    <row r="116" spans="2:16" s="1" customFormat="1" x14ac:dyDescent="0.3">
      <c r="B116" s="296" t="s">
        <v>199</v>
      </c>
      <c r="C116" s="13" t="s">
        <v>192</v>
      </c>
      <c r="D116" s="80">
        <v>14.941379243693154</v>
      </c>
      <c r="E116" s="80">
        <v>6.187427651220907</v>
      </c>
      <c r="F116" s="80">
        <v>22.330351838354158</v>
      </c>
      <c r="G116" s="80">
        <v>5.7866850980941633</v>
      </c>
      <c r="H116" s="80">
        <v>5.5633531708828956</v>
      </c>
      <c r="I116" s="80">
        <v>4.1448846210790178</v>
      </c>
      <c r="J116" s="80">
        <v>13.910977374115991</v>
      </c>
      <c r="K116" s="80">
        <v>6.4075708489512895</v>
      </c>
      <c r="L116" s="80">
        <v>3.2532649485547993</v>
      </c>
      <c r="M116" s="80">
        <v>3.9748614514072593</v>
      </c>
      <c r="N116" s="80">
        <v>12.003543476445106</v>
      </c>
      <c r="O116" s="80">
        <v>0.91701532552392073</v>
      </c>
      <c r="P116" s="80">
        <v>0.57868495167686762</v>
      </c>
    </row>
    <row r="117" spans="2:16" s="1" customFormat="1" ht="16.5" customHeight="1" x14ac:dyDescent="0.3">
      <c r="B117" s="292"/>
      <c r="C117" s="9" t="s">
        <v>200</v>
      </c>
      <c r="D117" s="79">
        <v>20.094011308442063</v>
      </c>
      <c r="E117" s="79">
        <v>4.7294224320056104</v>
      </c>
      <c r="F117" s="79">
        <v>23.750411924104654</v>
      </c>
      <c r="G117" s="79">
        <v>5.7282178512028823</v>
      </c>
      <c r="H117" s="79">
        <v>5.8314293214306465</v>
      </c>
      <c r="I117" s="79">
        <v>2.306813703074539</v>
      </c>
      <c r="J117" s="79">
        <v>13.035887756903477</v>
      </c>
      <c r="K117" s="79">
        <v>6.0725482494130212</v>
      </c>
      <c r="L117" s="79">
        <v>2.4106817397726577</v>
      </c>
      <c r="M117" s="79">
        <v>4.4483092382488207</v>
      </c>
      <c r="N117" s="79">
        <v>10.572990602513626</v>
      </c>
      <c r="O117" s="79">
        <v>0.69040037244880492</v>
      </c>
      <c r="P117" s="79">
        <v>0.32887550043912744</v>
      </c>
    </row>
    <row r="118" spans="2:16" s="1" customFormat="1" ht="16.5" customHeight="1" x14ac:dyDescent="0.3">
      <c r="B118" s="292"/>
      <c r="C118" s="9" t="s">
        <v>201</v>
      </c>
      <c r="D118" s="79">
        <v>16.591789960164011</v>
      </c>
      <c r="E118" s="79">
        <v>7.4269702435129483</v>
      </c>
      <c r="F118" s="79">
        <v>21.111458928081728</v>
      </c>
      <c r="G118" s="79">
        <v>4.4566298418211723</v>
      </c>
      <c r="H118" s="79">
        <v>6.1201707389331537</v>
      </c>
      <c r="I118" s="79">
        <v>3.9300762132868665</v>
      </c>
      <c r="J118" s="79">
        <v>13.845630356242166</v>
      </c>
      <c r="K118" s="79">
        <v>8.7338056470286833</v>
      </c>
      <c r="L118" s="79">
        <v>3.434832861442628</v>
      </c>
      <c r="M118" s="79">
        <v>3.471403139926311</v>
      </c>
      <c r="N118" s="79">
        <v>8.7553463294784653</v>
      </c>
      <c r="O118" s="79">
        <v>1.367438995063136</v>
      </c>
      <c r="P118" s="79">
        <v>0.7544467450189084</v>
      </c>
    </row>
    <row r="119" spans="2:16" s="1" customFormat="1" x14ac:dyDescent="0.3">
      <c r="B119" s="292"/>
      <c r="C119" s="9" t="s">
        <v>202</v>
      </c>
      <c r="D119" s="79">
        <v>15.631666300988059</v>
      </c>
      <c r="E119" s="79">
        <v>8.2677935382579939</v>
      </c>
      <c r="F119" s="79">
        <v>22.344491327623921</v>
      </c>
      <c r="G119" s="79">
        <v>4.6881668470426971</v>
      </c>
      <c r="H119" s="79">
        <v>6.6767657277537733</v>
      </c>
      <c r="I119" s="79">
        <v>5.1934307200830183</v>
      </c>
      <c r="J119" s="79">
        <v>12.044184784352478</v>
      </c>
      <c r="K119" s="79">
        <v>8.1893288133956545</v>
      </c>
      <c r="L119" s="79">
        <v>2.5171502485750006</v>
      </c>
      <c r="M119" s="79">
        <v>2.483129129126425</v>
      </c>
      <c r="N119" s="79">
        <v>9.741017909730207</v>
      </c>
      <c r="O119" s="79">
        <v>1.6736679064401783</v>
      </c>
      <c r="P119" s="79">
        <v>0.54920674663064883</v>
      </c>
    </row>
    <row r="120" spans="2:16" s="1" customFormat="1" x14ac:dyDescent="0.3">
      <c r="B120" s="295"/>
      <c r="C120" s="12" t="s">
        <v>203</v>
      </c>
      <c r="D120" s="81">
        <v>16.578063761359061</v>
      </c>
      <c r="E120" s="81">
        <v>5.4612504166305209</v>
      </c>
      <c r="F120" s="81">
        <v>20.371467416842819</v>
      </c>
      <c r="G120" s="81">
        <v>4.0343867163408298</v>
      </c>
      <c r="H120" s="81">
        <v>6.7454115098062468</v>
      </c>
      <c r="I120" s="81">
        <v>4.7239879540808642</v>
      </c>
      <c r="J120" s="81">
        <v>14.827309366750585</v>
      </c>
      <c r="K120" s="81">
        <v>8.4706978841343101</v>
      </c>
      <c r="L120" s="81">
        <v>2.4701402971499635</v>
      </c>
      <c r="M120" s="81">
        <v>4.1617822587929769</v>
      </c>
      <c r="N120" s="81">
        <v>9.9420997619106366</v>
      </c>
      <c r="O120" s="81">
        <v>1.2243127300403964</v>
      </c>
      <c r="P120" s="81">
        <v>0.98908992616096014</v>
      </c>
    </row>
    <row r="121" spans="2:16" s="1" customFormat="1" x14ac:dyDescent="0.3">
      <c r="B121" s="291" t="s">
        <v>204</v>
      </c>
      <c r="C121" s="13" t="s">
        <v>192</v>
      </c>
      <c r="D121" s="80">
        <v>14.941379243693154</v>
      </c>
      <c r="E121" s="80">
        <v>6.187427651220907</v>
      </c>
      <c r="F121" s="80">
        <v>22.330351838354158</v>
      </c>
      <c r="G121" s="80">
        <v>5.7866850980941633</v>
      </c>
      <c r="H121" s="80">
        <v>5.5633531708828956</v>
      </c>
      <c r="I121" s="80">
        <v>4.1448846210790178</v>
      </c>
      <c r="J121" s="80">
        <v>13.910977374115991</v>
      </c>
      <c r="K121" s="80">
        <v>6.4075708489512895</v>
      </c>
      <c r="L121" s="80">
        <v>3.2532649485547993</v>
      </c>
      <c r="M121" s="80">
        <v>3.9748614514072593</v>
      </c>
      <c r="N121" s="80">
        <v>12.003543476445106</v>
      </c>
      <c r="O121" s="80">
        <v>0.91701532552392073</v>
      </c>
      <c r="P121" s="80">
        <v>0.57868495167686762</v>
      </c>
    </row>
    <row r="122" spans="2:16" s="1" customFormat="1" x14ac:dyDescent="0.3">
      <c r="B122" s="295"/>
      <c r="C122" s="12" t="s">
        <v>193</v>
      </c>
      <c r="D122" s="81">
        <v>16.703197761853836</v>
      </c>
      <c r="E122" s="81">
        <v>6.3740320933928718</v>
      </c>
      <c r="F122" s="81">
        <v>21.207604629661343</v>
      </c>
      <c r="G122" s="81">
        <v>4.4004002747449711</v>
      </c>
      <c r="H122" s="81">
        <v>6.5144242563622763</v>
      </c>
      <c r="I122" s="81">
        <v>4.4290670700992241</v>
      </c>
      <c r="J122" s="81">
        <v>13.919028601055558</v>
      </c>
      <c r="K122" s="81">
        <v>8.2674444592432277</v>
      </c>
      <c r="L122" s="81">
        <v>2.6880489836871155</v>
      </c>
      <c r="M122" s="81">
        <v>3.710419367109647</v>
      </c>
      <c r="N122" s="81">
        <v>9.6947220759984578</v>
      </c>
      <c r="O122" s="81">
        <v>1.2963340458199164</v>
      </c>
      <c r="P122" s="81">
        <v>0.79527638097189068</v>
      </c>
    </row>
    <row r="123" spans="2:16" s="1" customFormat="1" x14ac:dyDescent="0.3">
      <c r="B123" s="291" t="s">
        <v>209</v>
      </c>
      <c r="C123" s="13" t="s">
        <v>205</v>
      </c>
      <c r="D123" s="80">
        <v>14.606312676175623</v>
      </c>
      <c r="E123" s="80">
        <v>6.742077205211805</v>
      </c>
      <c r="F123" s="80">
        <v>21.441665924089147</v>
      </c>
      <c r="G123" s="80">
        <v>6.1766288245506669</v>
      </c>
      <c r="H123" s="80">
        <v>4.9360150120096966</v>
      </c>
      <c r="I123" s="80">
        <v>2.4505546388381854</v>
      </c>
      <c r="J123" s="80">
        <v>17.426175067583959</v>
      </c>
      <c r="K123" s="80">
        <v>8.856403385865331</v>
      </c>
      <c r="L123" s="80">
        <v>3.2040920818797649</v>
      </c>
      <c r="M123" s="80">
        <v>4.9627158080004632</v>
      </c>
      <c r="N123" s="80">
        <v>7.8067188420084452</v>
      </c>
      <c r="O123" s="80">
        <v>0.67589199331089134</v>
      </c>
      <c r="P123" s="80">
        <v>0.71474854047607184</v>
      </c>
    </row>
    <row r="124" spans="2:16" s="1" customFormat="1" x14ac:dyDescent="0.3">
      <c r="B124" s="292"/>
      <c r="C124" s="9" t="s">
        <v>206</v>
      </c>
      <c r="D124" s="79">
        <v>18.247415542504633</v>
      </c>
      <c r="E124" s="79">
        <v>7.0784271712382063</v>
      </c>
      <c r="F124" s="79">
        <v>18.78778821395705</v>
      </c>
      <c r="G124" s="79">
        <v>4.6980202479968556</v>
      </c>
      <c r="H124" s="79">
        <v>7.0806534948951159</v>
      </c>
      <c r="I124" s="79">
        <v>2.5055483422345071</v>
      </c>
      <c r="J124" s="79">
        <v>11.988649398483311</v>
      </c>
      <c r="K124" s="79">
        <v>7.7744672211679688</v>
      </c>
      <c r="L124" s="79">
        <v>2.5029731083603743</v>
      </c>
      <c r="M124" s="79">
        <v>3.8052435717254274</v>
      </c>
      <c r="N124" s="79">
        <v>12.445725229886955</v>
      </c>
      <c r="O124" s="79">
        <v>2.0872093111545014</v>
      </c>
      <c r="P124" s="79">
        <v>0.99787914639506958</v>
      </c>
    </row>
    <row r="125" spans="2:16" s="1" customFormat="1" x14ac:dyDescent="0.3">
      <c r="B125" s="292"/>
      <c r="C125" s="9" t="s">
        <v>207</v>
      </c>
      <c r="D125" s="79">
        <v>17.405690391141977</v>
      </c>
      <c r="E125" s="79">
        <v>6.2465337427582526</v>
      </c>
      <c r="F125" s="79">
        <v>21.035227663198103</v>
      </c>
      <c r="G125" s="79">
        <v>3.6672109388033349</v>
      </c>
      <c r="H125" s="79">
        <v>6.2509152588224897</v>
      </c>
      <c r="I125" s="79">
        <v>4.9918748414746101</v>
      </c>
      <c r="J125" s="79">
        <v>14.500702845211148</v>
      </c>
      <c r="K125" s="79">
        <v>6.9224014047666902</v>
      </c>
      <c r="L125" s="79">
        <v>2.633929951640432</v>
      </c>
      <c r="M125" s="79">
        <v>3.0066301639118347</v>
      </c>
      <c r="N125" s="79">
        <v>11.943865699136037</v>
      </c>
      <c r="O125" s="79">
        <v>0.71008708617975513</v>
      </c>
      <c r="P125" s="79">
        <v>0.68493001295537836</v>
      </c>
    </row>
    <row r="126" spans="2:16" s="1" customFormat="1" x14ac:dyDescent="0.3">
      <c r="B126" s="293"/>
      <c r="C126" s="25" t="s">
        <v>208</v>
      </c>
      <c r="D126" s="82">
        <v>13.073396721353422</v>
      </c>
      <c r="E126" s="82">
        <v>5.5585257123192244</v>
      </c>
      <c r="F126" s="82">
        <v>24.713921939537723</v>
      </c>
      <c r="G126" s="82">
        <v>6.3384825113475607</v>
      </c>
      <c r="H126" s="82">
        <v>5.5400964389586767</v>
      </c>
      <c r="I126" s="82">
        <v>5.6060104357756835</v>
      </c>
      <c r="J126" s="82">
        <v>13.172600584129066</v>
      </c>
      <c r="K126" s="82">
        <v>6.6718439564956711</v>
      </c>
      <c r="L126" s="82">
        <v>3.5444533057291236</v>
      </c>
      <c r="M126" s="82">
        <v>4.1988306708325709</v>
      </c>
      <c r="N126" s="82">
        <v>10.15609041122713</v>
      </c>
      <c r="O126" s="82">
        <v>0.97439548570208201</v>
      </c>
      <c r="P126" s="82">
        <v>0.45135182659203843</v>
      </c>
    </row>
    <row r="129" spans="2:16" x14ac:dyDescent="0.3">
      <c r="B129" s="17" t="s">
        <v>494</v>
      </c>
    </row>
    <row r="130" spans="2:16" x14ac:dyDescent="0.3">
      <c r="N130" s="30"/>
      <c r="P130" s="30" t="s">
        <v>157</v>
      </c>
    </row>
    <row r="131" spans="2:16" ht="31.5" customHeight="1" x14ac:dyDescent="0.3">
      <c r="B131" s="229"/>
      <c r="C131" s="229"/>
      <c r="D131" s="230" t="s">
        <v>138</v>
      </c>
      <c r="E131" s="231" t="s">
        <v>378</v>
      </c>
      <c r="F131" s="231" t="s">
        <v>123</v>
      </c>
      <c r="G131" s="231" t="s">
        <v>139</v>
      </c>
      <c r="H131" s="231" t="s">
        <v>382</v>
      </c>
      <c r="I131" s="231" t="s">
        <v>383</v>
      </c>
      <c r="J131" s="231" t="s">
        <v>140</v>
      </c>
      <c r="K131" s="231" t="s">
        <v>141</v>
      </c>
      <c r="L131" s="231" t="s">
        <v>379</v>
      </c>
      <c r="M131" s="231" t="s">
        <v>384</v>
      </c>
      <c r="N131" s="231" t="s">
        <v>380</v>
      </c>
      <c r="O131" s="231" t="s">
        <v>381</v>
      </c>
      <c r="P131" s="231" t="s">
        <v>12</v>
      </c>
    </row>
    <row r="132" spans="2:16" s="1" customFormat="1" ht="21.75" customHeight="1" x14ac:dyDescent="0.3">
      <c r="B132" s="292" t="s">
        <v>20</v>
      </c>
      <c r="C132" s="292"/>
      <c r="D132" s="86">
        <v>27.355960364772024</v>
      </c>
      <c r="E132" s="86">
        <v>16.894818585607712</v>
      </c>
      <c r="F132" s="88">
        <v>45.715262106775626</v>
      </c>
      <c r="G132" s="86">
        <v>15.835136220215517</v>
      </c>
      <c r="H132" s="88">
        <v>25.130323183708853</v>
      </c>
      <c r="I132" s="86">
        <v>15.665117725664757</v>
      </c>
      <c r="J132" s="86">
        <v>42.147747742692111</v>
      </c>
      <c r="K132" s="86">
        <v>32.757416820607574</v>
      </c>
      <c r="L132" s="88">
        <v>17.428662860808576</v>
      </c>
      <c r="M132" s="86">
        <v>21.837881345524863</v>
      </c>
      <c r="N132" s="86">
        <v>30.836392301811209</v>
      </c>
      <c r="O132" s="86">
        <v>7.1082983641933701</v>
      </c>
      <c r="P132" s="86">
        <v>1.2869823776152767</v>
      </c>
    </row>
    <row r="133" spans="2:16" s="1" customFormat="1" x14ac:dyDescent="0.3">
      <c r="B133" s="296" t="s">
        <v>5</v>
      </c>
      <c r="C133" s="13" t="s">
        <v>0</v>
      </c>
      <c r="D133" s="84">
        <v>29.001256330383455</v>
      </c>
      <c r="E133" s="84">
        <v>18.358888740146764</v>
      </c>
      <c r="F133" s="89">
        <v>48.170941692156227</v>
      </c>
      <c r="G133" s="84">
        <v>16.565123720739837</v>
      </c>
      <c r="H133" s="89">
        <v>24.798263603050035</v>
      </c>
      <c r="I133" s="84">
        <v>17.091646409767279</v>
      </c>
      <c r="J133" s="84">
        <v>38.405706046041857</v>
      </c>
      <c r="K133" s="84">
        <v>36.077551302747686</v>
      </c>
      <c r="L133" s="89">
        <v>13.830401376917997</v>
      </c>
      <c r="M133" s="84">
        <v>19.738033179737098</v>
      </c>
      <c r="N133" s="84">
        <v>29.248115382010447</v>
      </c>
      <c r="O133" s="84">
        <v>7.3717452485378185</v>
      </c>
      <c r="P133" s="84">
        <v>1.3423269677631213</v>
      </c>
    </row>
    <row r="134" spans="2:16" s="1" customFormat="1" x14ac:dyDescent="0.3">
      <c r="B134" s="295"/>
      <c r="C134" s="12" t="s">
        <v>1</v>
      </c>
      <c r="D134" s="90">
        <v>25.651186307619316</v>
      </c>
      <c r="E134" s="90">
        <v>15.377821723354842</v>
      </c>
      <c r="F134" s="90">
        <v>43.1708087455957</v>
      </c>
      <c r="G134" s="90">
        <v>15.0787593865332</v>
      </c>
      <c r="H134" s="90">
        <v>25.474386847857357</v>
      </c>
      <c r="I134" s="90">
        <v>14.18701947266228</v>
      </c>
      <c r="J134" s="90">
        <v>46.025065707709494</v>
      </c>
      <c r="K134" s="90">
        <v>29.317258180634404</v>
      </c>
      <c r="L134" s="90">
        <v>21.157002902237505</v>
      </c>
      <c r="M134" s="90">
        <v>24.013639842365336</v>
      </c>
      <c r="N134" s="90">
        <v>32.482086052385853</v>
      </c>
      <c r="O134" s="90">
        <v>6.8353277721205199</v>
      </c>
      <c r="P134" s="90">
        <v>1.2296370589250201</v>
      </c>
    </row>
    <row r="135" spans="2:16" s="1" customFormat="1" x14ac:dyDescent="0.3">
      <c r="B135" s="296" t="s">
        <v>4</v>
      </c>
      <c r="C135" s="9" t="s">
        <v>175</v>
      </c>
      <c r="D135" s="86">
        <v>15.445450418690044</v>
      </c>
      <c r="E135" s="86">
        <v>17.514567188107442</v>
      </c>
      <c r="F135" s="88">
        <v>73.665389807928378</v>
      </c>
      <c r="G135" s="86">
        <v>12.366953618453252</v>
      </c>
      <c r="H135" s="88">
        <v>20.498788179202013</v>
      </c>
      <c r="I135" s="86">
        <v>13.742843650593727</v>
      </c>
      <c r="J135" s="86">
        <v>36.699451016030899</v>
      </c>
      <c r="K135" s="86">
        <v>14.965350388901227</v>
      </c>
      <c r="L135" s="88">
        <v>25.499877357705774</v>
      </c>
      <c r="M135" s="86">
        <v>22.484556822138522</v>
      </c>
      <c r="N135" s="86">
        <v>41.542185924241231</v>
      </c>
      <c r="O135" s="86">
        <v>2.8678562261856793</v>
      </c>
      <c r="P135" s="86">
        <v>2.7067294018219212</v>
      </c>
    </row>
    <row r="136" spans="2:16" s="1" customFormat="1" x14ac:dyDescent="0.3">
      <c r="B136" s="292"/>
      <c r="C136" s="9" t="s">
        <v>176</v>
      </c>
      <c r="D136" s="86">
        <v>11.387792312848584</v>
      </c>
      <c r="E136" s="86">
        <v>18.045628784166023</v>
      </c>
      <c r="F136" s="88">
        <v>60.746700987531831</v>
      </c>
      <c r="G136" s="86">
        <v>18.541008956835629</v>
      </c>
      <c r="H136" s="88">
        <v>20.015847087131995</v>
      </c>
      <c r="I136" s="86">
        <v>14.327110624453818</v>
      </c>
      <c r="J136" s="86">
        <v>41.018286732016904</v>
      </c>
      <c r="K136" s="86">
        <v>28.479192470988014</v>
      </c>
      <c r="L136" s="88">
        <v>27.29360689244454</v>
      </c>
      <c r="M136" s="86">
        <v>25.211668089508027</v>
      </c>
      <c r="N136" s="86">
        <v>29.026329221932436</v>
      </c>
      <c r="O136" s="86">
        <v>5.1711087287377149</v>
      </c>
      <c r="P136" s="86">
        <v>0.73571911140481072</v>
      </c>
    </row>
    <row r="137" spans="2:16" s="1" customFormat="1" x14ac:dyDescent="0.3">
      <c r="B137" s="292"/>
      <c r="C137" s="9" t="s">
        <v>177</v>
      </c>
      <c r="D137" s="86">
        <v>19.868534916017818</v>
      </c>
      <c r="E137" s="86">
        <v>21.926979822102265</v>
      </c>
      <c r="F137" s="88">
        <v>57.474216208939374</v>
      </c>
      <c r="G137" s="86">
        <v>19.683637259958378</v>
      </c>
      <c r="H137" s="88">
        <v>20.937279076545678</v>
      </c>
      <c r="I137" s="86">
        <v>15.830456699171815</v>
      </c>
      <c r="J137" s="86">
        <v>38.616964047385451</v>
      </c>
      <c r="K137" s="86">
        <v>28.705524674619447</v>
      </c>
      <c r="L137" s="88">
        <v>22.070643244460445</v>
      </c>
      <c r="M137" s="86">
        <v>21.547772283121379</v>
      </c>
      <c r="N137" s="86">
        <v>27.32385324617314</v>
      </c>
      <c r="O137" s="86">
        <v>4.634550143249351</v>
      </c>
      <c r="P137" s="86">
        <v>1.3795883782563096</v>
      </c>
    </row>
    <row r="138" spans="2:16" s="1" customFormat="1" x14ac:dyDescent="0.3">
      <c r="B138" s="292"/>
      <c r="C138" s="9" t="s">
        <v>178</v>
      </c>
      <c r="D138" s="86">
        <v>26.294288033424923</v>
      </c>
      <c r="E138" s="86">
        <v>17.731238896482935</v>
      </c>
      <c r="F138" s="88">
        <v>44.513901379124555</v>
      </c>
      <c r="G138" s="86">
        <v>16.284789349130964</v>
      </c>
      <c r="H138" s="88">
        <v>25.143038375056264</v>
      </c>
      <c r="I138" s="86">
        <v>18.708968554126006</v>
      </c>
      <c r="J138" s="86">
        <v>40.588031607584298</v>
      </c>
      <c r="K138" s="86">
        <v>38.248187117932062</v>
      </c>
      <c r="L138" s="88">
        <v>17.777054739974812</v>
      </c>
      <c r="M138" s="86">
        <v>23.065542962092284</v>
      </c>
      <c r="N138" s="86">
        <v>24.520140960015109</v>
      </c>
      <c r="O138" s="86">
        <v>5.501338066909339</v>
      </c>
      <c r="P138" s="86">
        <v>1.6234799581470192</v>
      </c>
    </row>
    <row r="139" spans="2:16" s="1" customFormat="1" x14ac:dyDescent="0.3">
      <c r="B139" s="292"/>
      <c r="C139" s="9" t="s">
        <v>179</v>
      </c>
      <c r="D139" s="86">
        <v>36.435256477077758</v>
      </c>
      <c r="E139" s="86">
        <v>14.996862410169113</v>
      </c>
      <c r="F139" s="88">
        <v>35.65727232235831</v>
      </c>
      <c r="G139" s="86">
        <v>14.965011120366761</v>
      </c>
      <c r="H139" s="88">
        <v>27.293807208437386</v>
      </c>
      <c r="I139" s="86">
        <v>14.154399048244295</v>
      </c>
      <c r="J139" s="86">
        <v>45.849665569468364</v>
      </c>
      <c r="K139" s="86">
        <v>38.506987789002814</v>
      </c>
      <c r="L139" s="88">
        <v>12.545124332617647</v>
      </c>
      <c r="M139" s="86">
        <v>18.435459137368557</v>
      </c>
      <c r="N139" s="86">
        <v>32.32718895937802</v>
      </c>
      <c r="O139" s="86">
        <v>7.559990334043305</v>
      </c>
      <c r="P139" s="86">
        <v>1.2729752914677321</v>
      </c>
    </row>
    <row r="140" spans="2:16" s="1" customFormat="1" x14ac:dyDescent="0.3">
      <c r="B140" s="298"/>
      <c r="C140" s="12" t="s">
        <v>180</v>
      </c>
      <c r="D140" s="90">
        <v>39.946282056567036</v>
      </c>
      <c r="E140" s="90">
        <v>12.849877167465356</v>
      </c>
      <c r="F140" s="91">
        <v>29.780306663185296</v>
      </c>
      <c r="G140" s="90">
        <v>11.784384348219632</v>
      </c>
      <c r="H140" s="91">
        <v>31.372728732782672</v>
      </c>
      <c r="I140" s="90">
        <v>15.664451922439532</v>
      </c>
      <c r="J140" s="90">
        <v>44.742231108013357</v>
      </c>
      <c r="K140" s="90">
        <v>31.780975609239086</v>
      </c>
      <c r="L140" s="91">
        <v>8.957795664985376</v>
      </c>
      <c r="M140" s="90">
        <v>21.882621836963963</v>
      </c>
      <c r="N140" s="90">
        <v>37.395450387297338</v>
      </c>
      <c r="O140" s="90">
        <v>12.865021109585065</v>
      </c>
      <c r="P140" s="90">
        <v>0.97787339325564027</v>
      </c>
    </row>
    <row r="141" spans="2:16" s="1" customFormat="1" x14ac:dyDescent="0.3">
      <c r="B141" s="292" t="s">
        <v>223</v>
      </c>
      <c r="C141" s="9" t="s">
        <v>210</v>
      </c>
      <c r="D141" s="86">
        <v>21.618573890079762</v>
      </c>
      <c r="E141" s="86">
        <v>20.858069189259652</v>
      </c>
      <c r="F141" s="88">
        <v>77.258624127477418</v>
      </c>
      <c r="G141" s="86">
        <v>15.085989842485992</v>
      </c>
      <c r="H141" s="88">
        <v>14.332297467349722</v>
      </c>
      <c r="I141" s="86">
        <v>21.717832699233373</v>
      </c>
      <c r="J141" s="86">
        <v>28.980555085397615</v>
      </c>
      <c r="K141" s="86">
        <v>18.298222172227785</v>
      </c>
      <c r="L141" s="88">
        <v>21.051773675197143</v>
      </c>
      <c r="M141" s="86">
        <v>17.350490652150526</v>
      </c>
      <c r="N141" s="86">
        <v>37.086658459636439</v>
      </c>
      <c r="O141" s="86">
        <v>2.216611281477658</v>
      </c>
      <c r="P141" s="86">
        <v>4.144301458026928</v>
      </c>
    </row>
    <row r="142" spans="2:16" s="1" customFormat="1" x14ac:dyDescent="0.3">
      <c r="B142" s="292"/>
      <c r="C142" s="9" t="s">
        <v>211</v>
      </c>
      <c r="D142" s="86">
        <v>11.517638073129866</v>
      </c>
      <c r="E142" s="86">
        <v>20.334793400637331</v>
      </c>
      <c r="F142" s="88">
        <v>58.848857911483933</v>
      </c>
      <c r="G142" s="86">
        <v>23.192364083249675</v>
      </c>
      <c r="H142" s="88">
        <v>20.891465785849235</v>
      </c>
      <c r="I142" s="86">
        <v>16.109613228361031</v>
      </c>
      <c r="J142" s="86">
        <v>38.773826371235629</v>
      </c>
      <c r="K142" s="86">
        <v>30.745367069500912</v>
      </c>
      <c r="L142" s="88">
        <v>21.836739101128327</v>
      </c>
      <c r="M142" s="86">
        <v>23.556647240402739</v>
      </c>
      <c r="N142" s="86">
        <v>25.935903085393758</v>
      </c>
      <c r="O142" s="86">
        <v>7.2805293371546744</v>
      </c>
      <c r="P142" s="86">
        <v>0.97625531247280561</v>
      </c>
    </row>
    <row r="143" spans="2:16" s="1" customFormat="1" x14ac:dyDescent="0.3">
      <c r="B143" s="292"/>
      <c r="C143" s="9" t="s">
        <v>212</v>
      </c>
      <c r="D143" s="86">
        <v>21.383780848801244</v>
      </c>
      <c r="E143" s="86">
        <v>23.586521203917677</v>
      </c>
      <c r="F143" s="88">
        <v>60.843089423718844</v>
      </c>
      <c r="G143" s="86">
        <v>20.691582943074785</v>
      </c>
      <c r="H143" s="88">
        <v>20.678158894020232</v>
      </c>
      <c r="I143" s="86">
        <v>17.96753732866118</v>
      </c>
      <c r="J143" s="86">
        <v>35.629200209439418</v>
      </c>
      <c r="K143" s="86">
        <v>31.783553239325951</v>
      </c>
      <c r="L143" s="88">
        <v>17.449259406925353</v>
      </c>
      <c r="M143" s="86">
        <v>20.113354996012557</v>
      </c>
      <c r="N143" s="86">
        <v>24.241404994185416</v>
      </c>
      <c r="O143" s="86">
        <v>3.9797173171401177</v>
      </c>
      <c r="P143" s="86">
        <v>1.652839194777119</v>
      </c>
    </row>
    <row r="144" spans="2:16" s="1" customFormat="1" x14ac:dyDescent="0.3">
      <c r="B144" s="292"/>
      <c r="C144" s="9" t="s">
        <v>213</v>
      </c>
      <c r="D144" s="86">
        <v>29.800543967940534</v>
      </c>
      <c r="E144" s="86">
        <v>20.363352648657539</v>
      </c>
      <c r="F144" s="88">
        <v>47.083602187265342</v>
      </c>
      <c r="G144" s="86">
        <v>15.219878287707052</v>
      </c>
      <c r="H144" s="88">
        <v>26.288416554236139</v>
      </c>
      <c r="I144" s="86">
        <v>20.793080964482161</v>
      </c>
      <c r="J144" s="86">
        <v>37.50735231149914</v>
      </c>
      <c r="K144" s="86">
        <v>41.629190273349671</v>
      </c>
      <c r="L144" s="88">
        <v>13.59460433233806</v>
      </c>
      <c r="M144" s="86">
        <v>18.508850735523417</v>
      </c>
      <c r="N144" s="86">
        <v>23.159516515298066</v>
      </c>
      <c r="O144" s="86">
        <v>4.394662087093983</v>
      </c>
      <c r="P144" s="86">
        <v>1.6569491346092928</v>
      </c>
    </row>
    <row r="145" spans="2:16" s="1" customFormat="1" x14ac:dyDescent="0.3">
      <c r="B145" s="292"/>
      <c r="C145" s="9" t="s">
        <v>214</v>
      </c>
      <c r="D145" s="86">
        <v>38.466678526932633</v>
      </c>
      <c r="E145" s="86">
        <v>15.884776414552251</v>
      </c>
      <c r="F145" s="88">
        <v>40.71134894961591</v>
      </c>
      <c r="G145" s="86">
        <v>15.01569965058315</v>
      </c>
      <c r="H145" s="88">
        <v>25.074189501097649</v>
      </c>
      <c r="I145" s="86">
        <v>14.812607620784776</v>
      </c>
      <c r="J145" s="86">
        <v>38.958561460070761</v>
      </c>
      <c r="K145" s="86">
        <v>39.312850371487286</v>
      </c>
      <c r="L145" s="88">
        <v>12.291668362047115</v>
      </c>
      <c r="M145" s="86">
        <v>18.969896685844926</v>
      </c>
      <c r="N145" s="86">
        <v>30.370785895249913</v>
      </c>
      <c r="O145" s="86">
        <v>8.9964423891426097</v>
      </c>
      <c r="P145" s="86">
        <v>1.1344941725910864</v>
      </c>
    </row>
    <row r="146" spans="2:16" s="1" customFormat="1" x14ac:dyDescent="0.3">
      <c r="B146" s="292"/>
      <c r="C146" s="12" t="s">
        <v>215</v>
      </c>
      <c r="D146" s="90">
        <v>40.479991800123635</v>
      </c>
      <c r="E146" s="90">
        <v>12.143907412730574</v>
      </c>
      <c r="F146" s="91">
        <v>30.348337663755014</v>
      </c>
      <c r="G146" s="90">
        <v>10.893756845999132</v>
      </c>
      <c r="H146" s="91">
        <v>32.507541595177962</v>
      </c>
      <c r="I146" s="90">
        <v>14.737212963623325</v>
      </c>
      <c r="J146" s="90">
        <v>43.257828246478347</v>
      </c>
      <c r="K146" s="90">
        <v>39.296393275086224</v>
      </c>
      <c r="L146" s="91">
        <v>4.1265269315378177</v>
      </c>
      <c r="M146" s="90">
        <v>18.990405724482425</v>
      </c>
      <c r="N146" s="90">
        <v>39.616177524409167</v>
      </c>
      <c r="O146" s="90">
        <v>13.023203872967089</v>
      </c>
      <c r="P146" s="90">
        <v>0.57871614362944224</v>
      </c>
    </row>
    <row r="147" spans="2:16" s="1" customFormat="1" x14ac:dyDescent="0.3">
      <c r="B147" s="292"/>
      <c r="C147" s="9" t="s">
        <v>216</v>
      </c>
      <c r="D147" s="86">
        <v>8.8819241778139304</v>
      </c>
      <c r="E147" s="86">
        <v>13.959614298748836</v>
      </c>
      <c r="F147" s="88">
        <v>69.844910944143862</v>
      </c>
      <c r="G147" s="86">
        <v>9.4759591828091576</v>
      </c>
      <c r="H147" s="88">
        <v>27.055262189311136</v>
      </c>
      <c r="I147" s="86">
        <v>5.263497638150854</v>
      </c>
      <c r="J147" s="86">
        <v>44.906507982590774</v>
      </c>
      <c r="K147" s="86">
        <v>11.421699997211467</v>
      </c>
      <c r="L147" s="88">
        <v>30.229289522810319</v>
      </c>
      <c r="M147" s="86">
        <v>27.943313347143565</v>
      </c>
      <c r="N147" s="86">
        <v>46.279491368788641</v>
      </c>
      <c r="O147" s="86">
        <v>3.5602874246931537</v>
      </c>
      <c r="P147" s="86">
        <v>1.178241925784508</v>
      </c>
    </row>
    <row r="148" spans="2:16" s="1" customFormat="1" x14ac:dyDescent="0.3">
      <c r="B148" s="292"/>
      <c r="C148" s="9" t="s">
        <v>217</v>
      </c>
      <c r="D148" s="86">
        <v>11.24628091368306</v>
      </c>
      <c r="E148" s="86">
        <v>15.550800403976734</v>
      </c>
      <c r="F148" s="88">
        <v>62.815050608699941</v>
      </c>
      <c r="G148" s="86">
        <v>13.471765490367774</v>
      </c>
      <c r="H148" s="88">
        <v>19.061560809917193</v>
      </c>
      <c r="I148" s="86">
        <v>12.38446392618185</v>
      </c>
      <c r="J148" s="86">
        <v>43.464394524351171</v>
      </c>
      <c r="K148" s="86">
        <v>26.009419584340232</v>
      </c>
      <c r="L148" s="88">
        <v>33.240732116536783</v>
      </c>
      <c r="M148" s="86">
        <v>27.015379781731053</v>
      </c>
      <c r="N148" s="86">
        <v>32.394406282375485</v>
      </c>
      <c r="O148" s="86">
        <v>2.8721729677320469</v>
      </c>
      <c r="P148" s="86">
        <v>0.47357259010640912</v>
      </c>
    </row>
    <row r="149" spans="2:16" s="1" customFormat="1" x14ac:dyDescent="0.3">
      <c r="B149" s="292"/>
      <c r="C149" s="9" t="s">
        <v>218</v>
      </c>
      <c r="D149" s="86">
        <v>18.219481897823453</v>
      </c>
      <c r="E149" s="86">
        <v>20.12088903162968</v>
      </c>
      <c r="F149" s="88">
        <v>53.8078473228395</v>
      </c>
      <c r="G149" s="86">
        <v>18.586682742571309</v>
      </c>
      <c r="H149" s="88">
        <v>21.21928142997454</v>
      </c>
      <c r="I149" s="86">
        <v>13.504656519850187</v>
      </c>
      <c r="J149" s="86">
        <v>41.86856886480637</v>
      </c>
      <c r="K149" s="86">
        <v>25.355684107554801</v>
      </c>
      <c r="L149" s="88">
        <v>27.100128426131214</v>
      </c>
      <c r="M149" s="86">
        <v>23.108858906407288</v>
      </c>
      <c r="N149" s="86">
        <v>30.678503790610051</v>
      </c>
      <c r="O149" s="86">
        <v>5.3472094053167396</v>
      </c>
      <c r="P149" s="86">
        <v>1.0822075544847116</v>
      </c>
    </row>
    <row r="150" spans="2:16" s="1" customFormat="1" x14ac:dyDescent="0.3">
      <c r="B150" s="292"/>
      <c r="C150" s="9" t="s">
        <v>219</v>
      </c>
      <c r="D150" s="86">
        <v>22.667800312834686</v>
      </c>
      <c r="E150" s="86">
        <v>15.008868259618247</v>
      </c>
      <c r="F150" s="88">
        <v>41.856083866552844</v>
      </c>
      <c r="G150" s="86">
        <v>17.38621690031389</v>
      </c>
      <c r="H150" s="88">
        <v>23.958384436551995</v>
      </c>
      <c r="I150" s="86">
        <v>16.553390579887083</v>
      </c>
      <c r="J150" s="86">
        <v>43.774349391277859</v>
      </c>
      <c r="K150" s="86">
        <v>34.751247175328281</v>
      </c>
      <c r="L150" s="88">
        <v>22.102924079962687</v>
      </c>
      <c r="M150" s="86">
        <v>27.778487115281479</v>
      </c>
      <c r="N150" s="86">
        <v>25.927422097860074</v>
      </c>
      <c r="O150" s="86">
        <v>6.645962682575564</v>
      </c>
      <c r="P150" s="86">
        <v>1.5888631019546611</v>
      </c>
    </row>
    <row r="151" spans="2:16" s="1" customFormat="1" x14ac:dyDescent="0.3">
      <c r="B151" s="292"/>
      <c r="C151" s="9" t="s">
        <v>220</v>
      </c>
      <c r="D151" s="86">
        <v>34.367210877278083</v>
      </c>
      <c r="E151" s="86">
        <v>14.092940623016915</v>
      </c>
      <c r="F151" s="88">
        <v>30.512078131521591</v>
      </c>
      <c r="G151" s="86">
        <v>14.913408750548159</v>
      </c>
      <c r="H151" s="88">
        <v>29.553441356461864</v>
      </c>
      <c r="I151" s="86">
        <v>13.484323943816804</v>
      </c>
      <c r="J151" s="86">
        <v>52.865006144422267</v>
      </c>
      <c r="K151" s="86">
        <v>37.686596690132426</v>
      </c>
      <c r="L151" s="88">
        <v>12.803149741330161</v>
      </c>
      <c r="M151" s="86">
        <v>17.891386466417025</v>
      </c>
      <c r="N151" s="86">
        <v>34.318863091542916</v>
      </c>
      <c r="O151" s="86">
        <v>6.0976411623958953</v>
      </c>
      <c r="P151" s="86">
        <v>1.4139530211171027</v>
      </c>
    </row>
    <row r="152" spans="2:16" s="1" customFormat="1" x14ac:dyDescent="0.3">
      <c r="B152" s="295"/>
      <c r="C152" s="9" t="s">
        <v>221</v>
      </c>
      <c r="D152" s="90">
        <v>39.42855141701822</v>
      </c>
      <c r="E152" s="90">
        <v>13.534710406944134</v>
      </c>
      <c r="F152" s="91">
        <v>29.229282334401503</v>
      </c>
      <c r="G152" s="90">
        <v>12.64834673955988</v>
      </c>
      <c r="H152" s="91">
        <v>30.271891815133039</v>
      </c>
      <c r="I152" s="90">
        <v>16.563929634732748</v>
      </c>
      <c r="J152" s="90">
        <v>46.182191408775346</v>
      </c>
      <c r="K152" s="90">
        <v>24.490567214801569</v>
      </c>
      <c r="L152" s="91">
        <v>13.644417712642529</v>
      </c>
      <c r="M152" s="90">
        <v>24.688245897059112</v>
      </c>
      <c r="N152" s="90">
        <v>35.241211131144404</v>
      </c>
      <c r="O152" s="90">
        <v>12.711574289023678</v>
      </c>
      <c r="P152" s="90">
        <v>1.3650799987647106</v>
      </c>
    </row>
    <row r="153" spans="2:16" s="1" customFormat="1" ht="16.5" customHeight="1" x14ac:dyDescent="0.3">
      <c r="B153" s="291" t="s">
        <v>222</v>
      </c>
      <c r="C153" s="13" t="s">
        <v>226</v>
      </c>
      <c r="D153" s="80">
        <v>28.044894675311845</v>
      </c>
      <c r="E153" s="80">
        <v>16.423067896961882</v>
      </c>
      <c r="F153" s="80">
        <v>45.528829374647145</v>
      </c>
      <c r="G153" s="80">
        <v>16.612276231602173</v>
      </c>
      <c r="H153" s="80">
        <v>27.834350988672409</v>
      </c>
      <c r="I153" s="80">
        <v>15.353741966608172</v>
      </c>
      <c r="J153" s="80">
        <v>41.537416067576956</v>
      </c>
      <c r="K153" s="80">
        <v>34.828279013787913</v>
      </c>
      <c r="L153" s="80">
        <v>17.168167790094419</v>
      </c>
      <c r="M153" s="80">
        <v>21.09558386427037</v>
      </c>
      <c r="N153" s="80">
        <v>27.479478623215002</v>
      </c>
      <c r="O153" s="80">
        <v>7.2220226623675705</v>
      </c>
      <c r="P153" s="80">
        <v>0.8718908448840903</v>
      </c>
    </row>
    <row r="154" spans="2:16" s="1" customFormat="1" x14ac:dyDescent="0.3">
      <c r="B154" s="294"/>
      <c r="C154" s="9" t="s">
        <v>227</v>
      </c>
      <c r="D154" s="79">
        <v>27.660869368091092</v>
      </c>
      <c r="E154" s="79">
        <v>17.89755245634516</v>
      </c>
      <c r="F154" s="79">
        <v>47.609264836076001</v>
      </c>
      <c r="G154" s="79">
        <v>17.101018205676279</v>
      </c>
      <c r="H154" s="79">
        <v>24.057575741542632</v>
      </c>
      <c r="I154" s="79">
        <v>14.932684508889595</v>
      </c>
      <c r="J154" s="79">
        <v>41.360142332486205</v>
      </c>
      <c r="K154" s="79">
        <v>32.010717310800487</v>
      </c>
      <c r="L154" s="79">
        <v>17.254708044570403</v>
      </c>
      <c r="M154" s="79">
        <v>21.887777720980932</v>
      </c>
      <c r="N154" s="79">
        <v>30.417896127988918</v>
      </c>
      <c r="O154" s="79">
        <v>6.5035275257107967</v>
      </c>
      <c r="P154" s="79">
        <v>1.3062658208414768</v>
      </c>
    </row>
    <row r="155" spans="2:16" s="1" customFormat="1" x14ac:dyDescent="0.3">
      <c r="B155" s="292"/>
      <c r="C155" s="9" t="s">
        <v>228</v>
      </c>
      <c r="D155" s="79">
        <v>29.717948667644617</v>
      </c>
      <c r="E155" s="79">
        <v>16.442171513699318</v>
      </c>
      <c r="F155" s="79">
        <v>45.683839863291652</v>
      </c>
      <c r="G155" s="79">
        <v>14.874342447720846</v>
      </c>
      <c r="H155" s="79">
        <v>25.022649337137842</v>
      </c>
      <c r="I155" s="79">
        <v>16.507754876381931</v>
      </c>
      <c r="J155" s="79">
        <v>43.191014737285492</v>
      </c>
      <c r="K155" s="79">
        <v>32.898517418888332</v>
      </c>
      <c r="L155" s="79">
        <v>16.862193342171338</v>
      </c>
      <c r="M155" s="79">
        <v>20.656756187704865</v>
      </c>
      <c r="N155" s="79">
        <v>30.786359719008296</v>
      </c>
      <c r="O155" s="79">
        <v>6.8212292322316195</v>
      </c>
      <c r="P155" s="79">
        <v>0.53522265683408632</v>
      </c>
    </row>
    <row r="156" spans="2:16" s="1" customFormat="1" x14ac:dyDescent="0.3">
      <c r="B156" s="295"/>
      <c r="C156" s="12" t="s">
        <v>229</v>
      </c>
      <c r="D156" s="81">
        <v>24.06277610865039</v>
      </c>
      <c r="E156" s="81">
        <v>16.541729856562821</v>
      </c>
      <c r="F156" s="81">
        <v>43.513068347988529</v>
      </c>
      <c r="G156" s="81">
        <v>14.190419857029745</v>
      </c>
      <c r="H156" s="81">
        <v>23.558396099268776</v>
      </c>
      <c r="I156" s="81">
        <v>16.203018563477098</v>
      </c>
      <c r="J156" s="81">
        <v>42.913763305079137</v>
      </c>
      <c r="K156" s="81">
        <v>31.256168466880833</v>
      </c>
      <c r="L156" s="81">
        <v>18.455897069638301</v>
      </c>
      <c r="M156" s="81">
        <v>23.672722409158663</v>
      </c>
      <c r="N156" s="81">
        <v>35.208523774908187</v>
      </c>
      <c r="O156" s="81">
        <v>8.0173508074011188</v>
      </c>
      <c r="P156" s="81">
        <v>2.4061653339567992</v>
      </c>
    </row>
    <row r="157" spans="2:16" s="1" customFormat="1" x14ac:dyDescent="0.3">
      <c r="B157" s="296" t="s">
        <v>199</v>
      </c>
      <c r="C157" s="13" t="s">
        <v>192</v>
      </c>
      <c r="D157" s="80">
        <v>26.715585141847914</v>
      </c>
      <c r="E157" s="80">
        <v>17.443506189957432</v>
      </c>
      <c r="F157" s="80">
        <v>45.802103297027699</v>
      </c>
      <c r="G157" s="80">
        <v>17.415680149846846</v>
      </c>
      <c r="H157" s="80">
        <v>23.431765816935812</v>
      </c>
      <c r="I157" s="80">
        <v>15.935776240838958</v>
      </c>
      <c r="J157" s="80">
        <v>41.838235363475277</v>
      </c>
      <c r="K157" s="80">
        <v>30.90372979899557</v>
      </c>
      <c r="L157" s="80">
        <v>18.85742339774735</v>
      </c>
      <c r="M157" s="80">
        <v>21.951064892338948</v>
      </c>
      <c r="N157" s="80">
        <v>30.918232845339006</v>
      </c>
      <c r="O157" s="80">
        <v>7.4220216964453316</v>
      </c>
      <c r="P157" s="80">
        <v>1.364875169201996</v>
      </c>
    </row>
    <row r="158" spans="2:16" s="1" customFormat="1" ht="16.5" customHeight="1" x14ac:dyDescent="0.3">
      <c r="B158" s="292"/>
      <c r="C158" s="9" t="s">
        <v>200</v>
      </c>
      <c r="D158" s="79">
        <v>30.885180597827581</v>
      </c>
      <c r="E158" s="79">
        <v>13.432063765557983</v>
      </c>
      <c r="F158" s="79">
        <v>50.337344926315339</v>
      </c>
      <c r="G158" s="79">
        <v>14.589096021942952</v>
      </c>
      <c r="H158" s="79">
        <v>28.756134936019233</v>
      </c>
      <c r="I158" s="79">
        <v>9.7128926816102776</v>
      </c>
      <c r="J158" s="79">
        <v>45.542497568481828</v>
      </c>
      <c r="K158" s="79">
        <v>31.904168009519019</v>
      </c>
      <c r="L158" s="79">
        <v>18.86090802107616</v>
      </c>
      <c r="M158" s="79">
        <v>21.988431926997944</v>
      </c>
      <c r="N158" s="79">
        <v>27.309703074828722</v>
      </c>
      <c r="O158" s="79">
        <v>5.4163554344080778</v>
      </c>
      <c r="P158" s="79">
        <v>1.2652230354146274</v>
      </c>
    </row>
    <row r="159" spans="2:16" s="1" customFormat="1" ht="16.5" customHeight="1" x14ac:dyDescent="0.3">
      <c r="B159" s="292"/>
      <c r="C159" s="9" t="s">
        <v>201</v>
      </c>
      <c r="D159" s="79">
        <v>28.476096780428396</v>
      </c>
      <c r="E159" s="79">
        <v>17.57966800787576</v>
      </c>
      <c r="F159" s="79">
        <v>45.592173535043038</v>
      </c>
      <c r="G159" s="79">
        <v>15.78157033885188</v>
      </c>
      <c r="H159" s="79">
        <v>27.572004696844687</v>
      </c>
      <c r="I159" s="79">
        <v>14.023517293580348</v>
      </c>
      <c r="J159" s="79">
        <v>44.414073385025283</v>
      </c>
      <c r="K159" s="79">
        <v>35.278012897441933</v>
      </c>
      <c r="L159" s="79">
        <v>17.439549599548556</v>
      </c>
      <c r="M159" s="79">
        <v>17.447649406072703</v>
      </c>
      <c r="N159" s="79">
        <v>28.641503203630286</v>
      </c>
      <c r="O159" s="79">
        <v>6.5813259853413175</v>
      </c>
      <c r="P159" s="79">
        <v>1.1728548703164374</v>
      </c>
    </row>
    <row r="160" spans="2:16" s="1" customFormat="1" x14ac:dyDescent="0.3">
      <c r="B160" s="292"/>
      <c r="C160" s="9" t="s">
        <v>202</v>
      </c>
      <c r="D160" s="79">
        <v>30.455644409829446</v>
      </c>
      <c r="E160" s="79">
        <v>18.895428579604896</v>
      </c>
      <c r="F160" s="79">
        <v>46.719988362189504</v>
      </c>
      <c r="G160" s="79">
        <v>13.493427901297613</v>
      </c>
      <c r="H160" s="79">
        <v>25.690815837054398</v>
      </c>
      <c r="I160" s="79">
        <v>14.647072057075682</v>
      </c>
      <c r="J160" s="79">
        <v>42.300201562329718</v>
      </c>
      <c r="K160" s="79">
        <v>35.099248530106713</v>
      </c>
      <c r="L160" s="79">
        <v>13.463009318923316</v>
      </c>
      <c r="M160" s="79">
        <v>19.343117309593818</v>
      </c>
      <c r="N160" s="79">
        <v>31.002488866203699</v>
      </c>
      <c r="O160" s="79">
        <v>7.9826911723675371</v>
      </c>
      <c r="P160" s="79">
        <v>0.9068660934236763</v>
      </c>
    </row>
    <row r="161" spans="2:17" s="1" customFormat="1" x14ac:dyDescent="0.3">
      <c r="B161" s="295"/>
      <c r="C161" s="12" t="s">
        <v>203</v>
      </c>
      <c r="D161" s="81">
        <v>26.438222023390562</v>
      </c>
      <c r="E161" s="81">
        <v>15.231666720897319</v>
      </c>
      <c r="F161" s="81">
        <v>44.393690982696228</v>
      </c>
      <c r="G161" s="81">
        <v>13.555747510841062</v>
      </c>
      <c r="H161" s="81">
        <v>26.878104738411597</v>
      </c>
      <c r="I161" s="81">
        <v>17.232564462341365</v>
      </c>
      <c r="J161" s="81">
        <v>41.163646754169761</v>
      </c>
      <c r="K161" s="81">
        <v>34.895625883972691</v>
      </c>
      <c r="L161" s="81">
        <v>15.610984459644417</v>
      </c>
      <c r="M161" s="81">
        <v>24.479183482659302</v>
      </c>
      <c r="N161" s="81">
        <v>32.181719422504358</v>
      </c>
      <c r="O161" s="81">
        <v>6.6194975056001217</v>
      </c>
      <c r="P161" s="81">
        <v>1.3193460528717009</v>
      </c>
    </row>
    <row r="162" spans="2:17" s="1" customFormat="1" x14ac:dyDescent="0.3">
      <c r="B162" s="291" t="s">
        <v>204</v>
      </c>
      <c r="C162" s="13" t="s">
        <v>192</v>
      </c>
      <c r="D162" s="80">
        <v>26.715585141847914</v>
      </c>
      <c r="E162" s="80">
        <v>17.443506189957432</v>
      </c>
      <c r="F162" s="80">
        <v>45.802103297027699</v>
      </c>
      <c r="G162" s="80">
        <v>17.415680149846846</v>
      </c>
      <c r="H162" s="80">
        <v>23.431765816935812</v>
      </c>
      <c r="I162" s="80">
        <v>15.935776240838958</v>
      </c>
      <c r="J162" s="80">
        <v>41.838235363475277</v>
      </c>
      <c r="K162" s="80">
        <v>30.90372979899557</v>
      </c>
      <c r="L162" s="80">
        <v>18.85742339774735</v>
      </c>
      <c r="M162" s="80">
        <v>21.951064892338948</v>
      </c>
      <c r="N162" s="80">
        <v>30.918232845339006</v>
      </c>
      <c r="O162" s="80">
        <v>7.4220216964453316</v>
      </c>
      <c r="P162" s="80">
        <v>1.364875169201996</v>
      </c>
    </row>
    <row r="163" spans="2:17" s="1" customFormat="1" x14ac:dyDescent="0.3">
      <c r="B163" s="295"/>
      <c r="C163" s="12" t="s">
        <v>193</v>
      </c>
      <c r="D163" s="81">
        <v>28.048057193265201</v>
      </c>
      <c r="E163" s="81">
        <v>16.30181476970488</v>
      </c>
      <c r="F163" s="81">
        <v>45.621406957163458</v>
      </c>
      <c r="G163" s="81">
        <v>14.126935462546687</v>
      </c>
      <c r="H163" s="81">
        <v>26.966069047187275</v>
      </c>
      <c r="I163" s="81">
        <v>15.37259875670602</v>
      </c>
      <c r="J163" s="81">
        <v>42.482258711210633</v>
      </c>
      <c r="K163" s="81">
        <v>34.760821797486734</v>
      </c>
      <c r="L163" s="81">
        <v>15.884504684644918</v>
      </c>
      <c r="M163" s="81">
        <v>21.71555622896328</v>
      </c>
      <c r="N163" s="81">
        <v>30.747941689436203</v>
      </c>
      <c r="O163" s="81">
        <v>6.7692363338351909</v>
      </c>
      <c r="P163" s="81">
        <v>1.2027983678507392</v>
      </c>
    </row>
    <row r="164" spans="2:17" s="1" customFormat="1" x14ac:dyDescent="0.3">
      <c r="B164" s="291" t="s">
        <v>209</v>
      </c>
      <c r="C164" s="13" t="s">
        <v>205</v>
      </c>
      <c r="D164" s="80">
        <v>24.968318012603049</v>
      </c>
      <c r="E164" s="80">
        <v>18.068089010239316</v>
      </c>
      <c r="F164" s="80">
        <v>47.059954320718354</v>
      </c>
      <c r="G164" s="80">
        <v>17.335587182518847</v>
      </c>
      <c r="H164" s="80">
        <v>25.987019220178436</v>
      </c>
      <c r="I164" s="80">
        <v>12.945626535562138</v>
      </c>
      <c r="J164" s="80">
        <v>44.246540531035464</v>
      </c>
      <c r="K164" s="80">
        <v>36.076985051728343</v>
      </c>
      <c r="L164" s="80">
        <v>17.766780442500629</v>
      </c>
      <c r="M164" s="80">
        <v>23.390819948438782</v>
      </c>
      <c r="N164" s="80">
        <v>24.01203994251858</v>
      </c>
      <c r="O164" s="80">
        <v>6.7082960249172778</v>
      </c>
      <c r="P164" s="80">
        <v>1.4339437770410259</v>
      </c>
    </row>
    <row r="165" spans="2:17" s="1" customFormat="1" x14ac:dyDescent="0.3">
      <c r="B165" s="292"/>
      <c r="C165" s="9" t="s">
        <v>206</v>
      </c>
      <c r="D165" s="79">
        <v>30.972921707862653</v>
      </c>
      <c r="E165" s="79">
        <v>16.160146224976369</v>
      </c>
      <c r="F165" s="79">
        <v>38.449794020046525</v>
      </c>
      <c r="G165" s="79">
        <v>14.275734627984232</v>
      </c>
      <c r="H165" s="79">
        <v>27.432392031407954</v>
      </c>
      <c r="I165" s="79">
        <v>12.533078942407611</v>
      </c>
      <c r="J165" s="79">
        <v>41.939531211385514</v>
      </c>
      <c r="K165" s="79">
        <v>30.856146627247739</v>
      </c>
      <c r="L165" s="79">
        <v>15.519803840304846</v>
      </c>
      <c r="M165" s="79">
        <v>24.534657541428434</v>
      </c>
      <c r="N165" s="79">
        <v>36.277587593462819</v>
      </c>
      <c r="O165" s="79">
        <v>9.5697675390004662</v>
      </c>
      <c r="P165" s="79">
        <v>1.4784380924845792</v>
      </c>
    </row>
    <row r="166" spans="2:17" s="1" customFormat="1" x14ac:dyDescent="0.3">
      <c r="B166" s="292"/>
      <c r="C166" s="9" t="s">
        <v>207</v>
      </c>
      <c r="D166" s="79">
        <v>28.72656682477432</v>
      </c>
      <c r="E166" s="79">
        <v>16.385032130249826</v>
      </c>
      <c r="F166" s="79">
        <v>45.697693809193431</v>
      </c>
      <c r="G166" s="79">
        <v>13.896452181350019</v>
      </c>
      <c r="H166" s="79">
        <v>23.675162875522204</v>
      </c>
      <c r="I166" s="79">
        <v>17.948617873843201</v>
      </c>
      <c r="J166" s="79">
        <v>42.065326393554706</v>
      </c>
      <c r="K166" s="79">
        <v>33.475261418253176</v>
      </c>
      <c r="L166" s="79">
        <v>16.239932240502363</v>
      </c>
      <c r="M166" s="79">
        <v>21.145050794242643</v>
      </c>
      <c r="N166" s="79">
        <v>32.621029116581994</v>
      </c>
      <c r="O166" s="79">
        <v>6.7719570000464522</v>
      </c>
      <c r="P166" s="79">
        <v>1.3519173418857309</v>
      </c>
    </row>
    <row r="167" spans="2:17" s="1" customFormat="1" x14ac:dyDescent="0.3">
      <c r="B167" s="293"/>
      <c r="C167" s="25" t="s">
        <v>208</v>
      </c>
      <c r="D167" s="82">
        <v>24.600080765931622</v>
      </c>
      <c r="E167" s="82">
        <v>17.379722853944841</v>
      </c>
      <c r="F167" s="82">
        <v>50.129207085492631</v>
      </c>
      <c r="G167" s="82">
        <v>18.102542077980754</v>
      </c>
      <c r="H167" s="82">
        <v>24.570721684399992</v>
      </c>
      <c r="I167" s="82">
        <v>16.803351982143411</v>
      </c>
      <c r="J167" s="82">
        <v>41.469706042317647</v>
      </c>
      <c r="K167" s="82">
        <v>31.954788455560628</v>
      </c>
      <c r="L167" s="82">
        <v>19.720292033809461</v>
      </c>
      <c r="M167" s="82">
        <v>19.985344168326812</v>
      </c>
      <c r="N167" s="82">
        <v>28.338537412237812</v>
      </c>
      <c r="O167" s="82">
        <v>5.9144343244721345</v>
      </c>
      <c r="P167" s="82">
        <v>1.0312711133820835</v>
      </c>
    </row>
    <row r="171" spans="2:17" ht="17.25" x14ac:dyDescent="0.3">
      <c r="B171" s="33" t="s">
        <v>142</v>
      </c>
    </row>
    <row r="173" spans="2:17" x14ac:dyDescent="0.3">
      <c r="B173" s="17" t="s">
        <v>495</v>
      </c>
    </row>
    <row r="174" spans="2:17" ht="13.5" customHeight="1" x14ac:dyDescent="0.3">
      <c r="J174" s="30"/>
      <c r="K174" s="30" t="s">
        <v>52</v>
      </c>
    </row>
    <row r="175" spans="2:17" s="22" customFormat="1" ht="33.75" customHeight="1" x14ac:dyDescent="0.3">
      <c r="B175" s="213"/>
      <c r="C175" s="213"/>
      <c r="D175" s="202" t="s">
        <v>39</v>
      </c>
      <c r="E175" s="202" t="s">
        <v>40</v>
      </c>
      <c r="F175" s="202" t="s">
        <v>385</v>
      </c>
      <c r="G175" s="202" t="s">
        <v>117</v>
      </c>
      <c r="H175" s="202" t="s">
        <v>115</v>
      </c>
      <c r="I175" s="202" t="s">
        <v>119</v>
      </c>
      <c r="J175" s="202" t="s">
        <v>300</v>
      </c>
      <c r="K175" s="202" t="s">
        <v>38</v>
      </c>
      <c r="L175" s="64"/>
      <c r="M175" s="64"/>
      <c r="N175" s="64"/>
      <c r="O175" s="64"/>
      <c r="P175" s="64"/>
      <c r="Q175" s="39"/>
    </row>
    <row r="176" spans="2:17" s="1" customFormat="1" ht="21.75" customHeight="1" x14ac:dyDescent="0.3">
      <c r="B176" s="292" t="s">
        <v>20</v>
      </c>
      <c r="C176" s="292"/>
      <c r="D176" s="86">
        <v>24.64732161054344</v>
      </c>
      <c r="E176" s="86">
        <v>16.060472145619851</v>
      </c>
      <c r="F176" s="88">
        <v>14.1968986742627</v>
      </c>
      <c r="G176" s="88">
        <v>12.918101530183979</v>
      </c>
      <c r="H176" s="88">
        <v>25.912294002143316</v>
      </c>
      <c r="I176" s="86">
        <v>1.37754361119713</v>
      </c>
      <c r="J176" s="86">
        <v>3.9264021750402098</v>
      </c>
      <c r="K176" s="86">
        <v>0.96096625100856381</v>
      </c>
      <c r="L176" s="58"/>
      <c r="M176" s="65"/>
      <c r="N176" s="58"/>
      <c r="O176" s="58"/>
      <c r="P176" s="58"/>
    </row>
    <row r="177" spans="2:16" s="1" customFormat="1" x14ac:dyDescent="0.3">
      <c r="B177" s="296" t="s">
        <v>5</v>
      </c>
      <c r="C177" s="13" t="s">
        <v>0</v>
      </c>
      <c r="D177" s="84">
        <v>24.186873449694509</v>
      </c>
      <c r="E177" s="84">
        <v>14.87796849421683</v>
      </c>
      <c r="F177" s="89">
        <v>14.058365332583955</v>
      </c>
      <c r="G177" s="89">
        <v>14.975832312182968</v>
      </c>
      <c r="H177" s="89">
        <v>25.994452809533136</v>
      </c>
      <c r="I177" s="84">
        <v>1.5397159931438451</v>
      </c>
      <c r="J177" s="84">
        <v>3.4465790683090294</v>
      </c>
      <c r="K177" s="84">
        <v>0.92021254033564304</v>
      </c>
      <c r="L177" s="58"/>
      <c r="M177" s="65"/>
      <c r="N177" s="58"/>
      <c r="O177" s="58"/>
      <c r="P177" s="58"/>
    </row>
    <row r="178" spans="2:16" s="1" customFormat="1" x14ac:dyDescent="0.3">
      <c r="B178" s="295"/>
      <c r="C178" s="12" t="s">
        <v>1</v>
      </c>
      <c r="D178" s="90">
        <v>25.124415152183644</v>
      </c>
      <c r="E178" s="90">
        <v>17.285723765714913</v>
      </c>
      <c r="F178" s="91">
        <v>14.340440050331937</v>
      </c>
      <c r="G178" s="91">
        <v>10.785982977001179</v>
      </c>
      <c r="H178" s="91">
        <v>25.827165121788969</v>
      </c>
      <c r="I178" s="90">
        <v>1.2095086343249251</v>
      </c>
      <c r="J178" s="90">
        <v>4.4235710744206038</v>
      </c>
      <c r="K178" s="90">
        <v>1.0031932242340951</v>
      </c>
      <c r="L178" s="58"/>
      <c r="M178" s="65"/>
      <c r="N178" s="58"/>
      <c r="O178" s="58"/>
      <c r="P178" s="58"/>
    </row>
    <row r="179" spans="2:16" s="1" customFormat="1" x14ac:dyDescent="0.3">
      <c r="B179" s="296" t="s">
        <v>4</v>
      </c>
      <c r="C179" s="9" t="s">
        <v>175</v>
      </c>
      <c r="D179" s="86">
        <v>27.94437894224772</v>
      </c>
      <c r="E179" s="86">
        <v>17.366500047224392</v>
      </c>
      <c r="F179" s="88">
        <v>16.488204357027676</v>
      </c>
      <c r="G179" s="88">
        <v>8.7015061294041161</v>
      </c>
      <c r="H179" s="88">
        <v>17.151157410857358</v>
      </c>
      <c r="I179" s="86">
        <v>5.4162649084668555</v>
      </c>
      <c r="J179" s="86">
        <v>4.7994389705868752</v>
      </c>
      <c r="K179" s="86">
        <v>2.132549234185062</v>
      </c>
      <c r="L179" s="58"/>
      <c r="M179" s="65"/>
      <c r="N179" s="58"/>
      <c r="O179" s="58"/>
      <c r="P179" s="58"/>
    </row>
    <row r="180" spans="2:16" s="1" customFormat="1" x14ac:dyDescent="0.3">
      <c r="B180" s="292"/>
      <c r="C180" s="9" t="s">
        <v>176</v>
      </c>
      <c r="D180" s="86">
        <v>27.551265518020955</v>
      </c>
      <c r="E180" s="86">
        <v>16.979695591383955</v>
      </c>
      <c r="F180" s="88">
        <v>16.977508727354483</v>
      </c>
      <c r="G180" s="88">
        <v>10.462121228754251</v>
      </c>
      <c r="H180" s="88">
        <v>19.595517260113386</v>
      </c>
      <c r="I180" s="86">
        <v>1.5158248611137786</v>
      </c>
      <c r="J180" s="86">
        <v>5.8312120322440641</v>
      </c>
      <c r="K180" s="86">
        <v>1.0868547810151774</v>
      </c>
      <c r="L180" s="58"/>
      <c r="M180" s="65"/>
      <c r="N180" s="58"/>
      <c r="O180" s="58"/>
      <c r="P180" s="58"/>
    </row>
    <row r="181" spans="2:16" s="1" customFormat="1" x14ac:dyDescent="0.3">
      <c r="B181" s="292"/>
      <c r="C181" s="9" t="s">
        <v>177</v>
      </c>
      <c r="D181" s="86">
        <v>24.749712651153637</v>
      </c>
      <c r="E181" s="86">
        <v>16.290184102849654</v>
      </c>
      <c r="F181" s="88">
        <v>18.312648268749466</v>
      </c>
      <c r="G181" s="88">
        <v>9.7322696572234744</v>
      </c>
      <c r="H181" s="88">
        <v>24.323134783301988</v>
      </c>
      <c r="I181" s="86">
        <v>1.963170309746749</v>
      </c>
      <c r="J181" s="86">
        <v>3.5852015207340493</v>
      </c>
      <c r="K181" s="86">
        <v>1.0436787062412656</v>
      </c>
      <c r="L181" s="58"/>
      <c r="M181" s="65"/>
      <c r="N181" s="58"/>
      <c r="O181" s="58"/>
      <c r="P181" s="58"/>
    </row>
    <row r="182" spans="2:16" s="1" customFormat="1" x14ac:dyDescent="0.3">
      <c r="B182" s="292"/>
      <c r="C182" s="9" t="s">
        <v>178</v>
      </c>
      <c r="D182" s="86">
        <v>21.666881779382173</v>
      </c>
      <c r="E182" s="86">
        <v>16.127654965513326</v>
      </c>
      <c r="F182" s="88">
        <v>14.795690724450209</v>
      </c>
      <c r="G182" s="88">
        <v>12.000159207487435</v>
      </c>
      <c r="H182" s="88">
        <v>30.286193515635208</v>
      </c>
      <c r="I182" s="86">
        <v>1.2877956546831366</v>
      </c>
      <c r="J182" s="86">
        <v>3.2590503223033433</v>
      </c>
      <c r="K182" s="86">
        <v>0.57657383054538025</v>
      </c>
      <c r="L182" s="58"/>
      <c r="M182" s="65"/>
      <c r="N182" s="58"/>
      <c r="O182" s="58"/>
      <c r="P182" s="58"/>
    </row>
    <row r="183" spans="2:16" s="1" customFormat="1" x14ac:dyDescent="0.3">
      <c r="B183" s="292"/>
      <c r="C183" s="9" t="s">
        <v>179</v>
      </c>
      <c r="D183" s="86">
        <v>23.037288527738529</v>
      </c>
      <c r="E183" s="86">
        <v>16.660286038733108</v>
      </c>
      <c r="F183" s="88">
        <v>12.590880239391392</v>
      </c>
      <c r="G183" s="88">
        <v>14.704650675676223</v>
      </c>
      <c r="H183" s="88">
        <v>27.509601417307561</v>
      </c>
      <c r="I183" s="86">
        <v>0.52101718873050562</v>
      </c>
      <c r="J183" s="86">
        <v>3.7630687590141716</v>
      </c>
      <c r="K183" s="86">
        <v>1.2132071534086484</v>
      </c>
      <c r="L183" s="58"/>
      <c r="M183" s="65"/>
      <c r="N183" s="58"/>
      <c r="O183" s="58"/>
      <c r="P183" s="58"/>
    </row>
    <row r="184" spans="2:16" s="1" customFormat="1" x14ac:dyDescent="0.3">
      <c r="B184" s="298"/>
      <c r="C184" s="12" t="s">
        <v>180</v>
      </c>
      <c r="D184" s="90">
        <v>26.321250086095638</v>
      </c>
      <c r="E184" s="90">
        <v>14.085727367042042</v>
      </c>
      <c r="F184" s="91">
        <v>9.1648074984757422</v>
      </c>
      <c r="G184" s="91">
        <v>17.480482368260645</v>
      </c>
      <c r="H184" s="91">
        <v>28.097565863524192</v>
      </c>
      <c r="I184" s="90">
        <v>0.86316280370886456</v>
      </c>
      <c r="J184" s="90">
        <v>3.3715937089726271</v>
      </c>
      <c r="K184" s="90">
        <v>0.6154103039201323</v>
      </c>
      <c r="L184" s="58"/>
      <c r="M184" s="65"/>
      <c r="N184" s="58"/>
      <c r="O184" s="58"/>
      <c r="P184" s="58"/>
    </row>
    <row r="185" spans="2:16" s="1" customFormat="1" x14ac:dyDescent="0.3">
      <c r="B185" s="292" t="s">
        <v>223</v>
      </c>
      <c r="C185" s="9" t="s">
        <v>210</v>
      </c>
      <c r="D185" s="86">
        <v>31.222511091931011</v>
      </c>
      <c r="E185" s="86">
        <v>17.678482757702326</v>
      </c>
      <c r="F185" s="88">
        <v>15.411551727944307</v>
      </c>
      <c r="G185" s="88">
        <v>6.5770271136869924</v>
      </c>
      <c r="H185" s="88">
        <v>20.411947711896094</v>
      </c>
      <c r="I185" s="86">
        <v>4.1692799855343212</v>
      </c>
      <c r="J185" s="86">
        <v>1.3977094606172933</v>
      </c>
      <c r="K185" s="86">
        <v>3.1314901506876631</v>
      </c>
      <c r="L185" s="58"/>
      <c r="M185" s="65"/>
      <c r="N185" s="58"/>
      <c r="O185" s="58"/>
      <c r="P185" s="58"/>
    </row>
    <row r="186" spans="2:16" s="1" customFormat="1" x14ac:dyDescent="0.3">
      <c r="B186" s="292"/>
      <c r="C186" s="9" t="s">
        <v>211</v>
      </c>
      <c r="D186" s="86">
        <v>31.005236879394722</v>
      </c>
      <c r="E186" s="86">
        <v>12.864521313407144</v>
      </c>
      <c r="F186" s="88">
        <v>16.300732421905625</v>
      </c>
      <c r="G186" s="88">
        <v>12.609584988463368</v>
      </c>
      <c r="H186" s="88">
        <v>19.311039246172164</v>
      </c>
      <c r="I186" s="86">
        <v>1.609414312493695</v>
      </c>
      <c r="J186" s="86">
        <v>5.0074389990993478</v>
      </c>
      <c r="K186" s="86">
        <v>1.2920318390638907</v>
      </c>
      <c r="L186" s="58"/>
      <c r="M186" s="65"/>
      <c r="N186" s="58"/>
      <c r="O186" s="58"/>
      <c r="P186" s="58"/>
    </row>
    <row r="187" spans="2:16" s="1" customFormat="1" x14ac:dyDescent="0.3">
      <c r="B187" s="292"/>
      <c r="C187" s="9" t="s">
        <v>212</v>
      </c>
      <c r="D187" s="86">
        <v>23.489595545135948</v>
      </c>
      <c r="E187" s="86">
        <v>14.1373669416413</v>
      </c>
      <c r="F187" s="88">
        <v>20.051390666841911</v>
      </c>
      <c r="G187" s="88">
        <v>10.438055160477616</v>
      </c>
      <c r="H187" s="88">
        <v>25.888978491881382</v>
      </c>
      <c r="I187" s="86">
        <v>1.9710292165324388</v>
      </c>
      <c r="J187" s="86">
        <v>2.7640140952249932</v>
      </c>
      <c r="K187" s="86">
        <v>1.2595698822643782</v>
      </c>
      <c r="L187" s="58"/>
      <c r="M187" s="65"/>
      <c r="N187" s="58"/>
      <c r="O187" s="58"/>
      <c r="P187" s="58"/>
    </row>
    <row r="188" spans="2:16" s="1" customFormat="1" x14ac:dyDescent="0.3">
      <c r="B188" s="292"/>
      <c r="C188" s="9" t="s">
        <v>213</v>
      </c>
      <c r="D188" s="86">
        <v>21.383257188587759</v>
      </c>
      <c r="E188" s="86">
        <v>14.516087673624401</v>
      </c>
      <c r="F188" s="88">
        <v>14.062959747784905</v>
      </c>
      <c r="G188" s="88">
        <v>14.187738649730615</v>
      </c>
      <c r="H188" s="88">
        <v>30.469829686489469</v>
      </c>
      <c r="I188" s="86">
        <v>1.787737057671809</v>
      </c>
      <c r="J188" s="86">
        <v>3.1140311638722498</v>
      </c>
      <c r="K188" s="86">
        <v>0.47835883223895093</v>
      </c>
      <c r="L188" s="58"/>
      <c r="M188" s="65"/>
      <c r="N188" s="58"/>
      <c r="O188" s="58"/>
      <c r="P188" s="58"/>
    </row>
    <row r="189" spans="2:16" s="1" customFormat="1" x14ac:dyDescent="0.3">
      <c r="B189" s="292"/>
      <c r="C189" s="9" t="s">
        <v>214</v>
      </c>
      <c r="D189" s="86">
        <v>23.007509614525596</v>
      </c>
      <c r="E189" s="86">
        <v>16.268090324759328</v>
      </c>
      <c r="F189" s="88">
        <v>12.19498382930947</v>
      </c>
      <c r="G189" s="88">
        <v>16.121930472290192</v>
      </c>
      <c r="H189" s="88">
        <v>27.552139531878776</v>
      </c>
      <c r="I189" s="86">
        <v>0.66512332502764882</v>
      </c>
      <c r="J189" s="86">
        <v>3.0857791640317753</v>
      </c>
      <c r="K189" s="86">
        <v>1.1044437381772185</v>
      </c>
      <c r="L189" s="58"/>
      <c r="M189" s="65"/>
      <c r="N189" s="58"/>
      <c r="O189" s="58"/>
      <c r="P189" s="58"/>
    </row>
    <row r="190" spans="2:16" s="1" customFormat="1" x14ac:dyDescent="0.3">
      <c r="B190" s="292"/>
      <c r="C190" s="12" t="s">
        <v>215</v>
      </c>
      <c r="D190" s="90">
        <v>21.675920695640531</v>
      </c>
      <c r="E190" s="90">
        <v>15.290855285868417</v>
      </c>
      <c r="F190" s="91">
        <v>8.5970317747577525</v>
      </c>
      <c r="G190" s="91">
        <v>22.634220149803465</v>
      </c>
      <c r="H190" s="91">
        <v>26.57300967057931</v>
      </c>
      <c r="I190" s="90">
        <v>1.1884645924332877</v>
      </c>
      <c r="J190" s="90">
        <v>4.0404978309173156</v>
      </c>
      <c r="K190" s="90">
        <v>0</v>
      </c>
      <c r="L190" s="58"/>
      <c r="M190" s="65"/>
      <c r="N190" s="58"/>
      <c r="O190" s="58"/>
      <c r="P190" s="58"/>
    </row>
    <row r="191" spans="2:16" s="1" customFormat="1" x14ac:dyDescent="0.3">
      <c r="B191" s="292"/>
      <c r="C191" s="9" t="s">
        <v>216</v>
      </c>
      <c r="D191" s="86">
        <v>24.458930046688522</v>
      </c>
      <c r="E191" s="86">
        <v>17.034786820296077</v>
      </c>
      <c r="F191" s="88">
        <v>17.632947017051929</v>
      </c>
      <c r="G191" s="88">
        <v>10.960342167995586</v>
      </c>
      <c r="H191" s="88">
        <v>13.684147103019798</v>
      </c>
      <c r="I191" s="86">
        <v>6.7421120750718044</v>
      </c>
      <c r="J191" s="86">
        <v>8.4163018126355453</v>
      </c>
      <c r="K191" s="86">
        <v>1.0704329572408067</v>
      </c>
      <c r="L191" s="58"/>
      <c r="M191" s="65"/>
      <c r="N191" s="58"/>
      <c r="O191" s="58"/>
      <c r="P191" s="58"/>
    </row>
    <row r="192" spans="2:16" s="1" customFormat="1" x14ac:dyDescent="0.3">
      <c r="B192" s="292"/>
      <c r="C192" s="9" t="s">
        <v>217</v>
      </c>
      <c r="D192" s="86">
        <v>23.786981501610008</v>
      </c>
      <c r="E192" s="86">
        <v>21.464586500604401</v>
      </c>
      <c r="F192" s="88">
        <v>17.715088157739036</v>
      </c>
      <c r="G192" s="88">
        <v>8.1217244330844185</v>
      </c>
      <c r="H192" s="88">
        <v>19.905553426850204</v>
      </c>
      <c r="I192" s="86">
        <v>1.4138271202309567</v>
      </c>
      <c r="J192" s="86">
        <v>6.7289947111900474</v>
      </c>
      <c r="K192" s="86">
        <v>0.86324414869082955</v>
      </c>
      <c r="L192" s="58"/>
      <c r="M192" s="65"/>
      <c r="N192" s="58"/>
      <c r="O192" s="58"/>
      <c r="P192" s="58"/>
    </row>
    <row r="193" spans="2:16" s="1" customFormat="1" x14ac:dyDescent="0.3">
      <c r="B193" s="292"/>
      <c r="C193" s="9" t="s">
        <v>218</v>
      </c>
      <c r="D193" s="86">
        <v>26.121107137023813</v>
      </c>
      <c r="E193" s="86">
        <v>18.633110462526115</v>
      </c>
      <c r="F193" s="88">
        <v>16.420362444117831</v>
      </c>
      <c r="G193" s="88">
        <v>8.9641582311125312</v>
      </c>
      <c r="H193" s="88">
        <v>22.619015842748063</v>
      </c>
      <c r="I193" s="86">
        <v>1.9546174051163667</v>
      </c>
      <c r="J193" s="86">
        <v>4.4789056866652333</v>
      </c>
      <c r="K193" s="86">
        <v>0.80872279069002018</v>
      </c>
      <c r="L193" s="58"/>
      <c r="M193" s="65"/>
      <c r="N193" s="58"/>
      <c r="O193" s="58"/>
      <c r="P193" s="58"/>
    </row>
    <row r="194" spans="2:16" s="1" customFormat="1" x14ac:dyDescent="0.3">
      <c r="B194" s="292"/>
      <c r="C194" s="9" t="s">
        <v>219</v>
      </c>
      <c r="D194" s="86">
        <v>21.960232041023943</v>
      </c>
      <c r="E194" s="86">
        <v>17.79448394322942</v>
      </c>
      <c r="F194" s="88">
        <v>15.553547520702462</v>
      </c>
      <c r="G194" s="88">
        <v>9.7375662498496904</v>
      </c>
      <c r="H194" s="88">
        <v>30.096260341589343</v>
      </c>
      <c r="I194" s="86">
        <v>0.77071093730539009</v>
      </c>
      <c r="J194" s="86">
        <v>3.4090422815677965</v>
      </c>
      <c r="K194" s="86">
        <v>0.67815668473176227</v>
      </c>
      <c r="L194" s="58"/>
      <c r="M194" s="65"/>
      <c r="N194" s="58"/>
      <c r="O194" s="58"/>
      <c r="P194" s="58"/>
    </row>
    <row r="195" spans="2:16" s="1" customFormat="1" x14ac:dyDescent="0.3">
      <c r="B195" s="292"/>
      <c r="C195" s="9" t="s">
        <v>220</v>
      </c>
      <c r="D195" s="86">
        <v>23.067604310931493</v>
      </c>
      <c r="E195" s="86">
        <v>17.059552464241186</v>
      </c>
      <c r="F195" s="88">
        <v>12.993914079112191</v>
      </c>
      <c r="G195" s="88">
        <v>13.261819410119113</v>
      </c>
      <c r="H195" s="88">
        <v>27.466296403133416</v>
      </c>
      <c r="I195" s="86">
        <v>0.37431303087480355</v>
      </c>
      <c r="J195" s="86">
        <v>4.452568888636983</v>
      </c>
      <c r="K195" s="86">
        <v>1.3239314129511865</v>
      </c>
      <c r="L195" s="58"/>
      <c r="M195" s="65"/>
      <c r="N195" s="58"/>
      <c r="O195" s="58"/>
      <c r="P195" s="58"/>
    </row>
    <row r="196" spans="2:16" s="1" customFormat="1" x14ac:dyDescent="0.3">
      <c r="B196" s="295"/>
      <c r="C196" s="9" t="s">
        <v>221</v>
      </c>
      <c r="D196" s="86">
        <v>30.827499756956222</v>
      </c>
      <c r="E196" s="86">
        <v>12.916680603918179</v>
      </c>
      <c r="F196" s="88">
        <v>9.7155841933176799</v>
      </c>
      <c r="G196" s="88">
        <v>12.481045895683089</v>
      </c>
      <c r="H196" s="88">
        <v>29.576477317420824</v>
      </c>
      <c r="I196" s="86">
        <v>0.54760044953399634</v>
      </c>
      <c r="J196" s="86">
        <v>2.7227163687470188</v>
      </c>
      <c r="K196" s="86">
        <v>1.2123954144232532</v>
      </c>
      <c r="L196" s="58"/>
      <c r="M196" s="65"/>
      <c r="N196" s="58"/>
      <c r="O196" s="58"/>
      <c r="P196" s="58"/>
    </row>
    <row r="197" spans="2:16" s="1" customFormat="1" ht="16.5" customHeight="1" x14ac:dyDescent="0.3">
      <c r="B197" s="291" t="s">
        <v>222</v>
      </c>
      <c r="C197" s="13" t="s">
        <v>226</v>
      </c>
      <c r="D197" s="84">
        <v>21.28288812703396</v>
      </c>
      <c r="E197" s="84">
        <v>15.12511223097475</v>
      </c>
      <c r="F197" s="89">
        <v>13.412886763543666</v>
      </c>
      <c r="G197" s="89">
        <v>16.722339063052292</v>
      </c>
      <c r="H197" s="89">
        <v>23.260669528660515</v>
      </c>
      <c r="I197" s="84">
        <v>1.762240143221645</v>
      </c>
      <c r="J197" s="84">
        <v>7.170956211961335</v>
      </c>
      <c r="K197" s="84">
        <v>1.2629079315518208</v>
      </c>
      <c r="L197" s="58"/>
      <c r="M197" s="65"/>
      <c r="N197" s="58"/>
      <c r="O197" s="58"/>
      <c r="P197" s="58"/>
    </row>
    <row r="198" spans="2:16" s="1" customFormat="1" x14ac:dyDescent="0.3">
      <c r="B198" s="294"/>
      <c r="C198" s="9" t="s">
        <v>227</v>
      </c>
      <c r="D198" s="86">
        <v>21.572692992889209</v>
      </c>
      <c r="E198" s="86">
        <v>15.437951886321507</v>
      </c>
      <c r="F198" s="88">
        <v>15.587183113546255</v>
      </c>
      <c r="G198" s="88">
        <v>15.053678337233253</v>
      </c>
      <c r="H198" s="88">
        <v>26.808224986351455</v>
      </c>
      <c r="I198" s="86">
        <v>0.95341851184014403</v>
      </c>
      <c r="J198" s="86">
        <v>3.6454345418775214</v>
      </c>
      <c r="K198" s="86">
        <v>0.94141562994067907</v>
      </c>
      <c r="L198" s="58"/>
      <c r="M198" s="65"/>
      <c r="N198" s="58"/>
      <c r="O198" s="58"/>
      <c r="P198" s="58"/>
    </row>
    <row r="199" spans="2:16" s="1" customFormat="1" x14ac:dyDescent="0.3">
      <c r="B199" s="292"/>
      <c r="C199" s="9" t="s">
        <v>228</v>
      </c>
      <c r="D199" s="86">
        <v>24.902974026191544</v>
      </c>
      <c r="E199" s="86">
        <v>18.676763619333677</v>
      </c>
      <c r="F199" s="88">
        <v>14.03108825698817</v>
      </c>
      <c r="G199" s="88">
        <v>10.603966081825858</v>
      </c>
      <c r="H199" s="88">
        <v>27.181573294549843</v>
      </c>
      <c r="I199" s="86">
        <v>1.0681755083100966</v>
      </c>
      <c r="J199" s="86">
        <v>2.8640996354178698</v>
      </c>
      <c r="K199" s="86">
        <v>0.6713595773830614</v>
      </c>
      <c r="L199" s="58"/>
      <c r="M199" s="65"/>
      <c r="N199" s="58"/>
      <c r="O199" s="58"/>
      <c r="P199" s="58"/>
    </row>
    <row r="200" spans="2:16" s="1" customFormat="1" x14ac:dyDescent="0.3">
      <c r="B200" s="295"/>
      <c r="C200" s="12" t="s">
        <v>229</v>
      </c>
      <c r="D200" s="90">
        <v>32.176155799090623</v>
      </c>
      <c r="E200" s="90">
        <v>15.566715086351238</v>
      </c>
      <c r="F200" s="91">
        <v>13.438921658450628</v>
      </c>
      <c r="G200" s="91">
        <v>7.9532540793261202</v>
      </c>
      <c r="H200" s="91">
        <v>26.608942903220299</v>
      </c>
      <c r="I200" s="90">
        <v>1.7680819806827917</v>
      </c>
      <c r="J200" s="90">
        <v>1.5821814475102236</v>
      </c>
      <c r="K200" s="90">
        <v>0.9057470453682277</v>
      </c>
      <c r="L200" s="58"/>
      <c r="M200" s="65"/>
      <c r="N200" s="58"/>
      <c r="O200" s="58"/>
      <c r="P200" s="58"/>
    </row>
    <row r="201" spans="2:16" s="1" customFormat="1" x14ac:dyDescent="0.3">
      <c r="B201" s="296" t="s">
        <v>199</v>
      </c>
      <c r="C201" s="13" t="s">
        <v>192</v>
      </c>
      <c r="D201" s="84">
        <v>25.030996388324233</v>
      </c>
      <c r="E201" s="84">
        <v>19.809928036529104</v>
      </c>
      <c r="F201" s="89">
        <v>13.800595434550464</v>
      </c>
      <c r="G201" s="89">
        <v>11.327115070364041</v>
      </c>
      <c r="H201" s="89">
        <v>24.935122838738906</v>
      </c>
      <c r="I201" s="84">
        <v>1.3258525002562171</v>
      </c>
      <c r="J201" s="84">
        <v>3.1133540149021619</v>
      </c>
      <c r="K201" s="84">
        <v>0.65703571633432212</v>
      </c>
      <c r="L201" s="58"/>
      <c r="M201" s="65"/>
      <c r="N201" s="58"/>
      <c r="O201" s="58"/>
      <c r="P201" s="58"/>
    </row>
    <row r="202" spans="2:16" s="1" customFormat="1" ht="16.5" customHeight="1" x14ac:dyDescent="0.3">
      <c r="B202" s="292"/>
      <c r="C202" s="9" t="s">
        <v>200</v>
      </c>
      <c r="D202" s="86">
        <v>16.313527072974818</v>
      </c>
      <c r="E202" s="86">
        <v>12.140661968108022</v>
      </c>
      <c r="F202" s="88">
        <v>21.423207139377947</v>
      </c>
      <c r="G202" s="88">
        <v>25.346027969969214</v>
      </c>
      <c r="H202" s="88">
        <v>16.877665981874298</v>
      </c>
      <c r="I202" s="86">
        <v>0.76884476442448701</v>
      </c>
      <c r="J202" s="86">
        <v>6.7564765614063482</v>
      </c>
      <c r="K202" s="86">
        <v>0.37358854186479784</v>
      </c>
      <c r="L202" s="58"/>
      <c r="M202" s="65"/>
      <c r="N202" s="58"/>
      <c r="O202" s="58"/>
      <c r="P202" s="58"/>
    </row>
    <row r="203" spans="2:16" s="1" customFormat="1" x14ac:dyDescent="0.3">
      <c r="B203" s="292"/>
      <c r="C203" s="9" t="s">
        <v>201</v>
      </c>
      <c r="D203" s="86">
        <v>22.88739798589398</v>
      </c>
      <c r="E203" s="86">
        <v>15.726137427861786</v>
      </c>
      <c r="F203" s="88">
        <v>14.100094751244551</v>
      </c>
      <c r="G203" s="88">
        <v>12.257475115072401</v>
      </c>
      <c r="H203" s="88">
        <v>26.357360821002978</v>
      </c>
      <c r="I203" s="86">
        <v>2.0827937379834536</v>
      </c>
      <c r="J203" s="86">
        <v>4.5676642750603778</v>
      </c>
      <c r="K203" s="86">
        <v>2.0210758858806401</v>
      </c>
      <c r="L203" s="58"/>
      <c r="M203" s="65"/>
      <c r="N203" s="58"/>
      <c r="O203" s="58"/>
      <c r="P203" s="58"/>
    </row>
    <row r="204" spans="2:16" s="1" customFormat="1" x14ac:dyDescent="0.3">
      <c r="B204" s="292"/>
      <c r="C204" s="9" t="s">
        <v>202</v>
      </c>
      <c r="D204" s="86">
        <v>20.809274101883876</v>
      </c>
      <c r="E204" s="86">
        <v>14.833100480078071</v>
      </c>
      <c r="F204" s="88">
        <v>14.515228033943844</v>
      </c>
      <c r="G204" s="88">
        <v>15.48913230418751</v>
      </c>
      <c r="H204" s="88">
        <v>26.763418581608978</v>
      </c>
      <c r="I204" s="86">
        <v>1.389950560549936</v>
      </c>
      <c r="J204" s="86">
        <v>4.0286187490892233</v>
      </c>
      <c r="K204" s="86">
        <v>2.1712771886586166</v>
      </c>
      <c r="L204" s="58"/>
      <c r="M204" s="65"/>
      <c r="N204" s="58"/>
      <c r="O204" s="58"/>
      <c r="P204" s="58"/>
    </row>
    <row r="205" spans="2:16" s="1" customFormat="1" x14ac:dyDescent="0.3">
      <c r="B205" s="295"/>
      <c r="C205" s="12" t="s">
        <v>203</v>
      </c>
      <c r="D205" s="90">
        <v>27.522315893762649</v>
      </c>
      <c r="E205" s="90">
        <v>9.2442871497996375</v>
      </c>
      <c r="F205" s="91">
        <v>13.722834516514041</v>
      </c>
      <c r="G205" s="91">
        <v>13.511224410561695</v>
      </c>
      <c r="H205" s="91">
        <v>29.067658487263248</v>
      </c>
      <c r="I205" s="90">
        <v>1.2767660030065409</v>
      </c>
      <c r="J205" s="90">
        <v>4.8717432485403007</v>
      </c>
      <c r="K205" s="90">
        <v>0.78317029055205367</v>
      </c>
      <c r="L205" s="58"/>
      <c r="M205" s="65"/>
      <c r="N205" s="58"/>
      <c r="O205" s="58"/>
      <c r="P205" s="58"/>
    </row>
    <row r="206" spans="2:16" s="1" customFormat="1" x14ac:dyDescent="0.3">
      <c r="B206" s="291" t="s">
        <v>204</v>
      </c>
      <c r="C206" s="13" t="s">
        <v>192</v>
      </c>
      <c r="D206" s="84">
        <v>25.030996388324233</v>
      </c>
      <c r="E206" s="84">
        <v>19.809928036529104</v>
      </c>
      <c r="F206" s="89">
        <v>13.800595434550464</v>
      </c>
      <c r="G206" s="89">
        <v>11.327115070364041</v>
      </c>
      <c r="H206" s="89">
        <v>24.935122838738906</v>
      </c>
      <c r="I206" s="84">
        <v>1.3258525002562171</v>
      </c>
      <c r="J206" s="84">
        <v>3.1133540149021619</v>
      </c>
      <c r="K206" s="84">
        <v>0.65703571633432212</v>
      </c>
      <c r="L206" s="58"/>
      <c r="M206" s="65"/>
      <c r="N206" s="58"/>
      <c r="O206" s="58"/>
      <c r="P206" s="58"/>
    </row>
    <row r="207" spans="2:16" s="1" customFormat="1" x14ac:dyDescent="0.3">
      <c r="B207" s="295"/>
      <c r="C207" s="12" t="s">
        <v>193</v>
      </c>
      <c r="D207" s="90">
        <v>24.232658320383585</v>
      </c>
      <c r="E207" s="90">
        <v>12.008181491989314</v>
      </c>
      <c r="F207" s="91">
        <v>14.625210397620714</v>
      </c>
      <c r="G207" s="91">
        <v>14.63758823672547</v>
      </c>
      <c r="H207" s="91">
        <v>26.968388989702259</v>
      </c>
      <c r="I207" s="90">
        <v>1.4334096919929045</v>
      </c>
      <c r="J207" s="90">
        <v>4.8051183291007247</v>
      </c>
      <c r="K207" s="90">
        <v>1.289444542485364</v>
      </c>
      <c r="L207" s="58"/>
      <c r="M207" s="65"/>
      <c r="N207" s="58"/>
      <c r="O207" s="58"/>
      <c r="P207" s="58"/>
    </row>
    <row r="208" spans="2:16" s="1" customFormat="1" x14ac:dyDescent="0.3">
      <c r="B208" s="291" t="s">
        <v>209</v>
      </c>
      <c r="C208" s="13" t="s">
        <v>205</v>
      </c>
      <c r="D208" s="84">
        <v>22.464772373481875</v>
      </c>
      <c r="E208" s="84">
        <v>14.680753862789601</v>
      </c>
      <c r="F208" s="89">
        <v>14.711556183541866</v>
      </c>
      <c r="G208" s="89">
        <v>15.114263353775497</v>
      </c>
      <c r="H208" s="89">
        <v>24.990010599822739</v>
      </c>
      <c r="I208" s="84">
        <v>1.2330167636854044</v>
      </c>
      <c r="J208" s="84">
        <v>5.6752899190796802</v>
      </c>
      <c r="K208" s="84">
        <v>1.1303369438233932</v>
      </c>
      <c r="L208" s="58"/>
      <c r="M208" s="65"/>
      <c r="N208" s="58"/>
      <c r="O208" s="58"/>
      <c r="P208" s="58"/>
    </row>
    <row r="209" spans="2:17" s="1" customFormat="1" x14ac:dyDescent="0.3">
      <c r="B209" s="292"/>
      <c r="C209" s="9" t="s">
        <v>206</v>
      </c>
      <c r="D209" s="86">
        <v>22.024239072294488</v>
      </c>
      <c r="E209" s="86">
        <v>14.957694278496501</v>
      </c>
      <c r="F209" s="88">
        <v>15.254429109914305</v>
      </c>
      <c r="G209" s="88">
        <v>13.560971623948728</v>
      </c>
      <c r="H209" s="88">
        <v>27.27304140722427</v>
      </c>
      <c r="I209" s="86">
        <v>0.8500854107658331</v>
      </c>
      <c r="J209" s="86">
        <v>4.8873302263107643</v>
      </c>
      <c r="K209" s="86">
        <v>1.1922088710451064</v>
      </c>
      <c r="L209" s="58"/>
      <c r="M209" s="65"/>
      <c r="N209" s="58"/>
      <c r="O209" s="58"/>
      <c r="P209" s="58"/>
    </row>
    <row r="210" spans="2:17" s="1" customFormat="1" x14ac:dyDescent="0.3">
      <c r="B210" s="292"/>
      <c r="C210" s="9" t="s">
        <v>207</v>
      </c>
      <c r="D210" s="86">
        <v>25.950647421113498</v>
      </c>
      <c r="E210" s="86">
        <v>17.296416005791283</v>
      </c>
      <c r="F210" s="88">
        <v>11.930293317676934</v>
      </c>
      <c r="G210" s="88">
        <v>12.699684153124672</v>
      </c>
      <c r="H210" s="88">
        <v>26.761823171284316</v>
      </c>
      <c r="I210" s="86">
        <v>1.4402869892314827</v>
      </c>
      <c r="J210" s="86">
        <v>3.1445621069931922</v>
      </c>
      <c r="K210" s="86">
        <v>0.77628683478463534</v>
      </c>
      <c r="L210" s="58"/>
      <c r="M210" s="65"/>
      <c r="N210" s="58"/>
      <c r="O210" s="58"/>
      <c r="P210" s="58"/>
    </row>
    <row r="211" spans="2:17" s="1" customFormat="1" x14ac:dyDescent="0.3">
      <c r="B211" s="293"/>
      <c r="C211" s="25" t="s">
        <v>208</v>
      </c>
      <c r="D211" s="87">
        <v>26.138824250472954</v>
      </c>
      <c r="E211" s="87">
        <v>16.231529895108114</v>
      </c>
      <c r="F211" s="95">
        <v>15.406915652324821</v>
      </c>
      <c r="G211" s="95">
        <v>11.745051786588126</v>
      </c>
      <c r="H211" s="95">
        <v>24.568436732500768</v>
      </c>
      <c r="I211" s="87">
        <v>1.7408509306825513</v>
      </c>
      <c r="J211" s="87">
        <v>3.2627191799972701</v>
      </c>
      <c r="K211" s="87">
        <v>0.90567157232538353</v>
      </c>
      <c r="L211" s="58"/>
      <c r="M211" s="65"/>
      <c r="N211" s="58"/>
      <c r="O211" s="58"/>
      <c r="P211" s="58"/>
    </row>
    <row r="212" spans="2:17" s="1" customFormat="1" x14ac:dyDescent="0.3">
      <c r="B212" s="60"/>
      <c r="C212" s="9"/>
      <c r="D212" s="58"/>
      <c r="E212" s="58"/>
      <c r="F212" s="50"/>
      <c r="G212" s="50"/>
      <c r="H212" s="50"/>
      <c r="I212" s="58"/>
      <c r="J212" s="58"/>
      <c r="K212" s="65"/>
      <c r="L212" s="58"/>
      <c r="M212" s="65"/>
      <c r="N212" s="58"/>
      <c r="O212" s="58"/>
      <c r="P212" s="58"/>
    </row>
    <row r="213" spans="2:17" s="1" customFormat="1" x14ac:dyDescent="0.3">
      <c r="B213" s="60"/>
      <c r="C213" s="9"/>
      <c r="D213" s="58"/>
      <c r="E213" s="58"/>
      <c r="F213" s="50"/>
      <c r="G213" s="50"/>
      <c r="H213" s="50"/>
      <c r="I213" s="58"/>
      <c r="J213" s="58"/>
      <c r="K213" s="65"/>
      <c r="L213" s="58"/>
      <c r="M213" s="65"/>
      <c r="N213" s="58"/>
      <c r="O213" s="58"/>
      <c r="P213" s="58"/>
    </row>
    <row r="214" spans="2:17" x14ac:dyDescent="0.3">
      <c r="B214" s="17" t="s">
        <v>496</v>
      </c>
    </row>
    <row r="215" spans="2:17" ht="13.5" customHeight="1" x14ac:dyDescent="0.3">
      <c r="J215" s="30"/>
      <c r="K215" s="30" t="s">
        <v>157</v>
      </c>
    </row>
    <row r="216" spans="2:17" s="22" customFormat="1" ht="33.75" customHeight="1" x14ac:dyDescent="0.3">
      <c r="B216" s="213"/>
      <c r="C216" s="213"/>
      <c r="D216" s="202" t="s">
        <v>39</v>
      </c>
      <c r="E216" s="202" t="s">
        <v>40</v>
      </c>
      <c r="F216" s="202" t="s">
        <v>385</v>
      </c>
      <c r="G216" s="202" t="s">
        <v>117</v>
      </c>
      <c r="H216" s="202" t="s">
        <v>115</v>
      </c>
      <c r="I216" s="202" t="s">
        <v>119</v>
      </c>
      <c r="J216" s="202" t="s">
        <v>300</v>
      </c>
      <c r="K216" s="202" t="s">
        <v>38</v>
      </c>
      <c r="L216" s="64"/>
      <c r="M216" s="64"/>
      <c r="N216" s="64"/>
      <c r="O216" s="64"/>
      <c r="P216" s="64"/>
      <c r="Q216" s="39"/>
    </row>
    <row r="217" spans="2:17" s="1" customFormat="1" ht="21.75" customHeight="1" x14ac:dyDescent="0.3">
      <c r="B217" s="292" t="s">
        <v>20</v>
      </c>
      <c r="C217" s="292"/>
      <c r="D217" s="86">
        <v>49.336565114945856</v>
      </c>
      <c r="E217" s="86">
        <v>53.117105020427537</v>
      </c>
      <c r="F217" s="88">
        <v>50.962714153941455</v>
      </c>
      <c r="G217" s="88">
        <v>43.390100369205278</v>
      </c>
      <c r="H217" s="88">
        <v>71.378353897388507</v>
      </c>
      <c r="I217" s="86">
        <v>9.1669588979570431</v>
      </c>
      <c r="J217" s="86">
        <v>20.650036210592088</v>
      </c>
      <c r="K217" s="86">
        <v>1.9981663355399124</v>
      </c>
      <c r="L217" s="58"/>
      <c r="M217" s="65"/>
      <c r="N217" s="58"/>
      <c r="O217" s="58"/>
      <c r="P217" s="58"/>
    </row>
    <row r="218" spans="2:17" s="1" customFormat="1" x14ac:dyDescent="0.3">
      <c r="B218" s="296" t="s">
        <v>5</v>
      </c>
      <c r="C218" s="13" t="s">
        <v>0</v>
      </c>
      <c r="D218" s="84">
        <v>49.761445548587332</v>
      </c>
      <c r="E218" s="84">
        <v>52.979481016035834</v>
      </c>
      <c r="F218" s="89">
        <v>51.186504167459759</v>
      </c>
      <c r="G218" s="89">
        <v>46.906289298925131</v>
      </c>
      <c r="H218" s="89">
        <v>70.110817943621086</v>
      </c>
      <c r="I218" s="84">
        <v>9.9276208414265721</v>
      </c>
      <c r="J218" s="84">
        <v>17.751514425542787</v>
      </c>
      <c r="K218" s="84">
        <v>1.3763267584009129</v>
      </c>
      <c r="L218" s="58"/>
      <c r="M218" s="65"/>
      <c r="N218" s="58"/>
      <c r="O218" s="58"/>
      <c r="P218" s="58"/>
    </row>
    <row r="219" spans="2:17" s="1" customFormat="1" x14ac:dyDescent="0.3">
      <c r="B219" s="295"/>
      <c r="C219" s="12" t="s">
        <v>1</v>
      </c>
      <c r="D219" s="90">
        <v>48.896325087740159</v>
      </c>
      <c r="E219" s="90">
        <v>53.259704186312383</v>
      </c>
      <c r="F219" s="91">
        <v>50.730834044059392</v>
      </c>
      <c r="G219" s="91">
        <v>39.746799836825573</v>
      </c>
      <c r="H219" s="91">
        <v>72.691711770778824</v>
      </c>
      <c r="I219" s="90">
        <v>8.3787987282405023</v>
      </c>
      <c r="J219" s="90">
        <v>23.653340689862191</v>
      </c>
      <c r="K219" s="90">
        <v>2.6424856561818642</v>
      </c>
      <c r="L219" s="58"/>
      <c r="M219" s="65"/>
      <c r="N219" s="58"/>
      <c r="O219" s="58"/>
      <c r="P219" s="58"/>
    </row>
    <row r="220" spans="2:17" s="1" customFormat="1" x14ac:dyDescent="0.3">
      <c r="B220" s="296" t="s">
        <v>4</v>
      </c>
      <c r="C220" s="9" t="s">
        <v>175</v>
      </c>
      <c r="D220" s="86">
        <v>55.526887384193572</v>
      </c>
      <c r="E220" s="86">
        <v>50.10819206402897</v>
      </c>
      <c r="F220" s="88">
        <v>53.274106373893261</v>
      </c>
      <c r="G220" s="88">
        <v>35.269208632972052</v>
      </c>
      <c r="H220" s="88">
        <v>58.733797661420418</v>
      </c>
      <c r="I220" s="86">
        <v>21.656747729167332</v>
      </c>
      <c r="J220" s="86">
        <v>22.820813592884573</v>
      </c>
      <c r="K220" s="86">
        <v>2.610246561439912</v>
      </c>
      <c r="L220" s="58"/>
      <c r="M220" s="65"/>
      <c r="N220" s="58"/>
      <c r="O220" s="58"/>
      <c r="P220" s="58"/>
    </row>
    <row r="221" spans="2:17" s="1" customFormat="1" x14ac:dyDescent="0.3">
      <c r="B221" s="292"/>
      <c r="C221" s="9" t="s">
        <v>176</v>
      </c>
      <c r="D221" s="86">
        <v>53.971921744314599</v>
      </c>
      <c r="E221" s="86">
        <v>56.845037961290544</v>
      </c>
      <c r="F221" s="88">
        <v>58.052912135042114</v>
      </c>
      <c r="G221" s="88">
        <v>35.428812749181567</v>
      </c>
      <c r="H221" s="88">
        <v>63.058755902772681</v>
      </c>
      <c r="I221" s="86">
        <v>11.946546774770196</v>
      </c>
      <c r="J221" s="86">
        <v>18.349864424029413</v>
      </c>
      <c r="K221" s="86">
        <v>2.3461483085992154</v>
      </c>
      <c r="L221" s="58"/>
      <c r="M221" s="65"/>
      <c r="N221" s="58"/>
      <c r="O221" s="58"/>
      <c r="P221" s="58"/>
    </row>
    <row r="222" spans="2:17" s="1" customFormat="1" x14ac:dyDescent="0.3">
      <c r="B222" s="292"/>
      <c r="C222" s="9" t="s">
        <v>177</v>
      </c>
      <c r="D222" s="86">
        <v>51.910239630191789</v>
      </c>
      <c r="E222" s="86">
        <v>62.848914407553835</v>
      </c>
      <c r="F222" s="88">
        <v>54.99665248950518</v>
      </c>
      <c r="G222" s="88">
        <v>34.721404077816032</v>
      </c>
      <c r="H222" s="88">
        <v>68.642337724348707</v>
      </c>
      <c r="I222" s="86">
        <v>9.4604936413532776</v>
      </c>
      <c r="J222" s="86">
        <v>15.94478151391716</v>
      </c>
      <c r="K222" s="86">
        <v>1.4751765153150196</v>
      </c>
      <c r="L222" s="58"/>
      <c r="M222" s="65"/>
      <c r="N222" s="58"/>
      <c r="O222" s="58"/>
      <c r="P222" s="58"/>
    </row>
    <row r="223" spans="2:17" s="1" customFormat="1" x14ac:dyDescent="0.3">
      <c r="B223" s="292"/>
      <c r="C223" s="9" t="s">
        <v>178</v>
      </c>
      <c r="D223" s="86">
        <v>44.735657086432049</v>
      </c>
      <c r="E223" s="86">
        <v>55.04426854947684</v>
      </c>
      <c r="F223" s="88">
        <v>53.691773539039879</v>
      </c>
      <c r="G223" s="88">
        <v>42.060380704738762</v>
      </c>
      <c r="H223" s="88">
        <v>74.68037460413305</v>
      </c>
      <c r="I223" s="86">
        <v>9.9368920346093237</v>
      </c>
      <c r="J223" s="86">
        <v>18.46202108128341</v>
      </c>
      <c r="K223" s="86">
        <v>1.3886324002873394</v>
      </c>
      <c r="L223" s="58"/>
      <c r="M223" s="65"/>
      <c r="N223" s="58"/>
      <c r="O223" s="58"/>
      <c r="P223" s="58"/>
    </row>
    <row r="224" spans="2:17" s="1" customFormat="1" x14ac:dyDescent="0.3">
      <c r="B224" s="292"/>
      <c r="C224" s="9" t="s">
        <v>179</v>
      </c>
      <c r="D224" s="86">
        <v>47.850130042747999</v>
      </c>
      <c r="E224" s="86">
        <v>50.272477924011959</v>
      </c>
      <c r="F224" s="88">
        <v>47.412019403846458</v>
      </c>
      <c r="G224" s="88">
        <v>47.306912587013819</v>
      </c>
      <c r="H224" s="88">
        <v>75.848928730822706</v>
      </c>
      <c r="I224" s="86">
        <v>6.5233730825412621</v>
      </c>
      <c r="J224" s="86">
        <v>22.298645604854393</v>
      </c>
      <c r="K224" s="86">
        <v>2.4875126241612171</v>
      </c>
      <c r="L224" s="58"/>
      <c r="M224" s="65"/>
      <c r="N224" s="58"/>
      <c r="O224" s="58"/>
      <c r="P224" s="58"/>
    </row>
    <row r="225" spans="2:16" s="1" customFormat="1" x14ac:dyDescent="0.3">
      <c r="B225" s="298"/>
      <c r="C225" s="12" t="s">
        <v>180</v>
      </c>
      <c r="D225" s="90">
        <v>48.350194503456329</v>
      </c>
      <c r="E225" s="90">
        <v>43.873766971404223</v>
      </c>
      <c r="F225" s="91">
        <v>42.654511003474902</v>
      </c>
      <c r="G225" s="91">
        <v>55.894480096651264</v>
      </c>
      <c r="H225" s="91">
        <v>74.880336057179264</v>
      </c>
      <c r="I225" s="90">
        <v>5.9589544241521386</v>
      </c>
      <c r="J225" s="90">
        <v>26.299751217473972</v>
      </c>
      <c r="K225" s="90">
        <v>2.0880057262071858</v>
      </c>
      <c r="L225" s="58"/>
      <c r="M225" s="65"/>
      <c r="N225" s="58"/>
      <c r="O225" s="58"/>
      <c r="P225" s="58"/>
    </row>
    <row r="226" spans="2:16" s="1" customFormat="1" x14ac:dyDescent="0.3">
      <c r="B226" s="292" t="s">
        <v>223</v>
      </c>
      <c r="C226" s="9" t="s">
        <v>210</v>
      </c>
      <c r="D226" s="86">
        <v>56.821154724246234</v>
      </c>
      <c r="E226" s="86">
        <v>52.851646890246919</v>
      </c>
      <c r="F226" s="88">
        <v>51.008823433559328</v>
      </c>
      <c r="G226" s="88">
        <v>37.219682785316074</v>
      </c>
      <c r="H226" s="88">
        <v>62.841850667793665</v>
      </c>
      <c r="I226" s="86">
        <v>22.363524831873278</v>
      </c>
      <c r="J226" s="86">
        <v>12.834845606558055</v>
      </c>
      <c r="K226" s="86">
        <v>4.0584710604064762</v>
      </c>
      <c r="L226" s="58"/>
      <c r="M226" s="65"/>
      <c r="N226" s="58"/>
      <c r="O226" s="58"/>
      <c r="P226" s="58"/>
    </row>
    <row r="227" spans="2:16" s="1" customFormat="1" x14ac:dyDescent="0.3">
      <c r="B227" s="292"/>
      <c r="C227" s="9" t="s">
        <v>211</v>
      </c>
      <c r="D227" s="86">
        <v>57.278505329597664</v>
      </c>
      <c r="E227" s="86">
        <v>55.382377024491056</v>
      </c>
      <c r="F227" s="88">
        <v>57.811464389854258</v>
      </c>
      <c r="G227" s="88">
        <v>39.819512753453061</v>
      </c>
      <c r="H227" s="88">
        <v>58.466149676384084</v>
      </c>
      <c r="I227" s="86">
        <v>12.282222240126773</v>
      </c>
      <c r="J227" s="86">
        <v>17.342291035453975</v>
      </c>
      <c r="K227" s="86">
        <v>1.6174775506392867</v>
      </c>
      <c r="L227" s="58"/>
      <c r="M227" s="65"/>
      <c r="N227" s="58"/>
      <c r="O227" s="58"/>
      <c r="P227" s="58"/>
    </row>
    <row r="228" spans="2:16" s="1" customFormat="1" x14ac:dyDescent="0.3">
      <c r="B228" s="292"/>
      <c r="C228" s="9" t="s">
        <v>212</v>
      </c>
      <c r="D228" s="86">
        <v>53.3946650850745</v>
      </c>
      <c r="E228" s="86">
        <v>64.032943278368521</v>
      </c>
      <c r="F228" s="88">
        <v>54.587548439656508</v>
      </c>
      <c r="G228" s="88">
        <v>38.427581372220303</v>
      </c>
      <c r="H228" s="88">
        <v>68.271360003275859</v>
      </c>
      <c r="I228" s="86">
        <v>7.9852777052085493</v>
      </c>
      <c r="J228" s="86">
        <v>11.876788018723056</v>
      </c>
      <c r="K228" s="86">
        <v>1.4238360974726609</v>
      </c>
      <c r="L228" s="58"/>
      <c r="M228" s="65"/>
      <c r="N228" s="58"/>
      <c r="O228" s="58"/>
      <c r="P228" s="58"/>
    </row>
    <row r="229" spans="2:16" s="1" customFormat="1" x14ac:dyDescent="0.3">
      <c r="B229" s="292"/>
      <c r="C229" s="9" t="s">
        <v>213</v>
      </c>
      <c r="D229" s="86">
        <v>47.153227896645426</v>
      </c>
      <c r="E229" s="86">
        <v>53.739724267063892</v>
      </c>
      <c r="F229" s="88">
        <v>52.88135955237513</v>
      </c>
      <c r="G229" s="88">
        <v>45.343758151565275</v>
      </c>
      <c r="H229" s="88">
        <v>72.386044767011199</v>
      </c>
      <c r="I229" s="86">
        <v>12.976201459246864</v>
      </c>
      <c r="J229" s="86">
        <v>15.041325073853484</v>
      </c>
      <c r="K229" s="86">
        <v>0.47835883223895093</v>
      </c>
      <c r="L229" s="58"/>
      <c r="M229" s="65"/>
      <c r="N229" s="58"/>
      <c r="O229" s="58"/>
      <c r="P229" s="58"/>
    </row>
    <row r="230" spans="2:16" s="1" customFormat="1" x14ac:dyDescent="0.3">
      <c r="B230" s="292"/>
      <c r="C230" s="9" t="s">
        <v>214</v>
      </c>
      <c r="D230" s="86">
        <v>49.147631831126418</v>
      </c>
      <c r="E230" s="86">
        <v>48.195000561220667</v>
      </c>
      <c r="F230" s="88">
        <v>47.946354703850723</v>
      </c>
      <c r="G230" s="88">
        <v>51.545806060341533</v>
      </c>
      <c r="H230" s="88">
        <v>75.098500871347042</v>
      </c>
      <c r="I230" s="86">
        <v>7.2905103324279059</v>
      </c>
      <c r="J230" s="86">
        <v>18.906030437564038</v>
      </c>
      <c r="K230" s="86">
        <v>1.8701652021215351</v>
      </c>
      <c r="L230" s="58"/>
      <c r="M230" s="65"/>
      <c r="N230" s="58"/>
      <c r="O230" s="58"/>
      <c r="P230" s="58"/>
    </row>
    <row r="231" spans="2:16" s="1" customFormat="1" x14ac:dyDescent="0.3">
      <c r="B231" s="292"/>
      <c r="C231" s="12" t="s">
        <v>215</v>
      </c>
      <c r="D231" s="90">
        <v>41.896905629949458</v>
      </c>
      <c r="E231" s="90">
        <v>45.778303100997746</v>
      </c>
      <c r="F231" s="91">
        <v>44.630994618802482</v>
      </c>
      <c r="G231" s="91">
        <v>59.136389091089079</v>
      </c>
      <c r="H231" s="91">
        <v>75.129750096490156</v>
      </c>
      <c r="I231" s="90">
        <v>6.4853738108265695</v>
      </c>
      <c r="J231" s="90">
        <v>26.114066958465276</v>
      </c>
      <c r="K231" s="90">
        <v>0.82821669337931025</v>
      </c>
      <c r="L231" s="58"/>
      <c r="M231" s="65"/>
      <c r="N231" s="58"/>
      <c r="O231" s="58"/>
      <c r="P231" s="58"/>
    </row>
    <row r="232" spans="2:16" s="1" customFormat="1" x14ac:dyDescent="0.3">
      <c r="B232" s="292"/>
      <c r="C232" s="9" t="s">
        <v>216</v>
      </c>
      <c r="D232" s="86">
        <v>54.150767549799248</v>
      </c>
      <c r="E232" s="86">
        <v>47.191234736673621</v>
      </c>
      <c r="F232" s="88">
        <v>55.682651106685341</v>
      </c>
      <c r="G232" s="88">
        <v>33.195381932373316</v>
      </c>
      <c r="H232" s="88">
        <v>54.365941772710926</v>
      </c>
      <c r="I232" s="86">
        <v>20.905272389080441</v>
      </c>
      <c r="J232" s="86">
        <v>33.438317555436527</v>
      </c>
      <c r="K232" s="86">
        <v>1.0704329572408067</v>
      </c>
      <c r="L232" s="58"/>
      <c r="M232" s="65"/>
      <c r="N232" s="58"/>
      <c r="O232" s="58"/>
      <c r="P232" s="58"/>
    </row>
    <row r="233" spans="2:16" s="1" customFormat="1" x14ac:dyDescent="0.3">
      <c r="B233" s="292"/>
      <c r="C233" s="9" t="s">
        <v>217</v>
      </c>
      <c r="D233" s="86">
        <v>50.368267157538519</v>
      </c>
      <c r="E233" s="86">
        <v>58.439107688502325</v>
      </c>
      <c r="F233" s="88">
        <v>58.316052095660417</v>
      </c>
      <c r="G233" s="88">
        <v>30.643642254785462</v>
      </c>
      <c r="H233" s="88">
        <v>68.063972334210405</v>
      </c>
      <c r="I233" s="86">
        <v>11.580713460958201</v>
      </c>
      <c r="J233" s="86">
        <v>19.447960501023744</v>
      </c>
      <c r="K233" s="86">
        <v>3.1402845073207737</v>
      </c>
      <c r="L233" s="58"/>
      <c r="M233" s="65"/>
      <c r="N233" s="58"/>
      <c r="O233" s="58"/>
      <c r="P233" s="58"/>
    </row>
    <row r="234" spans="2:16" s="1" customFormat="1" x14ac:dyDescent="0.3">
      <c r="B234" s="292"/>
      <c r="C234" s="9" t="s">
        <v>218</v>
      </c>
      <c r="D234" s="86">
        <v>50.294728759185702</v>
      </c>
      <c r="E234" s="86">
        <v>61.56032729386974</v>
      </c>
      <c r="F234" s="88">
        <v>55.441883361643903</v>
      </c>
      <c r="G234" s="88">
        <v>30.687944742225561</v>
      </c>
      <c r="H234" s="88">
        <v>69.046075439383102</v>
      </c>
      <c r="I234" s="86">
        <v>11.065981727052252</v>
      </c>
      <c r="J234" s="86">
        <v>20.372008016298437</v>
      </c>
      <c r="K234" s="86">
        <v>1.5310506603409415</v>
      </c>
      <c r="L234" s="58"/>
      <c r="M234" s="65"/>
      <c r="N234" s="58"/>
      <c r="O234" s="58"/>
      <c r="P234" s="58"/>
    </row>
    <row r="235" spans="2:16" s="1" customFormat="1" x14ac:dyDescent="0.3">
      <c r="B235" s="292"/>
      <c r="C235" s="9" t="s">
        <v>219</v>
      </c>
      <c r="D235" s="86">
        <v>42.235186207911234</v>
      </c>
      <c r="E235" s="86">
        <v>56.393546499943625</v>
      </c>
      <c r="F235" s="88">
        <v>54.529977145998885</v>
      </c>
      <c r="G235" s="88">
        <v>38.664414119480156</v>
      </c>
      <c r="H235" s="88">
        <v>77.053378496803688</v>
      </c>
      <c r="I235" s="86">
        <v>6.7933627220393964</v>
      </c>
      <c r="J235" s="86">
        <v>22.00001496949336</v>
      </c>
      <c r="K235" s="86">
        <v>2.3301198383289288</v>
      </c>
      <c r="L235" s="58"/>
      <c r="M235" s="65"/>
      <c r="N235" s="58"/>
      <c r="O235" s="58"/>
      <c r="P235" s="58"/>
    </row>
    <row r="236" spans="2:16" s="1" customFormat="1" x14ac:dyDescent="0.3">
      <c r="B236" s="292"/>
      <c r="C236" s="9" t="s">
        <v>220</v>
      </c>
      <c r="D236" s="86">
        <v>46.529236206639702</v>
      </c>
      <c r="E236" s="86">
        <v>52.387409146261888</v>
      </c>
      <c r="F236" s="88">
        <v>46.868050824756722</v>
      </c>
      <c r="G236" s="88">
        <v>42.991598102679248</v>
      </c>
      <c r="H236" s="88">
        <v>76.612885700211393</v>
      </c>
      <c r="I236" s="86">
        <v>5.7424054770237625</v>
      </c>
      <c r="J236" s="86">
        <v>25.752424630749221</v>
      </c>
      <c r="K236" s="86">
        <v>3.1159899116791703</v>
      </c>
      <c r="L236" s="58"/>
      <c r="M236" s="65"/>
      <c r="N236" s="58"/>
      <c r="O236" s="58"/>
      <c r="P236" s="58"/>
    </row>
    <row r="237" spans="2:16" s="1" customFormat="1" x14ac:dyDescent="0.3">
      <c r="B237" s="295"/>
      <c r="C237" s="9" t="s">
        <v>221</v>
      </c>
      <c r="D237" s="86">
        <v>54.610273911810403</v>
      </c>
      <c r="E237" s="86">
        <v>42.026252062180554</v>
      </c>
      <c r="F237" s="88">
        <v>40.737202693900606</v>
      </c>
      <c r="G237" s="88">
        <v>52.749632850908213</v>
      </c>
      <c r="H237" s="88">
        <v>74.6383893967635</v>
      </c>
      <c r="I237" s="86">
        <v>5.4482958704637419</v>
      </c>
      <c r="J237" s="86">
        <v>26.479876147422328</v>
      </c>
      <c r="K237" s="86">
        <v>3.3100770665514907</v>
      </c>
      <c r="L237" s="58"/>
      <c r="M237" s="65"/>
      <c r="N237" s="58"/>
      <c r="O237" s="58"/>
      <c r="P237" s="58"/>
    </row>
    <row r="238" spans="2:16" s="1" customFormat="1" ht="16.5" customHeight="1" x14ac:dyDescent="0.3">
      <c r="B238" s="291" t="s">
        <v>222</v>
      </c>
      <c r="C238" s="13" t="s">
        <v>226</v>
      </c>
      <c r="D238" s="84">
        <v>42.543241686104047</v>
      </c>
      <c r="E238" s="84">
        <v>48.376975945133601</v>
      </c>
      <c r="F238" s="89">
        <v>48.498531769215163</v>
      </c>
      <c r="G238" s="89">
        <v>51.217523322316239</v>
      </c>
      <c r="H238" s="89">
        <v>67.704798353885522</v>
      </c>
      <c r="I238" s="84">
        <v>8.7518103922125974</v>
      </c>
      <c r="J238" s="84">
        <v>30.100718851226709</v>
      </c>
      <c r="K238" s="84">
        <v>2.8063996799061854</v>
      </c>
      <c r="L238" s="58"/>
      <c r="M238" s="65"/>
      <c r="N238" s="58"/>
      <c r="O238" s="58"/>
      <c r="P238" s="58"/>
    </row>
    <row r="239" spans="2:16" s="1" customFormat="1" x14ac:dyDescent="0.3">
      <c r="B239" s="294"/>
      <c r="C239" s="9" t="s">
        <v>227</v>
      </c>
      <c r="D239" s="86">
        <v>45.677975544866214</v>
      </c>
      <c r="E239" s="86">
        <v>51.546075135287261</v>
      </c>
      <c r="F239" s="88">
        <v>51.438403242582595</v>
      </c>
      <c r="G239" s="88">
        <v>46.186342194891559</v>
      </c>
      <c r="H239" s="88">
        <v>71.354281830684926</v>
      </c>
      <c r="I239" s="86">
        <v>9.7266733399301177</v>
      </c>
      <c r="J239" s="86">
        <v>22.243009014509646</v>
      </c>
      <c r="K239" s="86">
        <v>1.8272396972474958</v>
      </c>
      <c r="L239" s="58"/>
      <c r="M239" s="65"/>
      <c r="N239" s="58"/>
      <c r="O239" s="58"/>
      <c r="P239" s="58"/>
    </row>
    <row r="240" spans="2:16" s="1" customFormat="1" x14ac:dyDescent="0.3">
      <c r="B240" s="292"/>
      <c r="C240" s="9" t="s">
        <v>228</v>
      </c>
      <c r="D240" s="86">
        <v>52.03371069913738</v>
      </c>
      <c r="E240" s="86">
        <v>54.641243046914958</v>
      </c>
      <c r="F240" s="88">
        <v>50.501768703672347</v>
      </c>
      <c r="G240" s="88">
        <v>40.518294030413351</v>
      </c>
      <c r="H240" s="88">
        <v>75.087286959765862</v>
      </c>
      <c r="I240" s="86">
        <v>8.3291490762806042</v>
      </c>
      <c r="J240" s="86">
        <v>17.703400468221588</v>
      </c>
      <c r="K240" s="86">
        <v>1.1851470155939845</v>
      </c>
      <c r="L240" s="58"/>
      <c r="M240" s="65"/>
      <c r="N240" s="58"/>
      <c r="O240" s="58"/>
      <c r="P240" s="58"/>
    </row>
    <row r="241" spans="2:16" s="1" customFormat="1" x14ac:dyDescent="0.3">
      <c r="B241" s="295"/>
      <c r="C241" s="12" t="s">
        <v>229</v>
      </c>
      <c r="D241" s="90">
        <v>59.292683549758465</v>
      </c>
      <c r="E241" s="90">
        <v>59.120477599847156</v>
      </c>
      <c r="F241" s="91">
        <v>53.544490640259681</v>
      </c>
      <c r="G241" s="91">
        <v>33.535419024930995</v>
      </c>
      <c r="H241" s="91">
        <v>72.221052061305059</v>
      </c>
      <c r="I241" s="90">
        <v>9.66709181600962</v>
      </c>
      <c r="J241" s="90">
        <v>10.58162012726557</v>
      </c>
      <c r="K241" s="90">
        <v>2.0371651806235036</v>
      </c>
      <c r="L241" s="58"/>
      <c r="M241" s="65"/>
      <c r="N241" s="58"/>
      <c r="O241" s="58"/>
      <c r="P241" s="58"/>
    </row>
    <row r="242" spans="2:16" s="1" customFormat="1" x14ac:dyDescent="0.3">
      <c r="B242" s="296" t="s">
        <v>199</v>
      </c>
      <c r="C242" s="13" t="s">
        <v>192</v>
      </c>
      <c r="D242" s="84">
        <v>51.095866882105867</v>
      </c>
      <c r="E242" s="84">
        <v>60.762598892760565</v>
      </c>
      <c r="F242" s="89">
        <v>49.978174824549669</v>
      </c>
      <c r="G242" s="89">
        <v>40.471489738302964</v>
      </c>
      <c r="H242" s="89">
        <v>70.722818301629857</v>
      </c>
      <c r="I242" s="84">
        <v>9.0162242400328338</v>
      </c>
      <c r="J242" s="84">
        <v>16.628855283362508</v>
      </c>
      <c r="K242" s="84">
        <v>1.3239718372538667</v>
      </c>
      <c r="L242" s="58"/>
      <c r="M242" s="65"/>
      <c r="N242" s="58"/>
      <c r="O242" s="58"/>
      <c r="P242" s="58"/>
    </row>
    <row r="243" spans="2:16" s="1" customFormat="1" ht="16.5" customHeight="1" x14ac:dyDescent="0.3">
      <c r="B243" s="292"/>
      <c r="C243" s="9" t="s">
        <v>200</v>
      </c>
      <c r="D243" s="86">
        <v>36.479752031662372</v>
      </c>
      <c r="E243" s="86">
        <v>38.030681946816671</v>
      </c>
      <c r="F243" s="88">
        <v>59.229577875823594</v>
      </c>
      <c r="G243" s="88">
        <v>58.086093488808707</v>
      </c>
      <c r="H243" s="88">
        <v>61.78811807094322</v>
      </c>
      <c r="I243" s="86">
        <v>10.115667037980096</v>
      </c>
      <c r="J243" s="86">
        <v>32.675341391874234</v>
      </c>
      <c r="K243" s="86">
        <v>3.5947681560908364</v>
      </c>
      <c r="L243" s="58"/>
      <c r="M243" s="65"/>
      <c r="N243" s="58"/>
      <c r="O243" s="58"/>
      <c r="P243" s="58"/>
    </row>
    <row r="244" spans="2:16" s="1" customFormat="1" x14ac:dyDescent="0.3">
      <c r="B244" s="292"/>
      <c r="C244" s="9" t="s">
        <v>201</v>
      </c>
      <c r="D244" s="86">
        <v>45.548335782189866</v>
      </c>
      <c r="E244" s="86">
        <v>48.443861020569855</v>
      </c>
      <c r="F244" s="88">
        <v>52.885227321363772</v>
      </c>
      <c r="G244" s="88">
        <v>44.504206575937431</v>
      </c>
      <c r="H244" s="88">
        <v>73.288040704703732</v>
      </c>
      <c r="I244" s="86">
        <v>9.8329845504024647</v>
      </c>
      <c r="J244" s="86">
        <v>22.966648406990583</v>
      </c>
      <c r="K244" s="86">
        <v>2.5306956378427246</v>
      </c>
      <c r="L244" s="58"/>
      <c r="M244" s="65"/>
      <c r="N244" s="58"/>
      <c r="O244" s="58"/>
      <c r="P244" s="58"/>
    </row>
    <row r="245" spans="2:16" s="1" customFormat="1" x14ac:dyDescent="0.3">
      <c r="B245" s="292"/>
      <c r="C245" s="9" t="s">
        <v>202</v>
      </c>
      <c r="D245" s="86">
        <v>41.874540365915074</v>
      </c>
      <c r="E245" s="86">
        <v>49.007466933625238</v>
      </c>
      <c r="F245" s="88">
        <v>52.194873017410302</v>
      </c>
      <c r="G245" s="88">
        <v>49.513788803676533</v>
      </c>
      <c r="H245" s="88">
        <v>71.698054661608069</v>
      </c>
      <c r="I245" s="86">
        <v>8.4592095635470663</v>
      </c>
      <c r="J245" s="86">
        <v>23.913818377632545</v>
      </c>
      <c r="K245" s="86">
        <v>3.3382482765851984</v>
      </c>
      <c r="L245" s="58"/>
      <c r="M245" s="65"/>
      <c r="N245" s="58"/>
      <c r="O245" s="58"/>
      <c r="P245" s="58"/>
    </row>
    <row r="246" spans="2:16" s="1" customFormat="1" x14ac:dyDescent="0.3">
      <c r="B246" s="295"/>
      <c r="C246" s="12" t="s">
        <v>203</v>
      </c>
      <c r="D246" s="90">
        <v>52.315429571488046</v>
      </c>
      <c r="E246" s="90">
        <v>42.840632054782176</v>
      </c>
      <c r="F246" s="91">
        <v>50.332248676013634</v>
      </c>
      <c r="G246" s="91">
        <v>44.306389467501297</v>
      </c>
      <c r="H246" s="91">
        <v>73.487699987506289</v>
      </c>
      <c r="I246" s="90">
        <v>9.3056936137314743</v>
      </c>
      <c r="J246" s="90">
        <v>24.984025852490504</v>
      </c>
      <c r="K246" s="90">
        <v>2.4278807764869308</v>
      </c>
      <c r="L246" s="58"/>
      <c r="M246" s="65"/>
      <c r="N246" s="58"/>
      <c r="O246" s="58"/>
      <c r="P246" s="58"/>
    </row>
    <row r="247" spans="2:16" s="1" customFormat="1" x14ac:dyDescent="0.3">
      <c r="B247" s="291" t="s">
        <v>204</v>
      </c>
      <c r="C247" s="13" t="s">
        <v>192</v>
      </c>
      <c r="D247" s="84">
        <v>51.095866882105867</v>
      </c>
      <c r="E247" s="84">
        <v>60.762598892760565</v>
      </c>
      <c r="F247" s="89">
        <v>49.978174824549669</v>
      </c>
      <c r="G247" s="89">
        <v>40.471489738302964</v>
      </c>
      <c r="H247" s="89">
        <v>70.722818301629857</v>
      </c>
      <c r="I247" s="84">
        <v>9.0162242400328338</v>
      </c>
      <c r="J247" s="84">
        <v>16.628855283362508</v>
      </c>
      <c r="K247" s="84">
        <v>1.3239718372538667</v>
      </c>
      <c r="L247" s="58"/>
      <c r="M247" s="65"/>
      <c r="N247" s="58"/>
      <c r="O247" s="58"/>
      <c r="P247" s="58"/>
    </row>
    <row r="248" spans="2:16" s="1" customFormat="1" x14ac:dyDescent="0.3">
      <c r="B248" s="295"/>
      <c r="C248" s="12" t="s">
        <v>193</v>
      </c>
      <c r="D248" s="90">
        <v>47.435168668261355</v>
      </c>
      <c r="E248" s="90">
        <v>44.854102530823312</v>
      </c>
      <c r="F248" s="91">
        <v>52.02677241698224</v>
      </c>
      <c r="G248" s="91">
        <v>46.544440338871411</v>
      </c>
      <c r="H248" s="91">
        <v>72.086835566491033</v>
      </c>
      <c r="I248" s="90">
        <v>9.3298680408452253</v>
      </c>
      <c r="J248" s="90">
        <v>24.995998494741137</v>
      </c>
      <c r="K248" s="90">
        <v>2.7268139429855469</v>
      </c>
      <c r="L248" s="58"/>
      <c r="M248" s="65"/>
      <c r="N248" s="58"/>
      <c r="O248" s="58"/>
      <c r="P248" s="58"/>
    </row>
    <row r="249" spans="2:16" s="1" customFormat="1" x14ac:dyDescent="0.3">
      <c r="B249" s="291" t="s">
        <v>209</v>
      </c>
      <c r="C249" s="13" t="s">
        <v>205</v>
      </c>
      <c r="D249" s="84">
        <v>44.233621336309014</v>
      </c>
      <c r="E249" s="84">
        <v>52.196974048130492</v>
      </c>
      <c r="F249" s="89">
        <v>52.940548888053797</v>
      </c>
      <c r="G249" s="89">
        <v>44.249061049061879</v>
      </c>
      <c r="H249" s="89">
        <v>71.701012961298645</v>
      </c>
      <c r="I249" s="84">
        <v>9.0085700150196271</v>
      </c>
      <c r="J249" s="84">
        <v>22.933222863191343</v>
      </c>
      <c r="K249" s="84">
        <v>2.7369888389354271</v>
      </c>
      <c r="L249" s="58"/>
      <c r="M249" s="65"/>
      <c r="N249" s="58"/>
      <c r="O249" s="58"/>
      <c r="P249" s="58"/>
    </row>
    <row r="250" spans="2:16" s="1" customFormat="1" x14ac:dyDescent="0.3">
      <c r="B250" s="292"/>
      <c r="C250" s="9" t="s">
        <v>206</v>
      </c>
      <c r="D250" s="86">
        <v>46.227397665030942</v>
      </c>
      <c r="E250" s="86">
        <v>47.500427955005513</v>
      </c>
      <c r="F250" s="88">
        <v>49.596732939013208</v>
      </c>
      <c r="G250" s="88">
        <v>47.258723182326648</v>
      </c>
      <c r="H250" s="88">
        <v>74.224654131620653</v>
      </c>
      <c r="I250" s="86">
        <v>6.2608709019680076</v>
      </c>
      <c r="J250" s="86">
        <v>26.710428831965142</v>
      </c>
      <c r="K250" s="86">
        <v>2.220764393069568</v>
      </c>
      <c r="L250" s="58"/>
      <c r="M250" s="65"/>
      <c r="N250" s="58"/>
      <c r="O250" s="58"/>
      <c r="P250" s="58"/>
    </row>
    <row r="251" spans="2:16" s="1" customFormat="1" x14ac:dyDescent="0.3">
      <c r="B251" s="292"/>
      <c r="C251" s="9" t="s">
        <v>207</v>
      </c>
      <c r="D251" s="86">
        <v>50.831121468810572</v>
      </c>
      <c r="E251" s="86">
        <v>56.510150863779259</v>
      </c>
      <c r="F251" s="88">
        <v>49.390009333654881</v>
      </c>
      <c r="G251" s="88">
        <v>41.854604812411743</v>
      </c>
      <c r="H251" s="88">
        <v>71.255646190075396</v>
      </c>
      <c r="I251" s="86">
        <v>9.2726164650747336</v>
      </c>
      <c r="J251" s="86">
        <v>19.159949945853725</v>
      </c>
      <c r="K251" s="86">
        <v>1.7259009203395483</v>
      </c>
      <c r="L251" s="58"/>
      <c r="M251" s="65"/>
      <c r="N251" s="58"/>
      <c r="O251" s="58"/>
      <c r="P251" s="58"/>
    </row>
    <row r="252" spans="2:16" s="1" customFormat="1" x14ac:dyDescent="0.3">
      <c r="B252" s="293"/>
      <c r="C252" s="25" t="s">
        <v>208</v>
      </c>
      <c r="D252" s="87">
        <v>52.229824294654939</v>
      </c>
      <c r="E252" s="87">
        <v>54.130824979769763</v>
      </c>
      <c r="F252" s="95">
        <v>52.545415339252202</v>
      </c>
      <c r="G252" s="95">
        <v>41.833586888727567</v>
      </c>
      <c r="H252" s="95">
        <v>69.408512657008316</v>
      </c>
      <c r="I252" s="87">
        <v>11.123573859387733</v>
      </c>
      <c r="J252" s="87">
        <v>16.940119727134238</v>
      </c>
      <c r="K252" s="87">
        <v>1.788142254064768</v>
      </c>
      <c r="L252" s="58"/>
      <c r="M252" s="65"/>
      <c r="N252" s="58"/>
      <c r="O252" s="58"/>
      <c r="P252" s="58"/>
    </row>
    <row r="253" spans="2:16" s="1" customFormat="1" x14ac:dyDescent="0.3">
      <c r="B253" s="60"/>
      <c r="C253" s="9"/>
      <c r="D253" s="58"/>
      <c r="E253" s="58"/>
      <c r="F253" s="50"/>
      <c r="G253" s="50"/>
      <c r="H253" s="50"/>
      <c r="I253" s="58"/>
      <c r="J253" s="58"/>
      <c r="K253" s="65"/>
      <c r="L253" s="58"/>
      <c r="M253" s="65"/>
      <c r="N253" s="58"/>
      <c r="O253" s="58"/>
      <c r="P253" s="58"/>
    </row>
    <row r="254" spans="2:16" s="1" customFormat="1" x14ac:dyDescent="0.3">
      <c r="B254" s="60"/>
      <c r="C254" s="9"/>
      <c r="D254" s="58"/>
      <c r="E254" s="58"/>
      <c r="F254" s="50"/>
      <c r="G254" s="50"/>
      <c r="H254" s="50"/>
      <c r="I254" s="58"/>
      <c r="J254" s="58"/>
      <c r="K254" s="65"/>
      <c r="L254" s="58"/>
      <c r="M254" s="65"/>
      <c r="N254" s="58"/>
      <c r="O254" s="58"/>
      <c r="P254" s="58"/>
    </row>
    <row r="255" spans="2:16" x14ac:dyDescent="0.3">
      <c r="B255" s="17" t="s">
        <v>497</v>
      </c>
    </row>
    <row r="256" spans="2:16" s="1" customFormat="1" x14ac:dyDescent="0.3">
      <c r="B256"/>
      <c r="C256"/>
      <c r="D256"/>
      <c r="E256"/>
      <c r="F256"/>
      <c r="G256"/>
      <c r="H256"/>
      <c r="I256" s="30"/>
      <c r="J256" s="30"/>
      <c r="K256" s="30"/>
      <c r="L256" s="30" t="s">
        <v>52</v>
      </c>
      <c r="M256" s="65"/>
      <c r="N256" s="58"/>
      <c r="O256" s="58"/>
      <c r="P256" s="58"/>
    </row>
    <row r="257" spans="2:17" s="22" customFormat="1" ht="28.5" customHeight="1" x14ac:dyDescent="0.3">
      <c r="B257" s="213"/>
      <c r="C257" s="213"/>
      <c r="D257" s="202" t="s">
        <v>298</v>
      </c>
      <c r="E257" s="202" t="s">
        <v>299</v>
      </c>
      <c r="F257" s="202" t="s">
        <v>121</v>
      </c>
      <c r="G257" s="202" t="s">
        <v>118</v>
      </c>
      <c r="H257" s="202" t="s">
        <v>122</v>
      </c>
      <c r="I257" s="202" t="s">
        <v>124</v>
      </c>
      <c r="J257" s="202" t="s">
        <v>423</v>
      </c>
      <c r="K257" s="202" t="s">
        <v>148</v>
      </c>
      <c r="L257" s="202" t="s">
        <v>12</v>
      </c>
      <c r="M257" s="64"/>
      <c r="N257" s="64"/>
      <c r="O257" s="64"/>
      <c r="P257" s="64"/>
      <c r="Q257" s="39"/>
    </row>
    <row r="258" spans="2:17" s="1" customFormat="1" ht="21.75" customHeight="1" x14ac:dyDescent="0.3">
      <c r="B258" s="292" t="s">
        <v>20</v>
      </c>
      <c r="C258" s="292"/>
      <c r="D258" s="88">
        <v>26.573171583647653</v>
      </c>
      <c r="E258" s="86">
        <v>13.616778058901998</v>
      </c>
      <c r="F258" s="88">
        <v>14.972459262440566</v>
      </c>
      <c r="G258" s="86">
        <v>33.065779930190828</v>
      </c>
      <c r="H258" s="86">
        <v>6.3792268362956523</v>
      </c>
      <c r="I258" s="86">
        <v>3.2495745606319937</v>
      </c>
      <c r="J258" s="86">
        <v>1.0274520980260835</v>
      </c>
      <c r="K258" s="86">
        <v>0.51223167055431462</v>
      </c>
      <c r="L258" s="86">
        <v>0.60332599931008535</v>
      </c>
      <c r="M258" s="65"/>
      <c r="N258" s="58"/>
      <c r="O258" s="58"/>
      <c r="P258" s="58"/>
    </row>
    <row r="259" spans="2:17" s="1" customFormat="1" x14ac:dyDescent="0.3">
      <c r="B259" s="296" t="s">
        <v>5</v>
      </c>
      <c r="C259" s="13" t="s">
        <v>0</v>
      </c>
      <c r="D259" s="89">
        <v>22.124418032492617</v>
      </c>
      <c r="E259" s="84">
        <v>14.814699815350387</v>
      </c>
      <c r="F259" s="89">
        <v>13.690360122736386</v>
      </c>
      <c r="G259" s="84">
        <v>36.87842691497606</v>
      </c>
      <c r="H259" s="84">
        <v>5.7557949599279725</v>
      </c>
      <c r="I259" s="84">
        <v>4.1672421955809513</v>
      </c>
      <c r="J259" s="84">
        <v>1.082366409559542</v>
      </c>
      <c r="K259" s="84">
        <v>0.65469405208138598</v>
      </c>
      <c r="L259" s="84">
        <v>0.83199749729464845</v>
      </c>
      <c r="M259" s="65"/>
      <c r="N259" s="58"/>
      <c r="O259" s="58"/>
      <c r="P259" s="58"/>
    </row>
    <row r="260" spans="2:17" s="1" customFormat="1" x14ac:dyDescent="0.3">
      <c r="B260" s="295"/>
      <c r="C260" s="12" t="s">
        <v>1</v>
      </c>
      <c r="D260" s="91">
        <v>31.182749312636641</v>
      </c>
      <c r="E260" s="90">
        <v>12.375550963245004</v>
      </c>
      <c r="F260" s="91">
        <v>16.300906786624616</v>
      </c>
      <c r="G260" s="90">
        <v>29.115304268306737</v>
      </c>
      <c r="H260" s="90">
        <v>7.0251960184051772</v>
      </c>
      <c r="I260" s="90">
        <v>2.2987328823880522</v>
      </c>
      <c r="J260" s="90">
        <v>0.97055261269011506</v>
      </c>
      <c r="K260" s="90">
        <v>0.36461921831242666</v>
      </c>
      <c r="L260" s="90">
        <v>0.36638793739151737</v>
      </c>
      <c r="M260" s="65"/>
      <c r="N260" s="58"/>
      <c r="O260" s="58"/>
      <c r="P260" s="58"/>
    </row>
    <row r="261" spans="2:17" s="1" customFormat="1" x14ac:dyDescent="0.3">
      <c r="B261" s="296" t="s">
        <v>4</v>
      </c>
      <c r="C261" s="9" t="s">
        <v>175</v>
      </c>
      <c r="D261" s="88">
        <v>56.959955151512091</v>
      </c>
      <c r="E261" s="86">
        <v>7.7701833320526115</v>
      </c>
      <c r="F261" s="88">
        <v>6.9896110046848952</v>
      </c>
      <c r="G261" s="86">
        <v>11.292848702398327</v>
      </c>
      <c r="H261" s="86">
        <v>2.0221917867399242</v>
      </c>
      <c r="I261" s="86">
        <v>9.8394743877235342</v>
      </c>
      <c r="J261" s="86">
        <v>2.0651042448899934</v>
      </c>
      <c r="K261" s="86">
        <v>3.0606313899986555</v>
      </c>
      <c r="L261" s="86">
        <v>0</v>
      </c>
      <c r="M261" s="65"/>
      <c r="N261" s="58"/>
      <c r="O261" s="58"/>
      <c r="P261" s="58"/>
    </row>
    <row r="262" spans="2:17" s="1" customFormat="1" x14ac:dyDescent="0.3">
      <c r="B262" s="292"/>
      <c r="C262" s="9" t="s">
        <v>176</v>
      </c>
      <c r="D262" s="88">
        <v>47.010128836269722</v>
      </c>
      <c r="E262" s="86">
        <v>14.08217920741899</v>
      </c>
      <c r="F262" s="88">
        <v>9.6907911535444917</v>
      </c>
      <c r="G262" s="86">
        <v>16.346347482229156</v>
      </c>
      <c r="H262" s="86">
        <v>3.7920197619603404</v>
      </c>
      <c r="I262" s="86">
        <v>5.3231586951970407</v>
      </c>
      <c r="J262" s="86">
        <v>1.7570591136763685</v>
      </c>
      <c r="K262" s="86">
        <v>1.1629574567119587</v>
      </c>
      <c r="L262" s="86">
        <v>0.83535829299199826</v>
      </c>
      <c r="M262" s="65"/>
      <c r="N262" s="58"/>
      <c r="O262" s="58"/>
      <c r="P262" s="58"/>
    </row>
    <row r="263" spans="2:17" s="1" customFormat="1" x14ac:dyDescent="0.3">
      <c r="B263" s="292"/>
      <c r="C263" s="9" t="s">
        <v>177</v>
      </c>
      <c r="D263" s="88">
        <v>30.347461199625609</v>
      </c>
      <c r="E263" s="86">
        <v>16.908794075692647</v>
      </c>
      <c r="F263" s="88">
        <v>13.373774038201219</v>
      </c>
      <c r="G263" s="86">
        <v>29.81277225563802</v>
      </c>
      <c r="H263" s="86">
        <v>3.0629011474688062</v>
      </c>
      <c r="I263" s="86">
        <v>4.9698909965467948</v>
      </c>
      <c r="J263" s="86">
        <v>0.84886662198537777</v>
      </c>
      <c r="K263" s="86">
        <v>0.46474074057990822</v>
      </c>
      <c r="L263" s="86">
        <v>0.21079892426190072</v>
      </c>
      <c r="M263" s="65"/>
      <c r="N263" s="58"/>
      <c r="O263" s="58"/>
      <c r="P263" s="58"/>
    </row>
    <row r="264" spans="2:17" s="1" customFormat="1" x14ac:dyDescent="0.3">
      <c r="B264" s="292"/>
      <c r="C264" s="9" t="s">
        <v>178</v>
      </c>
      <c r="D264" s="88">
        <v>20.044712852050388</v>
      </c>
      <c r="E264" s="86">
        <v>15.282672436470435</v>
      </c>
      <c r="F264" s="88">
        <v>14.752878512449055</v>
      </c>
      <c r="G264" s="86">
        <v>40.793758330201172</v>
      </c>
      <c r="H264" s="86">
        <v>5.4031105510296431</v>
      </c>
      <c r="I264" s="86">
        <v>2.2754964917343505</v>
      </c>
      <c r="J264" s="86">
        <v>0.94411238125307795</v>
      </c>
      <c r="K264" s="86">
        <v>0.35217337055036552</v>
      </c>
      <c r="L264" s="86">
        <v>0.1510850742617324</v>
      </c>
      <c r="M264" s="65"/>
      <c r="N264" s="58"/>
      <c r="O264" s="58"/>
      <c r="P264" s="58"/>
    </row>
    <row r="265" spans="2:17" s="1" customFormat="1" x14ac:dyDescent="0.3">
      <c r="B265" s="292"/>
      <c r="C265" s="9" t="s">
        <v>179</v>
      </c>
      <c r="D265" s="88">
        <v>19.553342357248944</v>
      </c>
      <c r="E265" s="86">
        <v>10.966111918348489</v>
      </c>
      <c r="F265" s="88">
        <v>18.294855048948751</v>
      </c>
      <c r="G265" s="86">
        <v>39.378296681214096</v>
      </c>
      <c r="H265" s="86">
        <v>7.8613080357916063</v>
      </c>
      <c r="I265" s="86">
        <v>1.9786013686971755</v>
      </c>
      <c r="J265" s="86">
        <v>1.0998997805365001</v>
      </c>
      <c r="K265" s="86">
        <v>0</v>
      </c>
      <c r="L265" s="86">
        <v>0.86758480921450498</v>
      </c>
      <c r="M265" s="65"/>
      <c r="N265" s="58"/>
      <c r="O265" s="58"/>
      <c r="P265" s="58"/>
    </row>
    <row r="266" spans="2:17" s="1" customFormat="1" x14ac:dyDescent="0.3">
      <c r="B266" s="298"/>
      <c r="C266" s="12" t="s">
        <v>180</v>
      </c>
      <c r="D266" s="91">
        <v>14.571550503062126</v>
      </c>
      <c r="E266" s="90">
        <v>13.149648165336576</v>
      </c>
      <c r="F266" s="91">
        <v>18.860062773399129</v>
      </c>
      <c r="G266" s="90">
        <v>39.233586251593486</v>
      </c>
      <c r="H266" s="90">
        <v>11.592027212810871</v>
      </c>
      <c r="I266" s="90">
        <v>1.0000000496289481</v>
      </c>
      <c r="J266" s="90">
        <v>0.36139962575877921</v>
      </c>
      <c r="K266" s="90">
        <v>0.1733530427504566</v>
      </c>
      <c r="L266" s="90">
        <v>1.0583723756594492</v>
      </c>
      <c r="M266" s="65"/>
      <c r="N266" s="58"/>
      <c r="O266" s="58"/>
      <c r="P266" s="58"/>
    </row>
    <row r="267" spans="2:17" s="1" customFormat="1" x14ac:dyDescent="0.3">
      <c r="B267" s="292" t="s">
        <v>223</v>
      </c>
      <c r="C267" s="9" t="s">
        <v>210</v>
      </c>
      <c r="D267" s="88">
        <v>47.654487181508884</v>
      </c>
      <c r="E267" s="86">
        <v>10.191379394326777</v>
      </c>
      <c r="F267" s="88">
        <v>11.090571341765337</v>
      </c>
      <c r="G267" s="86">
        <v>14.098067703443762</v>
      </c>
      <c r="H267" s="86">
        <v>1.9994666481640537</v>
      </c>
      <c r="I267" s="86">
        <v>11.470386532901186</v>
      </c>
      <c r="J267" s="86">
        <v>0</v>
      </c>
      <c r="K267" s="86">
        <v>3.4956411978900008</v>
      </c>
      <c r="L267" s="86">
        <v>0</v>
      </c>
      <c r="M267" s="65"/>
      <c r="N267" s="58"/>
      <c r="O267" s="58"/>
      <c r="P267" s="58"/>
    </row>
    <row r="268" spans="2:17" s="1" customFormat="1" x14ac:dyDescent="0.3">
      <c r="B268" s="292"/>
      <c r="C268" s="9" t="s">
        <v>211</v>
      </c>
      <c r="D268" s="88">
        <v>35.549362905040702</v>
      </c>
      <c r="E268" s="86">
        <v>16.537376228992866</v>
      </c>
      <c r="F268" s="88">
        <v>10.814084479191074</v>
      </c>
      <c r="G268" s="86">
        <v>20.83363913464585</v>
      </c>
      <c r="H268" s="86">
        <v>4.2856258335638309</v>
      </c>
      <c r="I268" s="86">
        <v>6.8153285190484567</v>
      </c>
      <c r="J268" s="86">
        <v>2.4715918868523596</v>
      </c>
      <c r="K268" s="86">
        <v>1.4832282810323072</v>
      </c>
      <c r="L268" s="86">
        <v>1.2097627316325106</v>
      </c>
      <c r="M268" s="65"/>
      <c r="N268" s="58"/>
      <c r="O268" s="58"/>
      <c r="P268" s="58"/>
    </row>
    <row r="269" spans="2:17" s="1" customFormat="1" x14ac:dyDescent="0.3">
      <c r="B269" s="292"/>
      <c r="C269" s="9" t="s">
        <v>212</v>
      </c>
      <c r="D269" s="88">
        <v>26.940161236887423</v>
      </c>
      <c r="E269" s="86">
        <v>19.480527335218245</v>
      </c>
      <c r="F269" s="88">
        <v>12.335162635582423</v>
      </c>
      <c r="G269" s="86">
        <v>29.372821392898697</v>
      </c>
      <c r="H269" s="86">
        <v>3.5127534487661025</v>
      </c>
      <c r="I269" s="86">
        <v>6.9898829049693401</v>
      </c>
      <c r="J269" s="86">
        <v>0.74341007736616393</v>
      </c>
      <c r="K269" s="86">
        <v>0.62528096831155666</v>
      </c>
      <c r="L269" s="86">
        <v>0</v>
      </c>
      <c r="M269" s="65"/>
      <c r="N269" s="58"/>
      <c r="O269" s="58"/>
      <c r="P269" s="58"/>
    </row>
    <row r="270" spans="2:17" s="1" customFormat="1" x14ac:dyDescent="0.3">
      <c r="B270" s="292"/>
      <c r="C270" s="9" t="s">
        <v>213</v>
      </c>
      <c r="D270" s="88">
        <v>16.850561204510296</v>
      </c>
      <c r="E270" s="86">
        <v>15.624929446486316</v>
      </c>
      <c r="F270" s="88">
        <v>13.160544624865246</v>
      </c>
      <c r="G270" s="86">
        <v>44.238381131359077</v>
      </c>
      <c r="H270" s="86">
        <v>5.5670704672877136</v>
      </c>
      <c r="I270" s="86">
        <v>3.2268946871574546</v>
      </c>
      <c r="J270" s="86">
        <v>0.34178646986184985</v>
      </c>
      <c r="K270" s="86">
        <v>0.69267086167923053</v>
      </c>
      <c r="L270" s="86">
        <v>0.29716110679293412</v>
      </c>
      <c r="M270" s="65"/>
      <c r="N270" s="58"/>
      <c r="O270" s="58"/>
      <c r="P270" s="58"/>
    </row>
    <row r="271" spans="2:17" s="1" customFormat="1" x14ac:dyDescent="0.3">
      <c r="B271" s="292"/>
      <c r="C271" s="9" t="s">
        <v>214</v>
      </c>
      <c r="D271" s="88">
        <v>17.149020986629029</v>
      </c>
      <c r="E271" s="86">
        <v>12.238259015252789</v>
      </c>
      <c r="F271" s="88">
        <v>16.646170109817373</v>
      </c>
      <c r="G271" s="86">
        <v>43.074026866721965</v>
      </c>
      <c r="H271" s="86">
        <v>5.645496235632339</v>
      </c>
      <c r="I271" s="86">
        <v>2.029593847040684</v>
      </c>
      <c r="J271" s="86">
        <v>1.7214613926471813</v>
      </c>
      <c r="K271" s="86">
        <v>0</v>
      </c>
      <c r="L271" s="86">
        <v>1.4959715462586252</v>
      </c>
      <c r="M271" s="65"/>
      <c r="N271" s="58"/>
      <c r="O271" s="58"/>
      <c r="P271" s="58"/>
    </row>
    <row r="272" spans="2:17" s="1" customFormat="1" x14ac:dyDescent="0.3">
      <c r="B272" s="292"/>
      <c r="C272" s="12" t="s">
        <v>215</v>
      </c>
      <c r="D272" s="91">
        <v>11.489939959437184</v>
      </c>
      <c r="E272" s="90">
        <v>12.461103077273252</v>
      </c>
      <c r="F272" s="91">
        <v>15.088895066165483</v>
      </c>
      <c r="G272" s="90">
        <v>47.844993236509012</v>
      </c>
      <c r="H272" s="90">
        <v>10.26601395722154</v>
      </c>
      <c r="I272" s="90">
        <v>1.0462026079593751</v>
      </c>
      <c r="J272" s="90">
        <v>0.53644632517747692</v>
      </c>
      <c r="K272" s="90">
        <v>0</v>
      </c>
      <c r="L272" s="90">
        <v>1.2664057702567153</v>
      </c>
      <c r="M272" s="65"/>
      <c r="N272" s="58"/>
      <c r="O272" s="58"/>
      <c r="P272" s="58"/>
    </row>
    <row r="273" spans="2:16" s="1" customFormat="1" x14ac:dyDescent="0.3">
      <c r="B273" s="292"/>
      <c r="C273" s="9" t="s">
        <v>216</v>
      </c>
      <c r="D273" s="88">
        <v>66.85392268477419</v>
      </c>
      <c r="E273" s="86">
        <v>5.195865166751954</v>
      </c>
      <c r="F273" s="88">
        <v>2.6292963422665179</v>
      </c>
      <c r="G273" s="86">
        <v>8.3102210893107493</v>
      </c>
      <c r="H273" s="86">
        <v>2.046354116241603</v>
      </c>
      <c r="I273" s="86">
        <v>8.1054195431948521</v>
      </c>
      <c r="J273" s="86">
        <v>4.2608105132482859</v>
      </c>
      <c r="K273" s="86">
        <v>2.5981105442118859</v>
      </c>
      <c r="L273" s="86">
        <v>0</v>
      </c>
      <c r="M273" s="65"/>
      <c r="N273" s="58"/>
      <c r="O273" s="58"/>
      <c r="P273" s="58"/>
    </row>
    <row r="274" spans="2:16" s="1" customFormat="1" x14ac:dyDescent="0.3">
      <c r="B274" s="292"/>
      <c r="C274" s="9" t="s">
        <v>217</v>
      </c>
      <c r="D274" s="88">
        <v>59.500556085669828</v>
      </c>
      <c r="E274" s="86">
        <v>11.406401692641289</v>
      </c>
      <c r="F274" s="88">
        <v>8.4665785967297076</v>
      </c>
      <c r="G274" s="86">
        <v>11.455907325988944</v>
      </c>
      <c r="H274" s="86">
        <v>3.2540669964801539</v>
      </c>
      <c r="I274" s="86">
        <v>3.6969289353010559</v>
      </c>
      <c r="J274" s="86">
        <v>0.97833108849717243</v>
      </c>
      <c r="K274" s="86">
        <v>0.81391277197771539</v>
      </c>
      <c r="L274" s="86">
        <v>0.42731650671407262</v>
      </c>
      <c r="M274" s="65"/>
      <c r="N274" s="58"/>
      <c r="O274" s="58"/>
      <c r="P274" s="58"/>
    </row>
    <row r="275" spans="2:16" s="1" customFormat="1" x14ac:dyDescent="0.3">
      <c r="B275" s="292"/>
      <c r="C275" s="9" t="s">
        <v>218</v>
      </c>
      <c r="D275" s="88">
        <v>34.055650191180767</v>
      </c>
      <c r="E275" s="86">
        <v>14.109958321142205</v>
      </c>
      <c r="F275" s="88">
        <v>14.504102278101627</v>
      </c>
      <c r="G275" s="86">
        <v>30.291573935524031</v>
      </c>
      <c r="H275" s="86">
        <v>2.5733236609724286</v>
      </c>
      <c r="I275" s="86">
        <v>2.7715193122927433</v>
      </c>
      <c r="J275" s="86">
        <v>0.96363573598206731</v>
      </c>
      <c r="K275" s="86">
        <v>0.29002365911171407</v>
      </c>
      <c r="L275" s="86">
        <v>0.44021290569237947</v>
      </c>
      <c r="M275" s="65"/>
      <c r="N275" s="58"/>
      <c r="O275" s="58"/>
      <c r="P275" s="58"/>
    </row>
    <row r="276" spans="2:16" s="1" customFormat="1" x14ac:dyDescent="0.3">
      <c r="B276" s="292"/>
      <c r="C276" s="9" t="s">
        <v>219</v>
      </c>
      <c r="D276" s="88">
        <v>23.348394027596687</v>
      </c>
      <c r="E276" s="86">
        <v>14.928679211991163</v>
      </c>
      <c r="F276" s="88">
        <v>16.39981455997399</v>
      </c>
      <c r="G276" s="86">
        <v>37.231017183014863</v>
      </c>
      <c r="H276" s="86">
        <v>5.2335283430893309</v>
      </c>
      <c r="I276" s="86">
        <v>1.2914742362197382</v>
      </c>
      <c r="J276" s="86">
        <v>1.567092438114015</v>
      </c>
      <c r="K276" s="86">
        <v>0</v>
      </c>
      <c r="L276" s="86">
        <v>0</v>
      </c>
      <c r="M276" s="65"/>
      <c r="N276" s="58"/>
      <c r="O276" s="58"/>
      <c r="P276" s="58"/>
    </row>
    <row r="277" spans="2:16" s="1" customFormat="1" x14ac:dyDescent="0.3">
      <c r="B277" s="292"/>
      <c r="C277" s="9" t="s">
        <v>220</v>
      </c>
      <c r="D277" s="88">
        <v>22.001010103776792</v>
      </c>
      <c r="E277" s="86">
        <v>9.6710298814871649</v>
      </c>
      <c r="F277" s="88">
        <v>19.973263351187327</v>
      </c>
      <c r="G277" s="86">
        <v>35.615937919413369</v>
      </c>
      <c r="H277" s="86">
        <v>10.117067661730177</v>
      </c>
      <c r="I277" s="86">
        <v>1.9266895710140155</v>
      </c>
      <c r="J277" s="86">
        <v>0.46713232730253357</v>
      </c>
      <c r="K277" s="86">
        <v>0</v>
      </c>
      <c r="L277" s="86">
        <v>0.22786918408898446</v>
      </c>
      <c r="M277" s="65"/>
      <c r="N277" s="58"/>
      <c r="O277" s="58"/>
      <c r="P277" s="58"/>
    </row>
    <row r="278" spans="2:16" s="1" customFormat="1" x14ac:dyDescent="0.3">
      <c r="B278" s="295"/>
      <c r="C278" s="9" t="s">
        <v>221</v>
      </c>
      <c r="D278" s="88">
        <v>17.560898583838359</v>
      </c>
      <c r="E278" s="86">
        <v>13.817578427253766</v>
      </c>
      <c r="F278" s="88">
        <v>22.518322890410282</v>
      </c>
      <c r="G278" s="86">
        <v>30.880002118000405</v>
      </c>
      <c r="H278" s="86">
        <v>12.878340043249557</v>
      </c>
      <c r="I278" s="86">
        <v>0.95518078154923658</v>
      </c>
      <c r="J278" s="86">
        <v>0.19159377016940349</v>
      </c>
      <c r="K278" s="86">
        <v>0.34151594922636819</v>
      </c>
      <c r="L278" s="86">
        <v>0.85656743630292342</v>
      </c>
      <c r="M278" s="65"/>
      <c r="N278" s="58"/>
      <c r="O278" s="58"/>
      <c r="P278" s="58"/>
    </row>
    <row r="279" spans="2:16" s="1" customFormat="1" ht="16.5" customHeight="1" x14ac:dyDescent="0.3">
      <c r="B279" s="291" t="s">
        <v>222</v>
      </c>
      <c r="C279" s="13" t="s">
        <v>226</v>
      </c>
      <c r="D279" s="89">
        <v>24.109239408055206</v>
      </c>
      <c r="E279" s="84">
        <v>13.040456802740092</v>
      </c>
      <c r="F279" s="89">
        <v>14.548805117984182</v>
      </c>
      <c r="G279" s="84">
        <v>35.786672404420472</v>
      </c>
      <c r="H279" s="84">
        <v>7.5776684448648979</v>
      </c>
      <c r="I279" s="84">
        <v>2.6678164459603222</v>
      </c>
      <c r="J279" s="84">
        <v>1.1816200604529024</v>
      </c>
      <c r="K279" s="84">
        <v>0.65628265527547425</v>
      </c>
      <c r="L279" s="84">
        <v>0.43143866024639838</v>
      </c>
      <c r="M279" s="65"/>
      <c r="N279" s="58"/>
      <c r="O279" s="58"/>
      <c r="P279" s="58"/>
    </row>
    <row r="280" spans="2:16" s="1" customFormat="1" x14ac:dyDescent="0.3">
      <c r="B280" s="294"/>
      <c r="C280" s="9" t="s">
        <v>227</v>
      </c>
      <c r="D280" s="88">
        <v>26.408646986346181</v>
      </c>
      <c r="E280" s="86">
        <v>13.438903764505</v>
      </c>
      <c r="F280" s="88">
        <v>13.545152580461096</v>
      </c>
      <c r="G280" s="86">
        <v>35.182304459036338</v>
      </c>
      <c r="H280" s="86">
        <v>6.3903691648719851</v>
      </c>
      <c r="I280" s="86">
        <v>3.5151705402344273</v>
      </c>
      <c r="J280" s="86">
        <v>0.94335251793103791</v>
      </c>
      <c r="K280" s="86">
        <v>0.18312199714025576</v>
      </c>
      <c r="L280" s="86">
        <v>0.39297798947367663</v>
      </c>
      <c r="M280" s="65"/>
      <c r="N280" s="58"/>
      <c r="O280" s="58"/>
      <c r="P280" s="58"/>
    </row>
    <row r="281" spans="2:16" s="1" customFormat="1" x14ac:dyDescent="0.3">
      <c r="B281" s="292"/>
      <c r="C281" s="9" t="s">
        <v>228</v>
      </c>
      <c r="D281" s="88">
        <v>25.214294533144045</v>
      </c>
      <c r="E281" s="86">
        <v>13.359414056781995</v>
      </c>
      <c r="F281" s="88">
        <v>17.327088197530699</v>
      </c>
      <c r="G281" s="86">
        <v>32.597275459867376</v>
      </c>
      <c r="H281" s="86">
        <v>5.3810170629716163</v>
      </c>
      <c r="I281" s="86">
        <v>3.6621282454013264</v>
      </c>
      <c r="J281" s="86">
        <v>1.2206948044624906</v>
      </c>
      <c r="K281" s="86">
        <v>0.12372957510174629</v>
      </c>
      <c r="L281" s="86">
        <v>1.1143580647388094</v>
      </c>
      <c r="M281" s="65"/>
      <c r="N281" s="58"/>
      <c r="O281" s="58"/>
      <c r="P281" s="58"/>
    </row>
    <row r="282" spans="2:16" s="1" customFormat="1" x14ac:dyDescent="0.3">
      <c r="B282" s="295"/>
      <c r="C282" s="12" t="s">
        <v>229</v>
      </c>
      <c r="D282" s="91">
        <v>30.786738875004222</v>
      </c>
      <c r="E282" s="90">
        <v>14.727619380267958</v>
      </c>
      <c r="F282" s="91">
        <v>15.173608842804628</v>
      </c>
      <c r="G282" s="90">
        <v>27.689111956860575</v>
      </c>
      <c r="H282" s="90">
        <v>5.9097361336851808</v>
      </c>
      <c r="I282" s="90">
        <v>3.192951759623329</v>
      </c>
      <c r="J282" s="90">
        <v>0.78819245111700542</v>
      </c>
      <c r="K282" s="90">
        <v>1.1229843571559546</v>
      </c>
      <c r="L282" s="90">
        <v>0.6090562434813106</v>
      </c>
      <c r="M282" s="65"/>
      <c r="N282" s="58"/>
      <c r="O282" s="58"/>
      <c r="P282" s="58"/>
    </row>
    <row r="283" spans="2:16" s="1" customFormat="1" x14ac:dyDescent="0.3">
      <c r="B283" s="296" t="s">
        <v>199</v>
      </c>
      <c r="C283" s="13" t="s">
        <v>192</v>
      </c>
      <c r="D283" s="89">
        <v>28.331697513541155</v>
      </c>
      <c r="E283" s="84">
        <v>13.898219498268405</v>
      </c>
      <c r="F283" s="89">
        <v>14.637866895633172</v>
      </c>
      <c r="G283" s="84">
        <v>31.944322506885392</v>
      </c>
      <c r="H283" s="84">
        <v>5.9578344658474478</v>
      </c>
      <c r="I283" s="84">
        <v>3.3887872855913748</v>
      </c>
      <c r="J283" s="84">
        <v>0.97877736262107562</v>
      </c>
      <c r="K283" s="84">
        <v>0.38051070339640647</v>
      </c>
      <c r="L283" s="84">
        <v>0.48198376821497696</v>
      </c>
      <c r="M283" s="65"/>
      <c r="N283" s="58"/>
      <c r="O283" s="58"/>
      <c r="P283" s="58"/>
    </row>
    <row r="284" spans="2:16" s="1" customFormat="1" ht="16.5" customHeight="1" x14ac:dyDescent="0.3">
      <c r="B284" s="292"/>
      <c r="C284" s="9" t="s">
        <v>200</v>
      </c>
      <c r="D284" s="88">
        <v>23.31068732640917</v>
      </c>
      <c r="E284" s="86">
        <v>14.039086806431486</v>
      </c>
      <c r="F284" s="88">
        <v>10.321053882497466</v>
      </c>
      <c r="G284" s="86">
        <v>39.099875231333634</v>
      </c>
      <c r="H284" s="86">
        <v>4.8520663183407997</v>
      </c>
      <c r="I284" s="86">
        <v>5.6968190513300607</v>
      </c>
      <c r="J284" s="86">
        <v>1.7664827796739706</v>
      </c>
      <c r="K284" s="86">
        <v>0.42002626704707141</v>
      </c>
      <c r="L284" s="86">
        <v>0.49390233693626739</v>
      </c>
      <c r="M284" s="65"/>
      <c r="N284" s="58"/>
      <c r="O284" s="58"/>
      <c r="P284" s="58"/>
    </row>
    <row r="285" spans="2:16" s="1" customFormat="1" x14ac:dyDescent="0.3">
      <c r="B285" s="292"/>
      <c r="C285" s="9" t="s">
        <v>201</v>
      </c>
      <c r="D285" s="88">
        <v>25.108282805763089</v>
      </c>
      <c r="E285" s="86">
        <v>15.510972940647941</v>
      </c>
      <c r="F285" s="88">
        <v>15.23607846087943</v>
      </c>
      <c r="G285" s="86">
        <v>34.131737733725764</v>
      </c>
      <c r="H285" s="86">
        <v>5.1312804405040238</v>
      </c>
      <c r="I285" s="86">
        <v>2.7720406075800215</v>
      </c>
      <c r="J285" s="86">
        <v>0.68482664742522947</v>
      </c>
      <c r="K285" s="86">
        <v>0.74536263217096532</v>
      </c>
      <c r="L285" s="86">
        <v>0.67941773130373739</v>
      </c>
      <c r="M285" s="65"/>
      <c r="N285" s="58"/>
      <c r="O285" s="58"/>
      <c r="P285" s="58"/>
    </row>
    <row r="286" spans="2:16" s="1" customFormat="1" x14ac:dyDescent="0.3">
      <c r="B286" s="292"/>
      <c r="C286" s="9" t="s">
        <v>202</v>
      </c>
      <c r="D286" s="88">
        <v>22.010592701090768</v>
      </c>
      <c r="E286" s="86">
        <v>12.72708338473837</v>
      </c>
      <c r="F286" s="88">
        <v>15.215240226680615</v>
      </c>
      <c r="G286" s="86">
        <v>37.233944274340516</v>
      </c>
      <c r="H286" s="86">
        <v>7.9273054611325406</v>
      </c>
      <c r="I286" s="86">
        <v>2.8522436184086395</v>
      </c>
      <c r="J286" s="86">
        <v>1.1994175299561456</v>
      </c>
      <c r="K286" s="86">
        <v>0.83417280365242341</v>
      </c>
      <c r="L286" s="86">
        <v>0</v>
      </c>
      <c r="M286" s="65"/>
      <c r="N286" s="58"/>
      <c r="O286" s="58"/>
      <c r="P286" s="58"/>
    </row>
    <row r="287" spans="2:16" s="1" customFormat="1" x14ac:dyDescent="0.3">
      <c r="B287" s="295"/>
      <c r="C287" s="12" t="s">
        <v>203</v>
      </c>
      <c r="D287" s="91">
        <v>25.741055344929425</v>
      </c>
      <c r="E287" s="90">
        <v>12.435497991227027</v>
      </c>
      <c r="F287" s="91">
        <v>16.292194452118888</v>
      </c>
      <c r="G287" s="90">
        <v>32.367680825501203</v>
      </c>
      <c r="H287" s="90">
        <v>7.5140276079114265</v>
      </c>
      <c r="I287" s="90">
        <v>2.8894240382515863</v>
      </c>
      <c r="J287" s="90">
        <v>1.0907226105542951</v>
      </c>
      <c r="K287" s="90">
        <v>0.5856910320918558</v>
      </c>
      <c r="L287" s="90">
        <v>1.0837060974144685</v>
      </c>
      <c r="M287" s="65"/>
      <c r="N287" s="58"/>
      <c r="O287" s="58"/>
      <c r="P287" s="58"/>
    </row>
    <row r="288" spans="2:16" s="1" customFormat="1" x14ac:dyDescent="0.3">
      <c r="B288" s="291" t="s">
        <v>204</v>
      </c>
      <c r="C288" s="13" t="s">
        <v>192</v>
      </c>
      <c r="D288" s="89">
        <v>28.331697513541155</v>
      </c>
      <c r="E288" s="84">
        <v>13.898219498268405</v>
      </c>
      <c r="F288" s="89">
        <v>14.637866895633172</v>
      </c>
      <c r="G288" s="84">
        <v>31.944322506885392</v>
      </c>
      <c r="H288" s="84">
        <v>5.9578344658474478</v>
      </c>
      <c r="I288" s="84">
        <v>3.3887872855913748</v>
      </c>
      <c r="J288" s="84">
        <v>0.97877736262107562</v>
      </c>
      <c r="K288" s="84">
        <v>0.38051070339640647</v>
      </c>
      <c r="L288" s="84">
        <v>0.48198376821497696</v>
      </c>
      <c r="M288" s="65"/>
      <c r="N288" s="58"/>
      <c r="O288" s="58"/>
      <c r="P288" s="58"/>
    </row>
    <row r="289" spans="2:17" s="1" customFormat="1" x14ac:dyDescent="0.3">
      <c r="B289" s="295"/>
      <c r="C289" s="12" t="s">
        <v>193</v>
      </c>
      <c r="D289" s="91">
        <v>24.67261363678637</v>
      </c>
      <c r="E289" s="90">
        <v>13.312605254241683</v>
      </c>
      <c r="F289" s="91">
        <v>15.334075870353725</v>
      </c>
      <c r="G289" s="90">
        <v>34.277814840622895</v>
      </c>
      <c r="H289" s="90">
        <v>6.8346540806644001</v>
      </c>
      <c r="I289" s="90">
        <v>3.0991179502243442</v>
      </c>
      <c r="J289" s="90">
        <v>1.0800581777049907</v>
      </c>
      <c r="K289" s="90">
        <v>0.65459143144532439</v>
      </c>
      <c r="L289" s="90">
        <v>0.73446875795664923</v>
      </c>
      <c r="M289" s="65"/>
      <c r="N289" s="58"/>
      <c r="O289" s="58"/>
      <c r="P289" s="58"/>
    </row>
    <row r="290" spans="2:17" s="1" customFormat="1" x14ac:dyDescent="0.3">
      <c r="B290" s="291" t="s">
        <v>209</v>
      </c>
      <c r="C290" s="13" t="s">
        <v>205</v>
      </c>
      <c r="D290" s="89">
        <v>26.409644386000842</v>
      </c>
      <c r="E290" s="84">
        <v>14.083463794271808</v>
      </c>
      <c r="F290" s="89">
        <v>12.227348577447932</v>
      </c>
      <c r="G290" s="84">
        <v>38.465583505164439</v>
      </c>
      <c r="H290" s="84">
        <v>4.2933734656381759</v>
      </c>
      <c r="I290" s="84">
        <v>3.095981553421042</v>
      </c>
      <c r="J290" s="84">
        <v>0.60533319353728032</v>
      </c>
      <c r="K290" s="84">
        <v>0.6079464813933384</v>
      </c>
      <c r="L290" s="84">
        <v>0.21132504312520944</v>
      </c>
      <c r="M290" s="65"/>
      <c r="N290" s="58"/>
      <c r="O290" s="58"/>
      <c r="P290" s="58"/>
    </row>
    <row r="291" spans="2:17" s="1" customFormat="1" x14ac:dyDescent="0.3">
      <c r="B291" s="292"/>
      <c r="C291" s="9" t="s">
        <v>206</v>
      </c>
      <c r="D291" s="88">
        <v>19.463393325210472</v>
      </c>
      <c r="E291" s="86">
        <v>13.508145847209121</v>
      </c>
      <c r="F291" s="88">
        <v>17.184306681160507</v>
      </c>
      <c r="G291" s="86">
        <v>36.129393562520576</v>
      </c>
      <c r="H291" s="86">
        <v>9.5124096289910067</v>
      </c>
      <c r="I291" s="86">
        <v>1.9933525746195051</v>
      </c>
      <c r="J291" s="86">
        <v>0.61840208319184231</v>
      </c>
      <c r="K291" s="86">
        <v>0.47499082329604009</v>
      </c>
      <c r="L291" s="86">
        <v>1.1156054738008614</v>
      </c>
      <c r="M291" s="65"/>
      <c r="N291" s="58"/>
      <c r="O291" s="58"/>
      <c r="P291" s="58"/>
    </row>
    <row r="292" spans="2:17" s="1" customFormat="1" x14ac:dyDescent="0.3">
      <c r="B292" s="292"/>
      <c r="C292" s="9" t="s">
        <v>207</v>
      </c>
      <c r="D292" s="88">
        <v>25.738997679585214</v>
      </c>
      <c r="E292" s="86">
        <v>14.921379121283685</v>
      </c>
      <c r="F292" s="88">
        <v>16.571987492455257</v>
      </c>
      <c r="G292" s="86">
        <v>32.837533309527792</v>
      </c>
      <c r="H292" s="86">
        <v>4.9563602401707154</v>
      </c>
      <c r="I292" s="86">
        <v>3.5040205695089863</v>
      </c>
      <c r="J292" s="86">
        <v>0.80306008793962669</v>
      </c>
      <c r="K292" s="86">
        <v>0.25481074431692718</v>
      </c>
      <c r="L292" s="86">
        <v>0.41185075521180559</v>
      </c>
      <c r="M292" s="65"/>
      <c r="N292" s="58"/>
      <c r="O292" s="58"/>
      <c r="P292" s="58"/>
    </row>
    <row r="293" spans="2:17" s="1" customFormat="1" x14ac:dyDescent="0.3">
      <c r="B293" s="293"/>
      <c r="C293" s="25" t="s">
        <v>208</v>
      </c>
      <c r="D293" s="95">
        <v>32.302661222568027</v>
      </c>
      <c r="E293" s="87">
        <v>12.251286814439261</v>
      </c>
      <c r="F293" s="95">
        <v>13.113893445213009</v>
      </c>
      <c r="G293" s="87">
        <v>28.872982680544762</v>
      </c>
      <c r="H293" s="87">
        <v>6.4803184307128365</v>
      </c>
      <c r="I293" s="87">
        <v>3.933394071110452</v>
      </c>
      <c r="J293" s="87">
        <v>1.7015115038482613</v>
      </c>
      <c r="K293" s="87">
        <v>0.74139672364308629</v>
      </c>
      <c r="L293" s="87">
        <v>0.60255510792028011</v>
      </c>
      <c r="M293" s="65"/>
      <c r="N293" s="58"/>
      <c r="O293" s="58"/>
      <c r="P293" s="58"/>
    </row>
    <row r="294" spans="2:17" s="1" customFormat="1" x14ac:dyDescent="0.3">
      <c r="B294" s="60"/>
      <c r="C294" s="9"/>
      <c r="D294" s="50"/>
      <c r="E294" s="58"/>
      <c r="F294" s="50"/>
      <c r="G294" s="58"/>
      <c r="H294" s="58"/>
      <c r="I294" s="58"/>
      <c r="J294" s="58"/>
      <c r="K294" s="65"/>
      <c r="L294" s="58"/>
      <c r="M294" s="65"/>
      <c r="N294" s="58"/>
      <c r="O294" s="58"/>
      <c r="P294" s="58"/>
    </row>
    <row r="295" spans="2:17" s="1" customFormat="1" x14ac:dyDescent="0.3">
      <c r="B295" s="60"/>
      <c r="C295" s="9"/>
      <c r="D295" s="58"/>
      <c r="E295" s="58"/>
      <c r="F295" s="50"/>
      <c r="G295" s="50"/>
      <c r="H295" s="50"/>
      <c r="I295" s="58"/>
      <c r="J295" s="58"/>
      <c r="K295" s="50"/>
      <c r="L295" s="58"/>
      <c r="M295" s="50"/>
      <c r="N295" s="58"/>
      <c r="O295" s="58"/>
      <c r="P295" s="58"/>
    </row>
    <row r="296" spans="2:17" x14ac:dyDescent="0.3">
      <c r="B296" s="17" t="s">
        <v>498</v>
      </c>
    </row>
    <row r="297" spans="2:17" s="1" customFormat="1" x14ac:dyDescent="0.3">
      <c r="B297"/>
      <c r="C297"/>
      <c r="D297"/>
      <c r="E297"/>
      <c r="F297"/>
      <c r="G297"/>
      <c r="H297"/>
      <c r="I297" s="30"/>
      <c r="J297" s="30"/>
      <c r="K297" s="30"/>
      <c r="L297" s="30" t="s">
        <v>157</v>
      </c>
      <c r="M297" s="65"/>
      <c r="N297" s="58"/>
      <c r="O297" s="58"/>
      <c r="P297" s="58"/>
    </row>
    <row r="298" spans="2:17" s="22" customFormat="1" ht="28.5" customHeight="1" x14ac:dyDescent="0.3">
      <c r="B298" s="213"/>
      <c r="C298" s="213"/>
      <c r="D298" s="202" t="s">
        <v>298</v>
      </c>
      <c r="E298" s="202" t="s">
        <v>299</v>
      </c>
      <c r="F298" s="202" t="s">
        <v>121</v>
      </c>
      <c r="G298" s="202" t="s">
        <v>118</v>
      </c>
      <c r="H298" s="202" t="s">
        <v>122</v>
      </c>
      <c r="I298" s="202" t="s">
        <v>124</v>
      </c>
      <c r="J298" s="202" t="s">
        <v>423</v>
      </c>
      <c r="K298" s="202" t="s">
        <v>148</v>
      </c>
      <c r="L298" s="202" t="s">
        <v>12</v>
      </c>
      <c r="M298" s="64"/>
      <c r="N298" s="64"/>
      <c r="O298" s="64"/>
      <c r="P298" s="64"/>
      <c r="Q298" s="39"/>
    </row>
    <row r="299" spans="2:17" s="1" customFormat="1" ht="21.75" customHeight="1" x14ac:dyDescent="0.3">
      <c r="B299" s="292" t="s">
        <v>20</v>
      </c>
      <c r="C299" s="292"/>
      <c r="D299" s="88">
        <v>57.311606127237866</v>
      </c>
      <c r="E299" s="86">
        <v>51.00315687740342</v>
      </c>
      <c r="F299" s="88">
        <v>59.922154797882712</v>
      </c>
      <c r="G299" s="86">
        <v>71.01462456334589</v>
      </c>
      <c r="H299" s="86">
        <v>29.249299989533412</v>
      </c>
      <c r="I299" s="86">
        <v>17.248226486051816</v>
      </c>
      <c r="J299" s="86">
        <v>9.0763125420196396</v>
      </c>
      <c r="K299" s="86">
        <v>3.8168831953164917</v>
      </c>
      <c r="L299" s="86">
        <v>1.3577354212064436</v>
      </c>
      <c r="M299" s="65"/>
      <c r="N299" s="58"/>
      <c r="O299" s="58"/>
      <c r="P299" s="58"/>
    </row>
    <row r="300" spans="2:17" s="1" customFormat="1" x14ac:dyDescent="0.3">
      <c r="B300" s="296" t="s">
        <v>5</v>
      </c>
      <c r="C300" s="13" t="s">
        <v>0</v>
      </c>
      <c r="D300" s="89">
        <v>54.422811495933232</v>
      </c>
      <c r="E300" s="84">
        <v>49.68877156768157</v>
      </c>
      <c r="F300" s="89">
        <v>61.99163424820037</v>
      </c>
      <c r="G300" s="84">
        <v>72.391747506343364</v>
      </c>
      <c r="H300" s="84">
        <v>28.587477963700657</v>
      </c>
      <c r="I300" s="84">
        <v>17.532482828940463</v>
      </c>
      <c r="J300" s="84">
        <v>9.9054173717307528</v>
      </c>
      <c r="K300" s="84">
        <v>3.9200952873354122</v>
      </c>
      <c r="L300" s="84">
        <v>1.5595617301337255</v>
      </c>
      <c r="M300" s="65"/>
      <c r="N300" s="58"/>
      <c r="O300" s="58"/>
      <c r="P300" s="58"/>
    </row>
    <row r="301" spans="2:17" s="1" customFormat="1" x14ac:dyDescent="0.3">
      <c r="B301" s="295"/>
      <c r="C301" s="12" t="s">
        <v>1</v>
      </c>
      <c r="D301" s="91">
        <v>60.304831812358209</v>
      </c>
      <c r="E301" s="90">
        <v>52.365057729257813</v>
      </c>
      <c r="F301" s="91">
        <v>57.777862857435181</v>
      </c>
      <c r="G301" s="90">
        <v>69.587718088280099</v>
      </c>
      <c r="H301" s="90">
        <v>29.935047140000513</v>
      </c>
      <c r="I301" s="90">
        <v>16.953694165383816</v>
      </c>
      <c r="J301" s="90">
        <v>8.2172352490012059</v>
      </c>
      <c r="K301" s="90">
        <v>3.709939945873312</v>
      </c>
      <c r="L301" s="90">
        <v>1.1486130124109533</v>
      </c>
      <c r="M301" s="65"/>
      <c r="N301" s="58"/>
      <c r="O301" s="58"/>
      <c r="P301" s="58"/>
    </row>
    <row r="302" spans="2:17" s="1" customFormat="1" x14ac:dyDescent="0.3">
      <c r="B302" s="296" t="s">
        <v>4</v>
      </c>
      <c r="C302" s="9" t="s">
        <v>175</v>
      </c>
      <c r="D302" s="88">
        <v>75.599361228470201</v>
      </c>
      <c r="E302" s="86">
        <v>59.675992448938494</v>
      </c>
      <c r="F302" s="88">
        <v>39.022915083648194</v>
      </c>
      <c r="G302" s="86">
        <v>53.965355444544159</v>
      </c>
      <c r="H302" s="86">
        <v>13.233930349200429</v>
      </c>
      <c r="I302" s="86">
        <v>33.92397846521289</v>
      </c>
      <c r="J302" s="86">
        <v>7.768214727566046</v>
      </c>
      <c r="K302" s="86">
        <v>15.630853003832931</v>
      </c>
      <c r="L302" s="86">
        <v>1.1793992485866989</v>
      </c>
      <c r="M302" s="65"/>
      <c r="N302" s="58"/>
      <c r="O302" s="58"/>
      <c r="P302" s="58"/>
    </row>
    <row r="303" spans="2:17" s="1" customFormat="1" x14ac:dyDescent="0.3">
      <c r="B303" s="292"/>
      <c r="C303" s="9" t="s">
        <v>176</v>
      </c>
      <c r="D303" s="88">
        <v>70.778056549999533</v>
      </c>
      <c r="E303" s="86">
        <v>59.551156651329087</v>
      </c>
      <c r="F303" s="88">
        <v>48.066084960067187</v>
      </c>
      <c r="G303" s="86">
        <v>57.760853082729291</v>
      </c>
      <c r="H303" s="86">
        <v>17.889858499968213</v>
      </c>
      <c r="I303" s="86">
        <v>24.028751917958285</v>
      </c>
      <c r="J303" s="86">
        <v>12.508273098129404</v>
      </c>
      <c r="K303" s="86">
        <v>7.4198984456254768</v>
      </c>
      <c r="L303" s="86">
        <v>1.9970667941937192</v>
      </c>
      <c r="M303" s="65"/>
      <c r="N303" s="58"/>
      <c r="O303" s="58"/>
      <c r="P303" s="58"/>
    </row>
    <row r="304" spans="2:17" s="1" customFormat="1" x14ac:dyDescent="0.3">
      <c r="B304" s="292"/>
      <c r="C304" s="9" t="s">
        <v>177</v>
      </c>
      <c r="D304" s="88">
        <v>63.171289379472185</v>
      </c>
      <c r="E304" s="86">
        <v>58.931745351785899</v>
      </c>
      <c r="F304" s="88">
        <v>59.834620889955623</v>
      </c>
      <c r="G304" s="86">
        <v>68.22322016756543</v>
      </c>
      <c r="H304" s="86">
        <v>13.927454417508065</v>
      </c>
      <c r="I304" s="86">
        <v>19.529795616493534</v>
      </c>
      <c r="J304" s="86">
        <v>10.93434206353456</v>
      </c>
      <c r="K304" s="86">
        <v>4.8908416085140782</v>
      </c>
      <c r="L304" s="86">
        <v>0.55669050517163454</v>
      </c>
      <c r="M304" s="65"/>
      <c r="N304" s="58"/>
      <c r="O304" s="58"/>
      <c r="P304" s="58"/>
    </row>
    <row r="305" spans="2:16" s="1" customFormat="1" x14ac:dyDescent="0.3">
      <c r="B305" s="292"/>
      <c r="C305" s="9" t="s">
        <v>178</v>
      </c>
      <c r="D305" s="88">
        <v>55.99068591175358</v>
      </c>
      <c r="E305" s="86">
        <v>52.51334818954161</v>
      </c>
      <c r="F305" s="88">
        <v>64.073285407995357</v>
      </c>
      <c r="G305" s="86">
        <v>76.610266218163659</v>
      </c>
      <c r="H305" s="86">
        <v>23.864990145265221</v>
      </c>
      <c r="I305" s="86">
        <v>12.993373883340773</v>
      </c>
      <c r="J305" s="86">
        <v>11.102171829013788</v>
      </c>
      <c r="K305" s="86">
        <v>1.9647546790967747</v>
      </c>
      <c r="L305" s="86">
        <v>0.88712373582987181</v>
      </c>
      <c r="M305" s="65"/>
      <c r="N305" s="58"/>
      <c r="O305" s="58"/>
      <c r="P305" s="58"/>
    </row>
    <row r="306" spans="2:16" s="1" customFormat="1" x14ac:dyDescent="0.3">
      <c r="B306" s="292"/>
      <c r="C306" s="9" t="s">
        <v>179</v>
      </c>
      <c r="D306" s="88">
        <v>54.051658248331655</v>
      </c>
      <c r="E306" s="86">
        <v>41.651688332180846</v>
      </c>
      <c r="F306" s="88">
        <v>65.427458925802469</v>
      </c>
      <c r="G306" s="86">
        <v>77.367934868172625</v>
      </c>
      <c r="H306" s="86">
        <v>37.863835815601227</v>
      </c>
      <c r="I306" s="86">
        <v>14.43616625235923</v>
      </c>
      <c r="J306" s="86">
        <v>6.220147982034117</v>
      </c>
      <c r="K306" s="86">
        <v>1.3961425568227481</v>
      </c>
      <c r="L306" s="86">
        <v>1.5849670186948248</v>
      </c>
      <c r="M306" s="65"/>
      <c r="N306" s="58"/>
      <c r="O306" s="58"/>
      <c r="P306" s="58"/>
    </row>
    <row r="307" spans="2:16" s="1" customFormat="1" x14ac:dyDescent="0.3">
      <c r="B307" s="298"/>
      <c r="C307" s="12" t="s">
        <v>180</v>
      </c>
      <c r="D307" s="91">
        <v>42.388075963458583</v>
      </c>
      <c r="E307" s="90">
        <v>44.491360186960407</v>
      </c>
      <c r="F307" s="91">
        <v>63.887598330132825</v>
      </c>
      <c r="G307" s="90">
        <v>75.047499793966452</v>
      </c>
      <c r="H307" s="90">
        <v>50.772685301546971</v>
      </c>
      <c r="I307" s="90">
        <v>13.470130557427959</v>
      </c>
      <c r="J307" s="90">
        <v>6.2870173504720679</v>
      </c>
      <c r="K307" s="90">
        <v>1.8554629440643486</v>
      </c>
      <c r="L307" s="90">
        <v>1.8001695719698496</v>
      </c>
      <c r="M307" s="65"/>
      <c r="N307" s="58"/>
      <c r="O307" s="58"/>
      <c r="P307" s="58"/>
    </row>
    <row r="308" spans="2:16" s="1" customFormat="1" x14ac:dyDescent="0.3">
      <c r="B308" s="292" t="s">
        <v>223</v>
      </c>
      <c r="C308" s="9" t="s">
        <v>210</v>
      </c>
      <c r="D308" s="88">
        <v>71.762018200543807</v>
      </c>
      <c r="E308" s="86">
        <v>62.602184009186843</v>
      </c>
      <c r="F308" s="88">
        <v>42.529391295571884</v>
      </c>
      <c r="G308" s="86">
        <v>54.241231671287068</v>
      </c>
      <c r="H308" s="86">
        <v>14.005791177687813</v>
      </c>
      <c r="I308" s="86">
        <v>29.273598978992176</v>
      </c>
      <c r="J308" s="86">
        <v>7.1485160589013859</v>
      </c>
      <c r="K308" s="86">
        <v>16.148621537812435</v>
      </c>
      <c r="L308" s="86">
        <v>2.288647070016621</v>
      </c>
      <c r="M308" s="65"/>
      <c r="N308" s="58"/>
      <c r="O308" s="58"/>
      <c r="P308" s="58"/>
    </row>
    <row r="309" spans="2:16" s="1" customFormat="1" x14ac:dyDescent="0.3">
      <c r="B309" s="292"/>
      <c r="C309" s="9" t="s">
        <v>211</v>
      </c>
      <c r="D309" s="88">
        <v>64.653616414713881</v>
      </c>
      <c r="E309" s="86">
        <v>55.401448237597208</v>
      </c>
      <c r="F309" s="88">
        <v>52.634026009052491</v>
      </c>
      <c r="G309" s="86">
        <v>58.231108565668919</v>
      </c>
      <c r="H309" s="86">
        <v>21.63959363736798</v>
      </c>
      <c r="I309" s="86">
        <v>24.486533804591197</v>
      </c>
      <c r="J309" s="86">
        <v>13.727420931185403</v>
      </c>
      <c r="K309" s="86">
        <v>6.6579055957869988</v>
      </c>
      <c r="L309" s="86">
        <v>2.5683468040360902</v>
      </c>
      <c r="M309" s="65"/>
      <c r="N309" s="58"/>
      <c r="O309" s="58"/>
      <c r="P309" s="58"/>
    </row>
    <row r="310" spans="2:16" s="1" customFormat="1" x14ac:dyDescent="0.3">
      <c r="B310" s="292"/>
      <c r="C310" s="9" t="s">
        <v>212</v>
      </c>
      <c r="D310" s="88">
        <v>60.750302377854304</v>
      </c>
      <c r="E310" s="86">
        <v>56.648490376778028</v>
      </c>
      <c r="F310" s="88">
        <v>61.395555909838897</v>
      </c>
      <c r="G310" s="86">
        <v>67.53490391698972</v>
      </c>
      <c r="H310" s="86">
        <v>15.252331268228851</v>
      </c>
      <c r="I310" s="86">
        <v>21.760286908995212</v>
      </c>
      <c r="J310" s="86">
        <v>11.835738776604025</v>
      </c>
      <c r="K310" s="86">
        <v>4.8223904647109288</v>
      </c>
      <c r="L310" s="86">
        <v>0</v>
      </c>
      <c r="M310" s="65"/>
      <c r="N310" s="58"/>
      <c r="O310" s="58"/>
      <c r="P310" s="58"/>
    </row>
    <row r="311" spans="2:16" s="1" customFormat="1" x14ac:dyDescent="0.3">
      <c r="B311" s="292"/>
      <c r="C311" s="9" t="s">
        <v>213</v>
      </c>
      <c r="D311" s="88">
        <v>51.269655230157532</v>
      </c>
      <c r="E311" s="86">
        <v>53.561998107010368</v>
      </c>
      <c r="F311" s="88">
        <v>64.706904778740622</v>
      </c>
      <c r="G311" s="86">
        <v>77.496357788614858</v>
      </c>
      <c r="H311" s="86">
        <v>24.784324348906654</v>
      </c>
      <c r="I311" s="86">
        <v>13.151744163101114</v>
      </c>
      <c r="J311" s="86">
        <v>10.648758230946303</v>
      </c>
      <c r="K311" s="86">
        <v>2.8838746982027019</v>
      </c>
      <c r="L311" s="86">
        <v>1.4963826543200565</v>
      </c>
      <c r="M311" s="65"/>
      <c r="N311" s="58"/>
      <c r="O311" s="58"/>
      <c r="P311" s="58"/>
    </row>
    <row r="312" spans="2:16" s="1" customFormat="1" x14ac:dyDescent="0.3">
      <c r="B312" s="292"/>
      <c r="C312" s="9" t="s">
        <v>214</v>
      </c>
      <c r="D312" s="88">
        <v>52.046155808129399</v>
      </c>
      <c r="E312" s="86">
        <v>40.872722512399108</v>
      </c>
      <c r="F312" s="88">
        <v>67.13027177400987</v>
      </c>
      <c r="G312" s="86">
        <v>80.059787765600248</v>
      </c>
      <c r="H312" s="86">
        <v>35.459574094277677</v>
      </c>
      <c r="I312" s="86">
        <v>13.314949126774115</v>
      </c>
      <c r="J312" s="86">
        <v>8.0545581326913798</v>
      </c>
      <c r="K312" s="86">
        <v>1.2527105009724866</v>
      </c>
      <c r="L312" s="86">
        <v>1.8092702851455384</v>
      </c>
      <c r="M312" s="65"/>
      <c r="N312" s="58"/>
      <c r="O312" s="58"/>
      <c r="P312" s="58"/>
    </row>
    <row r="313" spans="2:16" s="1" customFormat="1" x14ac:dyDescent="0.3">
      <c r="B313" s="292"/>
      <c r="C313" s="12" t="s">
        <v>215</v>
      </c>
      <c r="D313" s="91">
        <v>41.908787146283963</v>
      </c>
      <c r="E313" s="90">
        <v>41.58718608315543</v>
      </c>
      <c r="F313" s="91">
        <v>66.398861866387094</v>
      </c>
      <c r="G313" s="90">
        <v>78.893244456622227</v>
      </c>
      <c r="H313" s="90">
        <v>46.062874826973427</v>
      </c>
      <c r="I313" s="90">
        <v>14.447753011883464</v>
      </c>
      <c r="J313" s="90">
        <v>7.0386114679668852</v>
      </c>
      <c r="K313" s="90">
        <v>1.939781040136165</v>
      </c>
      <c r="L313" s="90">
        <v>1.722900100591354</v>
      </c>
      <c r="M313" s="65"/>
      <c r="N313" s="58"/>
      <c r="O313" s="58"/>
      <c r="P313" s="58"/>
    </row>
    <row r="314" spans="2:16" s="1" customFormat="1" x14ac:dyDescent="0.3">
      <c r="B314" s="292"/>
      <c r="C314" s="9" t="s">
        <v>216</v>
      </c>
      <c r="D314" s="88">
        <v>79.679386806407976</v>
      </c>
      <c r="E314" s="86">
        <v>56.564741689005757</v>
      </c>
      <c r="F314" s="88">
        <v>35.294681113173624</v>
      </c>
      <c r="G314" s="86">
        <v>53.672032159848392</v>
      </c>
      <c r="H314" s="86">
        <v>12.413255236259456</v>
      </c>
      <c r="I314" s="86">
        <v>38.868458829052152</v>
      </c>
      <c r="J314" s="86">
        <v>8.4271045897350927</v>
      </c>
      <c r="K314" s="86">
        <v>15.080339576517757</v>
      </c>
      <c r="L314" s="86">
        <v>0</v>
      </c>
      <c r="M314" s="65"/>
      <c r="N314" s="58"/>
      <c r="O314" s="58"/>
      <c r="P314" s="58"/>
    </row>
    <row r="315" spans="2:16" s="1" customFormat="1" x14ac:dyDescent="0.3">
      <c r="B315" s="292"/>
      <c r="C315" s="9" t="s">
        <v>217</v>
      </c>
      <c r="D315" s="88">
        <v>77.452730338131744</v>
      </c>
      <c r="E315" s="86">
        <v>64.073684321727413</v>
      </c>
      <c r="F315" s="88">
        <v>43.087749681756257</v>
      </c>
      <c r="G315" s="86">
        <v>57.248348775989676</v>
      </c>
      <c r="H315" s="86">
        <v>13.803238616161773</v>
      </c>
      <c r="I315" s="86">
        <v>23.529841863831614</v>
      </c>
      <c r="J315" s="86">
        <v>11.17959424660895</v>
      </c>
      <c r="K315" s="86">
        <v>8.250350468865582</v>
      </c>
      <c r="L315" s="86">
        <v>1.3744616869268909</v>
      </c>
      <c r="M315" s="65"/>
      <c r="N315" s="58"/>
      <c r="O315" s="58"/>
      <c r="P315" s="58"/>
    </row>
    <row r="316" spans="2:16" s="1" customFormat="1" x14ac:dyDescent="0.3">
      <c r="B316" s="292"/>
      <c r="C316" s="9" t="s">
        <v>218</v>
      </c>
      <c r="D316" s="88">
        <v>65.806066900169739</v>
      </c>
      <c r="E316" s="86">
        <v>61.41662811990949</v>
      </c>
      <c r="F316" s="88">
        <v>58.135844110521532</v>
      </c>
      <c r="G316" s="86">
        <v>68.972319680670921</v>
      </c>
      <c r="H316" s="86">
        <v>12.485581436926225</v>
      </c>
      <c r="I316" s="86">
        <v>17.102335942538584</v>
      </c>
      <c r="J316" s="86">
        <v>9.9533455545736942</v>
      </c>
      <c r="K316" s="86">
        <v>4.9653374793461005</v>
      </c>
      <c r="L316" s="86">
        <v>1.1625407753433008</v>
      </c>
      <c r="M316" s="65"/>
      <c r="N316" s="58"/>
      <c r="O316" s="58"/>
      <c r="P316" s="58"/>
    </row>
    <row r="317" spans="2:16" s="1" customFormat="1" x14ac:dyDescent="0.3">
      <c r="B317" s="292"/>
      <c r="C317" s="9" t="s">
        <v>219</v>
      </c>
      <c r="D317" s="88">
        <v>60.87360379199125</v>
      </c>
      <c r="E317" s="86">
        <v>51.428739387467616</v>
      </c>
      <c r="F317" s="88">
        <v>63.417938818798156</v>
      </c>
      <c r="G317" s="86">
        <v>75.693789994072986</v>
      </c>
      <c r="H317" s="86">
        <v>22.914131376569834</v>
      </c>
      <c r="I317" s="86">
        <v>12.829572984152589</v>
      </c>
      <c r="J317" s="86">
        <v>11.5711332729157</v>
      </c>
      <c r="K317" s="86">
        <v>1.0141174394633441</v>
      </c>
      <c r="L317" s="86">
        <v>0.2569729345678593</v>
      </c>
      <c r="M317" s="65"/>
      <c r="N317" s="58"/>
      <c r="O317" s="58"/>
      <c r="P317" s="58"/>
    </row>
    <row r="318" spans="2:16" s="1" customFormat="1" x14ac:dyDescent="0.3">
      <c r="B318" s="292"/>
      <c r="C318" s="9" t="s">
        <v>220</v>
      </c>
      <c r="D318" s="88">
        <v>56.093316946062686</v>
      </c>
      <c r="E318" s="86">
        <v>42.444697759300979</v>
      </c>
      <c r="F318" s="88">
        <v>63.693946867946806</v>
      </c>
      <c r="G318" s="86">
        <v>74.627551824564804</v>
      </c>
      <c r="H318" s="86">
        <v>40.31144283744387</v>
      </c>
      <c r="I318" s="86">
        <v>15.577597272639936</v>
      </c>
      <c r="J318" s="86">
        <v>4.3526661160349045</v>
      </c>
      <c r="K318" s="86">
        <v>1.5421604815531476</v>
      </c>
      <c r="L318" s="86">
        <v>1.3566198944538206</v>
      </c>
      <c r="M318" s="65"/>
      <c r="N318" s="58"/>
      <c r="O318" s="58"/>
      <c r="P318" s="58"/>
    </row>
    <row r="319" spans="2:16" s="1" customFormat="1" x14ac:dyDescent="0.3">
      <c r="B319" s="295"/>
      <c r="C319" s="9" t="s">
        <v>221</v>
      </c>
      <c r="D319" s="88">
        <v>42.853015022264593</v>
      </c>
      <c r="E319" s="86">
        <v>47.308584219831928</v>
      </c>
      <c r="F319" s="88">
        <v>61.451521244417364</v>
      </c>
      <c r="G319" s="86">
        <v>71.316895532422819</v>
      </c>
      <c r="H319" s="86">
        <v>55.34148551288903</v>
      </c>
      <c r="I319" s="86">
        <v>12.521777815711202</v>
      </c>
      <c r="J319" s="86">
        <v>5.5579257274882208</v>
      </c>
      <c r="K319" s="86">
        <v>1.7736693056085142</v>
      </c>
      <c r="L319" s="86">
        <v>1.8751256193671355</v>
      </c>
      <c r="M319" s="65"/>
      <c r="N319" s="58"/>
      <c r="O319" s="58"/>
      <c r="P319" s="58"/>
    </row>
    <row r="320" spans="2:16" s="1" customFormat="1" ht="16.5" customHeight="1" x14ac:dyDescent="0.3">
      <c r="B320" s="291" t="s">
        <v>222</v>
      </c>
      <c r="C320" s="13" t="s">
        <v>226</v>
      </c>
      <c r="D320" s="89">
        <v>53.200746972353009</v>
      </c>
      <c r="E320" s="84">
        <v>48.678108720453203</v>
      </c>
      <c r="F320" s="89">
        <v>61.919411126733777</v>
      </c>
      <c r="G320" s="84">
        <v>70.442783831987171</v>
      </c>
      <c r="H320" s="84">
        <v>32.381810931030309</v>
      </c>
      <c r="I320" s="84">
        <v>18.322808625027143</v>
      </c>
      <c r="J320" s="84">
        <v>9.3213633233136726</v>
      </c>
      <c r="K320" s="84">
        <v>4.0127980017439873</v>
      </c>
      <c r="L320" s="84">
        <v>1.7201684673577737</v>
      </c>
      <c r="M320" s="65"/>
      <c r="N320" s="58"/>
      <c r="O320" s="58"/>
      <c r="P320" s="58"/>
    </row>
    <row r="321" spans="2:16" s="1" customFormat="1" x14ac:dyDescent="0.3">
      <c r="B321" s="294"/>
      <c r="C321" s="9" t="s">
        <v>227</v>
      </c>
      <c r="D321" s="88">
        <v>55.529265217205527</v>
      </c>
      <c r="E321" s="86">
        <v>52.995419202283387</v>
      </c>
      <c r="F321" s="88">
        <v>58.088259792082972</v>
      </c>
      <c r="G321" s="86">
        <v>72.276219401485747</v>
      </c>
      <c r="H321" s="86">
        <v>29.720215947607059</v>
      </c>
      <c r="I321" s="86">
        <v>17.139299217562755</v>
      </c>
      <c r="J321" s="86">
        <v>9.7424271543018595</v>
      </c>
      <c r="K321" s="86">
        <v>3.4345001551976742</v>
      </c>
      <c r="L321" s="86">
        <v>1.0743939122727051</v>
      </c>
      <c r="M321" s="65"/>
      <c r="N321" s="58"/>
      <c r="O321" s="58"/>
      <c r="P321" s="58"/>
    </row>
    <row r="322" spans="2:16" s="1" customFormat="1" x14ac:dyDescent="0.3">
      <c r="B322" s="292"/>
      <c r="C322" s="9" t="s">
        <v>228</v>
      </c>
      <c r="D322" s="88">
        <v>58.564167020773993</v>
      </c>
      <c r="E322" s="86">
        <v>48.730622162924917</v>
      </c>
      <c r="F322" s="88">
        <v>59.724874036737162</v>
      </c>
      <c r="G322" s="86">
        <v>73.3768894137269</v>
      </c>
      <c r="H322" s="86">
        <v>28.263933283123695</v>
      </c>
      <c r="I322" s="86">
        <v>17.263042199832874</v>
      </c>
      <c r="J322" s="86">
        <v>9.1681830792867061</v>
      </c>
      <c r="K322" s="86">
        <v>3.2600444027380298</v>
      </c>
      <c r="L322" s="86">
        <v>1.6482444008559181</v>
      </c>
      <c r="M322" s="65"/>
      <c r="N322" s="58"/>
      <c r="O322" s="58"/>
      <c r="P322" s="58"/>
    </row>
    <row r="323" spans="2:16" s="1" customFormat="1" x14ac:dyDescent="0.3">
      <c r="B323" s="295"/>
      <c r="C323" s="12" t="s">
        <v>229</v>
      </c>
      <c r="D323" s="91">
        <v>63.121328634136056</v>
      </c>
      <c r="E323" s="90">
        <v>53.101725002322766</v>
      </c>
      <c r="F323" s="91">
        <v>60.209155148171348</v>
      </c>
      <c r="G323" s="90">
        <v>67.910934638797698</v>
      </c>
      <c r="H323" s="90">
        <v>25.993406235293705</v>
      </c>
      <c r="I323" s="90">
        <v>16.16275654493289</v>
      </c>
      <c r="J323" s="90">
        <v>7.8588123603840643</v>
      </c>
      <c r="K323" s="90">
        <v>4.5890627845295819</v>
      </c>
      <c r="L323" s="90">
        <v>1.0528186514319873</v>
      </c>
      <c r="M323" s="65"/>
      <c r="N323" s="58"/>
      <c r="O323" s="58"/>
      <c r="P323" s="58"/>
    </row>
    <row r="324" spans="2:16" s="1" customFormat="1" x14ac:dyDescent="0.3">
      <c r="B324" s="296" t="s">
        <v>199</v>
      </c>
      <c r="C324" s="13" t="s">
        <v>192</v>
      </c>
      <c r="D324" s="89">
        <v>59.900286913565949</v>
      </c>
      <c r="E324" s="84">
        <v>52.649166911210813</v>
      </c>
      <c r="F324" s="89">
        <v>59.809596411160335</v>
      </c>
      <c r="G324" s="84">
        <v>70.210159364710535</v>
      </c>
      <c r="H324" s="84">
        <v>27.485741651366226</v>
      </c>
      <c r="I324" s="84">
        <v>15.212932612016511</v>
      </c>
      <c r="J324" s="84">
        <v>9.4887785204545949</v>
      </c>
      <c r="K324" s="84">
        <v>4.1040397730519595</v>
      </c>
      <c r="L324" s="84">
        <v>1.1392978424612525</v>
      </c>
      <c r="M324" s="65"/>
      <c r="N324" s="58"/>
      <c r="O324" s="58"/>
      <c r="P324" s="58"/>
    </row>
    <row r="325" spans="2:16" s="1" customFormat="1" ht="16.5" customHeight="1" x14ac:dyDescent="0.3">
      <c r="B325" s="292"/>
      <c r="C325" s="9" t="s">
        <v>200</v>
      </c>
      <c r="D325" s="88">
        <v>52.741605106643718</v>
      </c>
      <c r="E325" s="86">
        <v>46.874968725844006</v>
      </c>
      <c r="F325" s="88">
        <v>64.058353366374263</v>
      </c>
      <c r="G325" s="86">
        <v>75.608861383855498</v>
      </c>
      <c r="H325" s="86">
        <v>31.123751050495397</v>
      </c>
      <c r="I325" s="86">
        <v>18.47853321115214</v>
      </c>
      <c r="J325" s="86">
        <v>7.0258746387738107</v>
      </c>
      <c r="K325" s="86">
        <v>2.6578026449492214</v>
      </c>
      <c r="L325" s="86">
        <v>1.4302498719117676</v>
      </c>
      <c r="M325" s="65"/>
      <c r="N325" s="58"/>
      <c r="O325" s="58"/>
      <c r="P325" s="58"/>
    </row>
    <row r="326" spans="2:16" s="1" customFormat="1" x14ac:dyDescent="0.3">
      <c r="B326" s="292"/>
      <c r="C326" s="9" t="s">
        <v>201</v>
      </c>
      <c r="D326" s="88">
        <v>52.187421263748391</v>
      </c>
      <c r="E326" s="86">
        <v>52.726328099252086</v>
      </c>
      <c r="F326" s="88">
        <v>62.07241920766289</v>
      </c>
      <c r="G326" s="86">
        <v>69.461489108427699</v>
      </c>
      <c r="H326" s="86">
        <v>29.819623934879193</v>
      </c>
      <c r="I326" s="86">
        <v>21.019446165344409</v>
      </c>
      <c r="J326" s="86">
        <v>7.942104690570698</v>
      </c>
      <c r="K326" s="86">
        <v>3.4214373588475242</v>
      </c>
      <c r="L326" s="86">
        <v>1.3497301712674012</v>
      </c>
      <c r="M326" s="65"/>
      <c r="N326" s="58"/>
      <c r="O326" s="58"/>
      <c r="P326" s="58"/>
    </row>
    <row r="327" spans="2:16" s="1" customFormat="1" x14ac:dyDescent="0.3">
      <c r="B327" s="292"/>
      <c r="C327" s="9" t="s">
        <v>202</v>
      </c>
      <c r="D327" s="88">
        <v>52.610032007883646</v>
      </c>
      <c r="E327" s="86">
        <v>47.536175362201433</v>
      </c>
      <c r="F327" s="88">
        <v>56.292740047980537</v>
      </c>
      <c r="G327" s="86">
        <v>72.785629927404273</v>
      </c>
      <c r="H327" s="86">
        <v>31.63548191928906</v>
      </c>
      <c r="I327" s="86">
        <v>25.352697910553946</v>
      </c>
      <c r="J327" s="86">
        <v>10.172871485539799</v>
      </c>
      <c r="K327" s="86">
        <v>2.8799126462451667</v>
      </c>
      <c r="L327" s="86">
        <v>0.73445869290219401</v>
      </c>
      <c r="M327" s="65"/>
      <c r="N327" s="58"/>
      <c r="O327" s="58"/>
      <c r="P327" s="58"/>
    </row>
    <row r="328" spans="2:16" s="1" customFormat="1" x14ac:dyDescent="0.3">
      <c r="B328" s="295"/>
      <c r="C328" s="12" t="s">
        <v>203</v>
      </c>
      <c r="D328" s="91">
        <v>56.588541619314114</v>
      </c>
      <c r="E328" s="90">
        <v>48.725712302597394</v>
      </c>
      <c r="F328" s="91">
        <v>59.892382968184243</v>
      </c>
      <c r="G328" s="90">
        <v>71.967572948705396</v>
      </c>
      <c r="H328" s="90">
        <v>31.569216492082052</v>
      </c>
      <c r="I328" s="90">
        <v>16.64169764814821</v>
      </c>
      <c r="J328" s="90">
        <v>8.6200802875441553</v>
      </c>
      <c r="K328" s="90">
        <v>3.9329511950078118</v>
      </c>
      <c r="L328" s="90">
        <v>2.0618445384167785</v>
      </c>
      <c r="M328" s="65"/>
      <c r="N328" s="58"/>
      <c r="O328" s="58"/>
      <c r="P328" s="58"/>
    </row>
    <row r="329" spans="2:16" s="1" customFormat="1" x14ac:dyDescent="0.3">
      <c r="B329" s="291" t="s">
        <v>204</v>
      </c>
      <c r="C329" s="13" t="s">
        <v>192</v>
      </c>
      <c r="D329" s="89">
        <v>59.900286913565949</v>
      </c>
      <c r="E329" s="84">
        <v>52.649166911210813</v>
      </c>
      <c r="F329" s="89">
        <v>59.809596411160335</v>
      </c>
      <c r="G329" s="84">
        <v>70.210159364710535</v>
      </c>
      <c r="H329" s="84">
        <v>27.485741651366226</v>
      </c>
      <c r="I329" s="84">
        <v>15.212932612016511</v>
      </c>
      <c r="J329" s="84">
        <v>9.4887785204545949</v>
      </c>
      <c r="K329" s="84">
        <v>4.1040397730519595</v>
      </c>
      <c r="L329" s="84">
        <v>1.1392978424612525</v>
      </c>
      <c r="M329" s="65"/>
      <c r="N329" s="58"/>
      <c r="O329" s="58"/>
      <c r="P329" s="58"/>
    </row>
    <row r="330" spans="2:16" s="1" customFormat="1" x14ac:dyDescent="0.3">
      <c r="B330" s="295"/>
      <c r="C330" s="12" t="s">
        <v>193</v>
      </c>
      <c r="D330" s="91">
        <v>54.51384366226214</v>
      </c>
      <c r="E330" s="90">
        <v>49.224202471792474</v>
      </c>
      <c r="F330" s="91">
        <v>60.043804261638677</v>
      </c>
      <c r="G330" s="90">
        <v>71.884064530224379</v>
      </c>
      <c r="H330" s="90">
        <v>31.155296800488308</v>
      </c>
      <c r="I330" s="90">
        <v>19.447906275096162</v>
      </c>
      <c r="J330" s="90">
        <v>8.6305326534217599</v>
      </c>
      <c r="K330" s="90">
        <v>3.5065336539584679</v>
      </c>
      <c r="L330" s="90">
        <v>1.5938156911189656</v>
      </c>
      <c r="M330" s="65"/>
      <c r="N330" s="58"/>
      <c r="O330" s="58"/>
      <c r="P330" s="58"/>
    </row>
    <row r="331" spans="2:16" s="1" customFormat="1" x14ac:dyDescent="0.3">
      <c r="B331" s="291" t="s">
        <v>209</v>
      </c>
      <c r="C331" s="13" t="s">
        <v>205</v>
      </c>
      <c r="D331" s="89">
        <v>57.022147329632887</v>
      </c>
      <c r="E331" s="84">
        <v>55.018985068839285</v>
      </c>
      <c r="F331" s="89">
        <v>60.33662228745731</v>
      </c>
      <c r="G331" s="84">
        <v>73.694223750059578</v>
      </c>
      <c r="H331" s="84">
        <v>21.955732523213012</v>
      </c>
      <c r="I331" s="84">
        <v>16.257995598611487</v>
      </c>
      <c r="J331" s="84">
        <v>10.007723912244604</v>
      </c>
      <c r="K331" s="84">
        <v>4.659037577695643</v>
      </c>
      <c r="L331" s="84">
        <v>1.047531952246358</v>
      </c>
      <c r="M331" s="65"/>
      <c r="N331" s="58"/>
      <c r="O331" s="58"/>
      <c r="P331" s="58"/>
    </row>
    <row r="332" spans="2:16" s="1" customFormat="1" x14ac:dyDescent="0.3">
      <c r="B332" s="292"/>
      <c r="C332" s="9" t="s">
        <v>206</v>
      </c>
      <c r="D332" s="88">
        <v>50.22028981313823</v>
      </c>
      <c r="E332" s="86">
        <v>46.827448236044333</v>
      </c>
      <c r="F332" s="88">
        <v>59.419054244688986</v>
      </c>
      <c r="G332" s="86">
        <v>74.895941754086522</v>
      </c>
      <c r="H332" s="86">
        <v>39.865846158663523</v>
      </c>
      <c r="I332" s="86">
        <v>16.07076236879119</v>
      </c>
      <c r="J332" s="86">
        <v>6.6969164878286147</v>
      </c>
      <c r="K332" s="86">
        <v>3.7554035039752067</v>
      </c>
      <c r="L332" s="86">
        <v>2.2483374327831629</v>
      </c>
      <c r="M332" s="65"/>
      <c r="N332" s="58"/>
      <c r="O332" s="58"/>
      <c r="P332" s="58"/>
    </row>
    <row r="333" spans="2:16" s="1" customFormat="1" x14ac:dyDescent="0.3">
      <c r="B333" s="292"/>
      <c r="C333" s="9" t="s">
        <v>207</v>
      </c>
      <c r="D333" s="88">
        <v>56.658720416357276</v>
      </c>
      <c r="E333" s="86">
        <v>51.062769978492774</v>
      </c>
      <c r="F333" s="88">
        <v>62.660793613126877</v>
      </c>
      <c r="G333" s="86">
        <v>70.417983906295504</v>
      </c>
      <c r="H333" s="86">
        <v>28.698590467524244</v>
      </c>
      <c r="I333" s="86">
        <v>16.838148850343433</v>
      </c>
      <c r="J333" s="86">
        <v>10.11260762978506</v>
      </c>
      <c r="K333" s="86">
        <v>2.5517689741223268</v>
      </c>
      <c r="L333" s="86">
        <v>0.99861616395232244</v>
      </c>
      <c r="M333" s="65"/>
      <c r="N333" s="58"/>
      <c r="O333" s="58"/>
      <c r="P333" s="58"/>
    </row>
    <row r="334" spans="2:16" s="1" customFormat="1" x14ac:dyDescent="0.3">
      <c r="B334" s="293"/>
      <c r="C334" s="25" t="s">
        <v>208</v>
      </c>
      <c r="D334" s="95">
        <v>62.910087531861961</v>
      </c>
      <c r="E334" s="87">
        <v>52.084786305483632</v>
      </c>
      <c r="F334" s="95">
        <v>57.486045328962618</v>
      </c>
      <c r="G334" s="87">
        <v>67.777307806685798</v>
      </c>
      <c r="H334" s="87">
        <v>25.629560447222072</v>
      </c>
      <c r="I334" s="87">
        <v>18.868067299614001</v>
      </c>
      <c r="J334" s="87">
        <v>9.3211205725757331</v>
      </c>
      <c r="K334" s="87">
        <v>4.7007145089776259</v>
      </c>
      <c r="L334" s="87">
        <v>1.2223101986160845</v>
      </c>
      <c r="M334" s="65"/>
      <c r="N334" s="58"/>
      <c r="O334" s="58"/>
      <c r="P334" s="58"/>
    </row>
    <row r="335" spans="2:16" s="1" customFormat="1" x14ac:dyDescent="0.3">
      <c r="B335" s="60"/>
      <c r="C335" s="9"/>
      <c r="D335" s="50"/>
      <c r="E335" s="58"/>
      <c r="F335" s="50"/>
      <c r="G335" s="58"/>
      <c r="H335" s="58"/>
      <c r="I335" s="58"/>
      <c r="J335" s="58"/>
      <c r="K335" s="65"/>
      <c r="L335" s="58"/>
      <c r="M335" s="65"/>
      <c r="N335" s="58"/>
      <c r="O335" s="58"/>
      <c r="P335" s="58"/>
    </row>
    <row r="336" spans="2:16" s="1" customFormat="1" x14ac:dyDescent="0.3">
      <c r="B336" s="60"/>
      <c r="C336" s="9"/>
      <c r="D336" s="58"/>
      <c r="E336" s="58"/>
      <c r="F336" s="50"/>
      <c r="G336" s="50"/>
      <c r="H336" s="50"/>
      <c r="I336" s="58"/>
      <c r="J336" s="58"/>
      <c r="K336" s="50"/>
      <c r="L336" s="58"/>
      <c r="M336" s="50"/>
      <c r="N336" s="58"/>
      <c r="O336" s="58"/>
      <c r="P336" s="58"/>
    </row>
    <row r="337" spans="2:14" s="1" customFormat="1" x14ac:dyDescent="0.3">
      <c r="B337" s="1" t="s">
        <v>503</v>
      </c>
    </row>
    <row r="338" spans="2:14" s="1" customFormat="1" x14ac:dyDescent="0.3"/>
    <row r="339" spans="2:14" s="1" customFormat="1" x14ac:dyDescent="0.3">
      <c r="B339" s="149" t="s">
        <v>499</v>
      </c>
    </row>
    <row r="340" spans="2:14" s="1" customFormat="1" x14ac:dyDescent="0.3">
      <c r="D340" s="30"/>
      <c r="E340" s="30" t="s">
        <v>301</v>
      </c>
      <c r="N340" s="30"/>
    </row>
    <row r="341" spans="2:14" s="1" customFormat="1" x14ac:dyDescent="0.3">
      <c r="B341" s="216"/>
      <c r="C341" s="309" t="s">
        <v>137</v>
      </c>
      <c r="D341" s="290"/>
      <c r="E341" s="290"/>
      <c r="G341" s="308"/>
      <c r="H341" s="308"/>
      <c r="I341" s="308"/>
      <c r="J341" s="308"/>
      <c r="K341" s="308"/>
      <c r="L341" s="308"/>
      <c r="M341" s="308"/>
      <c r="N341" s="308"/>
    </row>
    <row r="342" spans="2:14" s="1" customFormat="1" x14ac:dyDescent="0.3">
      <c r="B342" s="221"/>
      <c r="C342" s="228" t="s">
        <v>56</v>
      </c>
      <c r="D342" s="215" t="s">
        <v>302</v>
      </c>
      <c r="E342" s="215" t="s">
        <v>41</v>
      </c>
      <c r="G342" s="64"/>
      <c r="H342" s="64"/>
      <c r="I342" s="64"/>
      <c r="J342" s="64"/>
      <c r="K342" s="64"/>
      <c r="L342" s="64"/>
      <c r="M342" s="64"/>
      <c r="N342" s="64"/>
    </row>
    <row r="343" spans="2:14" s="1" customFormat="1" x14ac:dyDescent="0.3">
      <c r="B343" s="40">
        <v>1</v>
      </c>
      <c r="C343" s="23" t="s">
        <v>336</v>
      </c>
      <c r="D343" s="134">
        <v>369</v>
      </c>
      <c r="E343" s="83">
        <v>19.945945945945944</v>
      </c>
      <c r="G343" s="9"/>
      <c r="H343" s="56"/>
      <c r="I343" s="56"/>
      <c r="J343" s="56"/>
      <c r="K343" s="9"/>
      <c r="L343" s="56"/>
      <c r="M343" s="56"/>
      <c r="N343" s="56"/>
    </row>
    <row r="344" spans="2:14" s="1" customFormat="1" x14ac:dyDescent="0.3">
      <c r="B344" s="40">
        <v>2</v>
      </c>
      <c r="C344" s="23" t="s">
        <v>312</v>
      </c>
      <c r="D344" s="134">
        <v>86</v>
      </c>
      <c r="E344" s="83">
        <v>4.6486486486486482</v>
      </c>
      <c r="G344" s="9"/>
      <c r="H344" s="56"/>
      <c r="I344" s="56"/>
      <c r="J344" s="56"/>
      <c r="K344" s="9"/>
      <c r="L344" s="56"/>
      <c r="M344" s="56"/>
      <c r="N344" s="56"/>
    </row>
    <row r="345" spans="2:14" s="1" customFormat="1" x14ac:dyDescent="0.3">
      <c r="B345" s="40">
        <v>3</v>
      </c>
      <c r="C345" s="23" t="s">
        <v>337</v>
      </c>
      <c r="D345" s="134">
        <v>82</v>
      </c>
      <c r="E345" s="83">
        <v>4.4324324324324325</v>
      </c>
      <c r="G345" s="9"/>
      <c r="H345" s="56"/>
      <c r="I345" s="56"/>
      <c r="J345" s="56"/>
      <c r="K345" s="9"/>
      <c r="L345" s="56"/>
      <c r="M345" s="56"/>
      <c r="N345" s="56"/>
    </row>
    <row r="346" spans="2:14" s="1" customFormat="1" x14ac:dyDescent="0.3">
      <c r="B346" s="40">
        <v>4</v>
      </c>
      <c r="C346" s="23" t="s">
        <v>313</v>
      </c>
      <c r="D346" s="134">
        <v>77</v>
      </c>
      <c r="E346" s="83">
        <v>4.1621621621621623</v>
      </c>
      <c r="G346" s="9"/>
      <c r="H346" s="56"/>
      <c r="I346" s="56"/>
      <c r="J346" s="56"/>
      <c r="K346" s="9"/>
      <c r="L346" s="56"/>
      <c r="M346" s="56"/>
      <c r="N346" s="56"/>
    </row>
    <row r="347" spans="2:14" s="1" customFormat="1" x14ac:dyDescent="0.3">
      <c r="B347" s="40">
        <v>5</v>
      </c>
      <c r="C347" s="23" t="s">
        <v>343</v>
      </c>
      <c r="D347" s="134">
        <v>41</v>
      </c>
      <c r="E347" s="83">
        <v>2.2162162162162162</v>
      </c>
      <c r="G347" s="9"/>
      <c r="H347" s="56"/>
      <c r="I347" s="56"/>
      <c r="J347" s="56"/>
      <c r="K347" s="9"/>
      <c r="L347" s="56"/>
      <c r="M347" s="56"/>
      <c r="N347" s="56"/>
    </row>
    <row r="348" spans="2:14" s="1" customFormat="1" x14ac:dyDescent="0.3">
      <c r="B348" s="40">
        <v>6</v>
      </c>
      <c r="C348" s="23" t="s">
        <v>338</v>
      </c>
      <c r="D348" s="134">
        <v>38</v>
      </c>
      <c r="E348" s="83">
        <v>2.0540540540540539</v>
      </c>
      <c r="G348" s="9"/>
      <c r="H348" s="56"/>
      <c r="I348" s="56"/>
      <c r="J348" s="56"/>
      <c r="K348" s="9"/>
      <c r="L348" s="56"/>
      <c r="M348" s="56"/>
      <c r="N348" s="56"/>
    </row>
    <row r="349" spans="2:14" s="1" customFormat="1" x14ac:dyDescent="0.3">
      <c r="B349" s="40">
        <v>7</v>
      </c>
      <c r="C349" s="23" t="s">
        <v>351</v>
      </c>
      <c r="D349" s="134">
        <v>37</v>
      </c>
      <c r="E349" s="83">
        <v>2</v>
      </c>
      <c r="G349" s="9"/>
      <c r="H349" s="56"/>
      <c r="I349" s="56"/>
      <c r="J349" s="56"/>
      <c r="K349" s="9"/>
      <c r="L349" s="56"/>
      <c r="M349" s="56"/>
      <c r="N349" s="56"/>
    </row>
    <row r="350" spans="2:14" s="1" customFormat="1" x14ac:dyDescent="0.3">
      <c r="B350" s="40">
        <v>8</v>
      </c>
      <c r="C350" s="23" t="s">
        <v>304</v>
      </c>
      <c r="D350" s="134">
        <v>27</v>
      </c>
      <c r="E350" s="83">
        <v>1.4594594594594594</v>
      </c>
      <c r="G350" s="9"/>
      <c r="H350" s="56"/>
      <c r="I350" s="56"/>
      <c r="J350" s="56"/>
      <c r="K350" s="9"/>
      <c r="L350" s="56"/>
      <c r="M350" s="56"/>
      <c r="N350" s="56"/>
    </row>
    <row r="351" spans="2:14" s="1" customFormat="1" x14ac:dyDescent="0.3">
      <c r="B351" s="40">
        <v>9</v>
      </c>
      <c r="C351" s="23" t="s">
        <v>305</v>
      </c>
      <c r="D351" s="134">
        <v>26</v>
      </c>
      <c r="E351" s="83">
        <v>1.4054054054054055</v>
      </c>
      <c r="G351" s="9"/>
      <c r="H351" s="56"/>
      <c r="I351" s="56"/>
      <c r="J351" s="56"/>
      <c r="K351" s="9"/>
      <c r="L351" s="56"/>
      <c r="M351" s="56"/>
      <c r="N351" s="56"/>
    </row>
    <row r="352" spans="2:14" s="1" customFormat="1" x14ac:dyDescent="0.3">
      <c r="B352" s="40">
        <v>10</v>
      </c>
      <c r="C352" s="23" t="s">
        <v>308</v>
      </c>
      <c r="D352" s="134">
        <v>25</v>
      </c>
      <c r="E352" s="83">
        <v>1.3513513513513513</v>
      </c>
      <c r="G352" s="9"/>
      <c r="H352" s="56"/>
      <c r="I352" s="56"/>
      <c r="J352" s="56"/>
      <c r="K352" s="9"/>
      <c r="L352" s="56"/>
      <c r="M352" s="56"/>
      <c r="N352" s="56"/>
    </row>
    <row r="353" spans="2:14" s="1" customFormat="1" x14ac:dyDescent="0.3">
      <c r="B353" s="40">
        <v>11</v>
      </c>
      <c r="C353" s="23" t="s">
        <v>318</v>
      </c>
      <c r="D353" s="134">
        <v>24</v>
      </c>
      <c r="E353" s="83">
        <v>1.2972972972972971</v>
      </c>
      <c r="G353" s="9"/>
      <c r="H353" s="56"/>
      <c r="I353" s="56"/>
      <c r="J353" s="56"/>
      <c r="K353" s="9"/>
      <c r="L353" s="56"/>
      <c r="M353" s="56"/>
      <c r="N353" s="56"/>
    </row>
    <row r="354" spans="2:14" s="1" customFormat="1" x14ac:dyDescent="0.3">
      <c r="B354" s="40">
        <v>12</v>
      </c>
      <c r="C354" s="23" t="s">
        <v>363</v>
      </c>
      <c r="D354" s="134">
        <v>22</v>
      </c>
      <c r="E354" s="83">
        <v>1.1891891891891893</v>
      </c>
      <c r="G354" s="9"/>
      <c r="H354" s="56"/>
      <c r="I354" s="56"/>
      <c r="J354" s="56"/>
      <c r="K354" s="9"/>
      <c r="L354" s="56"/>
      <c r="M354" s="56"/>
      <c r="N354" s="56"/>
    </row>
    <row r="355" spans="2:14" s="1" customFormat="1" x14ac:dyDescent="0.3">
      <c r="B355" s="40">
        <v>13</v>
      </c>
      <c r="C355" s="23" t="s">
        <v>367</v>
      </c>
      <c r="D355" s="134">
        <v>21</v>
      </c>
      <c r="E355" s="83">
        <v>1.1351351351351351</v>
      </c>
      <c r="G355" s="9"/>
      <c r="H355" s="56"/>
      <c r="I355" s="56"/>
      <c r="J355" s="56"/>
      <c r="K355" s="9"/>
      <c r="L355" s="56"/>
      <c r="M355" s="56"/>
      <c r="N355" s="56"/>
    </row>
    <row r="356" spans="2:14" s="1" customFormat="1" x14ac:dyDescent="0.3">
      <c r="B356" s="40">
        <v>14</v>
      </c>
      <c r="C356" s="23" t="s">
        <v>339</v>
      </c>
      <c r="D356" s="134">
        <v>20</v>
      </c>
      <c r="E356" s="83">
        <v>1.0810810810810811</v>
      </c>
      <c r="G356" s="9"/>
      <c r="H356" s="56"/>
      <c r="I356" s="56"/>
      <c r="J356" s="56"/>
      <c r="K356" s="9"/>
      <c r="L356" s="56"/>
      <c r="M356" s="56"/>
      <c r="N356" s="56"/>
    </row>
    <row r="357" spans="2:14" s="1" customFormat="1" x14ac:dyDescent="0.3">
      <c r="B357" s="40">
        <v>15</v>
      </c>
      <c r="C357" s="23" t="s">
        <v>360</v>
      </c>
      <c r="D357" s="134">
        <v>20</v>
      </c>
      <c r="E357" s="83">
        <v>1.0810810810810811</v>
      </c>
      <c r="G357" s="9"/>
      <c r="H357" s="56"/>
      <c r="I357" s="56"/>
      <c r="J357" s="56"/>
      <c r="K357" s="9"/>
      <c r="L357" s="56"/>
      <c r="M357" s="56"/>
      <c r="N357" s="56"/>
    </row>
    <row r="358" spans="2:14" s="1" customFormat="1" x14ac:dyDescent="0.3">
      <c r="B358" s="40">
        <v>16</v>
      </c>
      <c r="C358" s="23" t="s">
        <v>311</v>
      </c>
      <c r="D358" s="134">
        <v>19</v>
      </c>
      <c r="E358" s="83">
        <v>1.027027027027027</v>
      </c>
      <c r="G358" s="9"/>
      <c r="H358" s="56"/>
      <c r="I358" s="56"/>
      <c r="J358" s="56"/>
      <c r="K358" s="9"/>
      <c r="L358" s="56"/>
      <c r="M358" s="56"/>
      <c r="N358" s="56"/>
    </row>
    <row r="359" spans="2:14" s="1" customFormat="1" x14ac:dyDescent="0.3">
      <c r="B359" s="40">
        <v>17</v>
      </c>
      <c r="C359" s="23" t="s">
        <v>358</v>
      </c>
      <c r="D359" s="134">
        <v>18</v>
      </c>
      <c r="E359" s="83">
        <v>0.97297297297297292</v>
      </c>
      <c r="G359" s="9"/>
      <c r="H359" s="56"/>
      <c r="I359" s="56"/>
      <c r="J359" s="56"/>
      <c r="K359" s="9"/>
      <c r="L359" s="56"/>
      <c r="M359" s="56"/>
      <c r="N359" s="56"/>
    </row>
    <row r="360" spans="2:14" s="1" customFormat="1" x14ac:dyDescent="0.3">
      <c r="B360" s="40">
        <v>18</v>
      </c>
      <c r="C360" s="23" t="s">
        <v>341</v>
      </c>
      <c r="D360" s="134">
        <v>18</v>
      </c>
      <c r="E360" s="83">
        <v>0.97297297297297292</v>
      </c>
      <c r="G360" s="9"/>
      <c r="H360" s="56"/>
      <c r="I360" s="56"/>
      <c r="J360" s="56"/>
      <c r="K360" s="9"/>
      <c r="L360" s="56"/>
      <c r="M360" s="56"/>
      <c r="N360" s="56"/>
    </row>
    <row r="361" spans="2:14" s="1" customFormat="1" x14ac:dyDescent="0.3">
      <c r="B361" s="40">
        <v>19</v>
      </c>
      <c r="C361" s="23" t="s">
        <v>88</v>
      </c>
      <c r="D361" s="134">
        <v>17</v>
      </c>
      <c r="E361" s="83">
        <v>0.91891891891891886</v>
      </c>
      <c r="G361" s="9"/>
      <c r="H361" s="56"/>
      <c r="I361" s="56"/>
      <c r="J361" s="56"/>
      <c r="K361" s="9"/>
      <c r="L361" s="56"/>
      <c r="M361" s="56"/>
      <c r="N361" s="56"/>
    </row>
    <row r="362" spans="2:14" s="1" customFormat="1" x14ac:dyDescent="0.3">
      <c r="B362" s="40">
        <v>20</v>
      </c>
      <c r="C362" s="23" t="s">
        <v>393</v>
      </c>
      <c r="D362" s="134">
        <v>16</v>
      </c>
      <c r="E362" s="83">
        <v>0.86486486486486491</v>
      </c>
      <c r="G362" s="9"/>
      <c r="H362" s="56"/>
      <c r="I362" s="56"/>
      <c r="J362" s="56"/>
      <c r="K362" s="9"/>
      <c r="L362" s="56"/>
      <c r="M362" s="56"/>
      <c r="N362" s="56"/>
    </row>
    <row r="363" spans="2:14" s="1" customFormat="1" x14ac:dyDescent="0.3">
      <c r="B363" s="40">
        <v>21</v>
      </c>
      <c r="C363" s="23" t="s">
        <v>357</v>
      </c>
      <c r="D363" s="134">
        <v>16</v>
      </c>
      <c r="E363" s="83">
        <v>0.86486486486486491</v>
      </c>
      <c r="G363" s="9"/>
      <c r="H363" s="56"/>
      <c r="I363" s="56"/>
      <c r="J363" s="56"/>
      <c r="K363" s="9"/>
      <c r="L363" s="56"/>
      <c r="M363" s="56"/>
      <c r="N363" s="56"/>
    </row>
    <row r="364" spans="2:14" s="1" customFormat="1" x14ac:dyDescent="0.3">
      <c r="B364" s="40">
        <v>22</v>
      </c>
      <c r="C364" s="23" t="s">
        <v>394</v>
      </c>
      <c r="D364" s="134">
        <v>16</v>
      </c>
      <c r="E364" s="83">
        <v>0.86486486486486491</v>
      </c>
      <c r="G364" s="9"/>
      <c r="H364" s="56"/>
      <c r="I364" s="56"/>
      <c r="J364" s="56"/>
      <c r="K364" s="9"/>
      <c r="L364" s="56"/>
      <c r="M364" s="56"/>
      <c r="N364" s="56"/>
    </row>
    <row r="365" spans="2:14" s="1" customFormat="1" x14ac:dyDescent="0.3">
      <c r="B365" s="40">
        <v>23</v>
      </c>
      <c r="C365" s="23" t="s">
        <v>362</v>
      </c>
      <c r="D365" s="134">
        <v>15</v>
      </c>
      <c r="E365" s="83">
        <v>0.81081081081081086</v>
      </c>
      <c r="G365" s="9"/>
      <c r="H365" s="56"/>
      <c r="I365" s="56"/>
      <c r="J365" s="56"/>
      <c r="K365" s="9"/>
      <c r="L365" s="56"/>
      <c r="M365" s="56"/>
      <c r="N365" s="56"/>
    </row>
    <row r="366" spans="2:14" s="1" customFormat="1" x14ac:dyDescent="0.3">
      <c r="B366" s="40">
        <v>24</v>
      </c>
      <c r="C366" s="23" t="s">
        <v>395</v>
      </c>
      <c r="D366" s="134">
        <v>15</v>
      </c>
      <c r="E366" s="83">
        <v>0.81081081081081086</v>
      </c>
      <c r="G366" s="9"/>
      <c r="H366" s="56"/>
      <c r="I366" s="56"/>
      <c r="J366" s="56"/>
      <c r="K366" s="9"/>
      <c r="L366" s="56"/>
      <c r="M366" s="56"/>
      <c r="N366" s="56"/>
    </row>
    <row r="367" spans="2:14" s="1" customFormat="1" x14ac:dyDescent="0.3">
      <c r="B367" s="40">
        <v>25</v>
      </c>
      <c r="C367" s="23" t="s">
        <v>355</v>
      </c>
      <c r="D367" s="134">
        <v>14</v>
      </c>
      <c r="E367" s="83">
        <v>0.7567567567567568</v>
      </c>
      <c r="G367" s="9"/>
      <c r="H367" s="56"/>
      <c r="I367" s="56"/>
      <c r="J367" s="56"/>
      <c r="K367" s="9"/>
      <c r="L367" s="56"/>
      <c r="M367" s="56"/>
      <c r="N367" s="56"/>
    </row>
    <row r="368" spans="2:14" s="1" customFormat="1" x14ac:dyDescent="0.3">
      <c r="B368" s="40">
        <v>26</v>
      </c>
      <c r="C368" s="23" t="s">
        <v>309</v>
      </c>
      <c r="D368" s="134">
        <v>14</v>
      </c>
      <c r="E368" s="83">
        <v>0.7567567567567568</v>
      </c>
      <c r="G368" s="9"/>
      <c r="H368" s="56"/>
      <c r="I368" s="56"/>
      <c r="J368" s="56"/>
      <c r="K368" s="9"/>
      <c r="L368" s="56"/>
      <c r="M368" s="56"/>
      <c r="N368" s="56"/>
    </row>
    <row r="369" spans="2:14" s="1" customFormat="1" x14ac:dyDescent="0.3">
      <c r="B369" s="40">
        <v>27</v>
      </c>
      <c r="C369" s="23" t="s">
        <v>396</v>
      </c>
      <c r="D369" s="134">
        <v>13</v>
      </c>
      <c r="E369" s="83">
        <v>0.70270270270270274</v>
      </c>
      <c r="G369" s="9"/>
      <c r="H369" s="56"/>
      <c r="I369" s="56"/>
      <c r="J369" s="56"/>
      <c r="K369" s="9"/>
      <c r="L369" s="56"/>
      <c r="M369" s="56"/>
      <c r="N369" s="56"/>
    </row>
    <row r="370" spans="2:14" s="1" customFormat="1" x14ac:dyDescent="0.3">
      <c r="B370" s="40">
        <v>28</v>
      </c>
      <c r="C370" s="23" t="s">
        <v>397</v>
      </c>
      <c r="D370" s="134">
        <v>11</v>
      </c>
      <c r="E370" s="83">
        <v>0.59459459459459463</v>
      </c>
      <c r="G370" s="9"/>
      <c r="H370" s="56"/>
      <c r="I370" s="56"/>
      <c r="J370" s="56"/>
      <c r="K370" s="9"/>
      <c r="L370" s="56"/>
      <c r="M370" s="56"/>
      <c r="N370" s="56"/>
    </row>
    <row r="371" spans="2:14" s="1" customFormat="1" x14ac:dyDescent="0.3">
      <c r="B371" s="40">
        <v>29</v>
      </c>
      <c r="C371" s="23" t="s">
        <v>96</v>
      </c>
      <c r="D371" s="134">
        <v>11</v>
      </c>
      <c r="E371" s="83">
        <v>0.59459459459459463</v>
      </c>
      <c r="G371" s="9"/>
      <c r="H371" s="56"/>
      <c r="I371" s="56"/>
      <c r="J371" s="56"/>
      <c r="K371" s="9"/>
      <c r="L371" s="56"/>
      <c r="M371" s="56"/>
      <c r="N371" s="56"/>
    </row>
    <row r="372" spans="2:14" s="1" customFormat="1" x14ac:dyDescent="0.3">
      <c r="B372" s="41">
        <v>30</v>
      </c>
      <c r="C372" s="26" t="s">
        <v>340</v>
      </c>
      <c r="D372" s="135">
        <v>11</v>
      </c>
      <c r="E372" s="85">
        <v>0.59459459459459463</v>
      </c>
      <c r="G372" s="9"/>
      <c r="H372" s="56"/>
      <c r="I372" s="56"/>
      <c r="J372" s="56"/>
      <c r="K372" s="9"/>
      <c r="L372" s="56"/>
      <c r="M372" s="56"/>
      <c r="N372" s="56"/>
    </row>
    <row r="373" spans="2:14" s="1" customFormat="1" x14ac:dyDescent="0.3">
      <c r="B373" s="40"/>
      <c r="C373" s="9"/>
      <c r="D373" s="134"/>
      <c r="E373" s="83"/>
      <c r="G373" s="9"/>
      <c r="H373" s="56"/>
      <c r="I373" s="56"/>
      <c r="J373" s="56"/>
      <c r="K373" s="9"/>
      <c r="L373" s="56"/>
      <c r="M373" s="56"/>
      <c r="N373" s="56"/>
    </row>
    <row r="374" spans="2:14" s="1" customFormat="1" x14ac:dyDescent="0.3">
      <c r="B374" s="149" t="s">
        <v>500</v>
      </c>
    </row>
    <row r="375" spans="2:14" s="1" customFormat="1" x14ac:dyDescent="0.3">
      <c r="D375" s="30"/>
      <c r="E375" s="30" t="s">
        <v>301</v>
      </c>
      <c r="N375" s="30"/>
    </row>
    <row r="376" spans="2:14" s="1" customFormat="1" x14ac:dyDescent="0.3">
      <c r="B376" s="216"/>
      <c r="C376" s="309" t="s">
        <v>137</v>
      </c>
      <c r="D376" s="290"/>
      <c r="E376" s="290"/>
      <c r="G376" s="308"/>
      <c r="H376" s="308"/>
      <c r="I376" s="308"/>
      <c r="J376" s="308"/>
      <c r="K376" s="308"/>
      <c r="L376" s="308"/>
      <c r="M376" s="308"/>
      <c r="N376" s="308"/>
    </row>
    <row r="377" spans="2:14" s="1" customFormat="1" x14ac:dyDescent="0.3">
      <c r="B377" s="221"/>
      <c r="C377" s="228" t="s">
        <v>56</v>
      </c>
      <c r="D377" s="215" t="s">
        <v>302</v>
      </c>
      <c r="E377" s="215" t="s">
        <v>41</v>
      </c>
      <c r="G377" s="64"/>
      <c r="H377" s="64"/>
      <c r="I377" s="64"/>
      <c r="J377" s="64"/>
      <c r="K377" s="64"/>
      <c r="L377" s="64"/>
      <c r="M377" s="64"/>
      <c r="N377" s="64"/>
    </row>
    <row r="378" spans="2:14" s="1" customFormat="1" x14ac:dyDescent="0.3">
      <c r="B378" s="40">
        <v>1</v>
      </c>
      <c r="C378" s="23" t="s">
        <v>336</v>
      </c>
      <c r="D378" s="134">
        <v>184</v>
      </c>
      <c r="E378" s="83">
        <v>13.021939136588816</v>
      </c>
      <c r="G378" s="9"/>
      <c r="H378" s="56"/>
      <c r="I378" s="56"/>
      <c r="J378" s="56"/>
      <c r="K378" s="9"/>
      <c r="L378" s="56"/>
      <c r="M378" s="56"/>
      <c r="N378" s="56"/>
    </row>
    <row r="379" spans="2:14" s="1" customFormat="1" x14ac:dyDescent="0.3">
      <c r="B379" s="40">
        <v>2</v>
      </c>
      <c r="C379" s="23" t="s">
        <v>398</v>
      </c>
      <c r="D379" s="134">
        <v>151</v>
      </c>
      <c r="E379" s="83">
        <v>10.686482661004954</v>
      </c>
      <c r="G379" s="9"/>
      <c r="H379" s="56"/>
      <c r="I379" s="56"/>
      <c r="J379" s="56"/>
      <c r="K379" s="9"/>
      <c r="L379" s="56"/>
      <c r="M379" s="56"/>
      <c r="N379" s="56"/>
    </row>
    <row r="380" spans="2:14" s="1" customFormat="1" x14ac:dyDescent="0.3">
      <c r="B380" s="40">
        <v>3</v>
      </c>
      <c r="C380" s="23" t="s">
        <v>313</v>
      </c>
      <c r="D380" s="134">
        <v>76</v>
      </c>
      <c r="E380" s="83">
        <v>5.3786270346779901</v>
      </c>
      <c r="G380" s="9"/>
      <c r="H380" s="56"/>
      <c r="I380" s="56"/>
      <c r="J380" s="56"/>
      <c r="K380" s="9"/>
      <c r="L380" s="56"/>
      <c r="M380" s="56"/>
      <c r="N380" s="56"/>
    </row>
    <row r="381" spans="2:14" s="1" customFormat="1" x14ac:dyDescent="0.3">
      <c r="B381" s="40">
        <v>4</v>
      </c>
      <c r="C381" s="23" t="s">
        <v>337</v>
      </c>
      <c r="D381" s="134">
        <v>74</v>
      </c>
      <c r="E381" s="83">
        <v>5.2370842179759372</v>
      </c>
      <c r="G381" s="9"/>
      <c r="H381" s="56"/>
      <c r="I381" s="56"/>
      <c r="J381" s="56"/>
      <c r="K381" s="9"/>
      <c r="L381" s="56"/>
      <c r="M381" s="56"/>
      <c r="N381" s="56"/>
    </row>
    <row r="382" spans="2:14" s="1" customFormat="1" x14ac:dyDescent="0.3">
      <c r="B382" s="40">
        <v>5</v>
      </c>
      <c r="C382" s="23" t="s">
        <v>312</v>
      </c>
      <c r="D382" s="134">
        <v>69</v>
      </c>
      <c r="E382" s="83">
        <v>4.8832271762208075</v>
      </c>
      <c r="G382" s="9"/>
      <c r="H382" s="56"/>
      <c r="I382" s="56"/>
      <c r="J382" s="56"/>
      <c r="K382" s="9"/>
      <c r="L382" s="56"/>
      <c r="M382" s="56"/>
      <c r="N382" s="56"/>
    </row>
    <row r="383" spans="2:14" s="1" customFormat="1" x14ac:dyDescent="0.3">
      <c r="B383" s="40">
        <v>6</v>
      </c>
      <c r="C383" s="23" t="s">
        <v>338</v>
      </c>
      <c r="D383" s="134">
        <v>46</v>
      </c>
      <c r="E383" s="83">
        <v>3.2554847841472041</v>
      </c>
      <c r="G383" s="9"/>
      <c r="H383" s="56"/>
      <c r="I383" s="56"/>
      <c r="J383" s="56"/>
      <c r="K383" s="9"/>
      <c r="L383" s="56"/>
      <c r="M383" s="56"/>
      <c r="N383" s="56"/>
    </row>
    <row r="384" spans="2:14" s="1" customFormat="1" x14ac:dyDescent="0.3">
      <c r="B384" s="40">
        <v>7</v>
      </c>
      <c r="C384" s="23" t="s">
        <v>400</v>
      </c>
      <c r="D384" s="134">
        <v>30</v>
      </c>
      <c r="E384" s="83">
        <v>2.1231422505307855</v>
      </c>
      <c r="G384" s="9"/>
      <c r="H384" s="56"/>
      <c r="I384" s="56"/>
      <c r="J384" s="56"/>
      <c r="K384" s="9"/>
      <c r="L384" s="56"/>
      <c r="M384" s="56"/>
      <c r="N384" s="56"/>
    </row>
    <row r="385" spans="2:14" s="1" customFormat="1" x14ac:dyDescent="0.3">
      <c r="B385" s="40">
        <v>8</v>
      </c>
      <c r="C385" s="23" t="s">
        <v>401</v>
      </c>
      <c r="D385" s="134">
        <v>24</v>
      </c>
      <c r="E385" s="83">
        <v>1.6985138004246285</v>
      </c>
      <c r="G385" s="9"/>
      <c r="H385" s="56"/>
      <c r="I385" s="56"/>
      <c r="J385" s="56"/>
      <c r="K385" s="9"/>
      <c r="L385" s="56"/>
      <c r="M385" s="56"/>
      <c r="N385" s="56"/>
    </row>
    <row r="386" spans="2:14" s="1" customFormat="1" x14ac:dyDescent="0.3">
      <c r="B386" s="40">
        <v>9</v>
      </c>
      <c r="C386" s="23" t="s">
        <v>402</v>
      </c>
      <c r="D386" s="134">
        <v>23</v>
      </c>
      <c r="E386" s="83">
        <v>1.6277423920736021</v>
      </c>
      <c r="G386" s="9"/>
      <c r="H386" s="56"/>
      <c r="I386" s="56"/>
      <c r="J386" s="56"/>
      <c r="K386" s="9"/>
      <c r="L386" s="56"/>
      <c r="M386" s="56"/>
      <c r="N386" s="56"/>
    </row>
    <row r="387" spans="2:14" s="1" customFormat="1" x14ac:dyDescent="0.3">
      <c r="B387" s="40">
        <v>10</v>
      </c>
      <c r="C387" s="23" t="s">
        <v>343</v>
      </c>
      <c r="D387" s="134">
        <v>15</v>
      </c>
      <c r="E387" s="83">
        <v>1.0615711252653928</v>
      </c>
      <c r="G387" s="9"/>
      <c r="H387" s="56"/>
      <c r="I387" s="56"/>
      <c r="J387" s="56"/>
      <c r="K387" s="9"/>
      <c r="L387" s="56"/>
      <c r="M387" s="56"/>
      <c r="N387" s="56"/>
    </row>
    <row r="388" spans="2:14" s="1" customFormat="1" x14ac:dyDescent="0.3">
      <c r="B388" s="40">
        <v>11</v>
      </c>
      <c r="C388" s="23" t="s">
        <v>304</v>
      </c>
      <c r="D388" s="134">
        <v>14</v>
      </c>
      <c r="E388" s="83">
        <v>0.99079971691436663</v>
      </c>
      <c r="G388" s="9"/>
      <c r="H388" s="56"/>
      <c r="I388" s="56"/>
      <c r="J388" s="56"/>
      <c r="K388" s="9"/>
      <c r="L388" s="56"/>
      <c r="M388" s="56"/>
      <c r="N388" s="56"/>
    </row>
    <row r="389" spans="2:14" s="1" customFormat="1" x14ac:dyDescent="0.3">
      <c r="B389" s="40">
        <v>12</v>
      </c>
      <c r="C389" s="23" t="s">
        <v>351</v>
      </c>
      <c r="D389" s="134">
        <v>13</v>
      </c>
      <c r="E389" s="83">
        <v>0.9200283085633405</v>
      </c>
      <c r="G389" s="9"/>
      <c r="H389" s="56"/>
      <c r="I389" s="56"/>
      <c r="J389" s="56"/>
      <c r="K389" s="9"/>
      <c r="L389" s="56"/>
      <c r="M389" s="56"/>
      <c r="N389" s="56"/>
    </row>
    <row r="390" spans="2:14" s="1" customFormat="1" x14ac:dyDescent="0.3">
      <c r="B390" s="40">
        <v>13</v>
      </c>
      <c r="C390" s="23" t="s">
        <v>403</v>
      </c>
      <c r="D390" s="134">
        <v>13</v>
      </c>
      <c r="E390" s="83">
        <v>0.9200283085633405</v>
      </c>
      <c r="G390" s="9"/>
      <c r="H390" s="56"/>
      <c r="I390" s="56"/>
      <c r="J390" s="56"/>
      <c r="K390" s="9"/>
      <c r="L390" s="56"/>
      <c r="M390" s="56"/>
      <c r="N390" s="56"/>
    </row>
    <row r="391" spans="2:14" s="1" customFormat="1" x14ac:dyDescent="0.3">
      <c r="B391" s="40">
        <v>14</v>
      </c>
      <c r="C391" s="23" t="s">
        <v>404</v>
      </c>
      <c r="D391" s="134">
        <v>13</v>
      </c>
      <c r="E391" s="83">
        <v>0.9200283085633405</v>
      </c>
      <c r="G391" s="9"/>
      <c r="H391" s="56"/>
      <c r="I391" s="56"/>
      <c r="J391" s="56"/>
      <c r="K391" s="9"/>
      <c r="L391" s="56"/>
      <c r="M391" s="56"/>
      <c r="N391" s="56"/>
    </row>
    <row r="392" spans="2:14" s="1" customFormat="1" x14ac:dyDescent="0.3">
      <c r="B392" s="40">
        <v>15</v>
      </c>
      <c r="C392" s="23" t="s">
        <v>348</v>
      </c>
      <c r="D392" s="134">
        <v>12</v>
      </c>
      <c r="E392" s="83">
        <v>0.84925690021231426</v>
      </c>
      <c r="G392" s="9"/>
      <c r="H392" s="56"/>
      <c r="I392" s="56"/>
      <c r="J392" s="56"/>
      <c r="K392" s="9"/>
      <c r="L392" s="56"/>
      <c r="M392" s="56"/>
      <c r="N392" s="56"/>
    </row>
    <row r="393" spans="2:14" s="1" customFormat="1" x14ac:dyDescent="0.3">
      <c r="B393" s="40">
        <v>16</v>
      </c>
      <c r="C393" s="23" t="s">
        <v>305</v>
      </c>
      <c r="D393" s="134">
        <v>12</v>
      </c>
      <c r="E393" s="83">
        <v>0.84925690021231426</v>
      </c>
      <c r="G393" s="9"/>
      <c r="H393" s="56"/>
      <c r="I393" s="56"/>
      <c r="J393" s="56"/>
      <c r="K393" s="9"/>
      <c r="L393" s="56"/>
      <c r="M393" s="56"/>
      <c r="N393" s="56"/>
    </row>
    <row r="394" spans="2:14" s="1" customFormat="1" x14ac:dyDescent="0.3">
      <c r="B394" s="40">
        <v>17</v>
      </c>
      <c r="C394" s="23" t="s">
        <v>361</v>
      </c>
      <c r="D394" s="134">
        <v>12</v>
      </c>
      <c r="E394" s="83">
        <v>0.84925690021231426</v>
      </c>
      <c r="G394" s="9"/>
      <c r="H394" s="56"/>
      <c r="I394" s="56"/>
      <c r="J394" s="56"/>
      <c r="K394" s="9"/>
      <c r="L394" s="56"/>
      <c r="M394" s="56"/>
      <c r="N394" s="56"/>
    </row>
    <row r="395" spans="2:14" s="1" customFormat="1" x14ac:dyDescent="0.3">
      <c r="B395" s="40">
        <v>18</v>
      </c>
      <c r="C395" s="23" t="s">
        <v>360</v>
      </c>
      <c r="D395" s="134">
        <v>10</v>
      </c>
      <c r="E395" s="83">
        <v>0.70771408351026177</v>
      </c>
      <c r="G395" s="9"/>
      <c r="H395" s="56"/>
      <c r="I395" s="56"/>
      <c r="J395" s="56"/>
      <c r="K395" s="9"/>
      <c r="L395" s="56"/>
      <c r="M395" s="56"/>
      <c r="N395" s="56"/>
    </row>
    <row r="396" spans="2:14" s="1" customFormat="1" x14ac:dyDescent="0.3">
      <c r="B396" s="40">
        <v>19</v>
      </c>
      <c r="C396" s="23" t="s">
        <v>363</v>
      </c>
      <c r="D396" s="134">
        <v>10</v>
      </c>
      <c r="E396" s="83">
        <v>0.70771408351026177</v>
      </c>
      <c r="G396" s="9"/>
      <c r="H396" s="56"/>
      <c r="I396" s="56"/>
      <c r="J396" s="56"/>
      <c r="K396" s="9"/>
      <c r="L396" s="56"/>
      <c r="M396" s="56"/>
      <c r="N396" s="56"/>
    </row>
    <row r="397" spans="2:14" s="1" customFormat="1" x14ac:dyDescent="0.3">
      <c r="B397" s="40">
        <v>20</v>
      </c>
      <c r="C397" s="23" t="s">
        <v>339</v>
      </c>
      <c r="D397" s="134">
        <v>9</v>
      </c>
      <c r="E397" s="83">
        <v>0.63694267515923575</v>
      </c>
      <c r="G397" s="9"/>
      <c r="H397" s="56"/>
      <c r="I397" s="56"/>
      <c r="J397" s="56"/>
      <c r="K397" s="9"/>
      <c r="L397" s="56"/>
      <c r="M397" s="56"/>
      <c r="N397" s="56"/>
    </row>
    <row r="398" spans="2:14" s="1" customFormat="1" x14ac:dyDescent="0.3">
      <c r="B398" s="40">
        <v>21</v>
      </c>
      <c r="C398" s="23" t="s">
        <v>308</v>
      </c>
      <c r="D398" s="134">
        <v>9</v>
      </c>
      <c r="E398" s="83">
        <v>0.63694267515923575</v>
      </c>
      <c r="G398" s="9"/>
      <c r="H398" s="56"/>
      <c r="I398" s="56"/>
      <c r="J398" s="56"/>
      <c r="K398" s="9"/>
      <c r="L398" s="56"/>
      <c r="M398" s="56"/>
      <c r="N398" s="56"/>
    </row>
    <row r="399" spans="2:14" s="1" customFormat="1" x14ac:dyDescent="0.3">
      <c r="B399" s="40">
        <v>22</v>
      </c>
      <c r="C399" s="23" t="s">
        <v>406</v>
      </c>
      <c r="D399" s="134">
        <v>9</v>
      </c>
      <c r="E399" s="83">
        <v>0.63694267515923575</v>
      </c>
      <c r="G399" s="9"/>
      <c r="H399" s="56"/>
      <c r="I399" s="56"/>
      <c r="J399" s="56"/>
      <c r="K399" s="9"/>
      <c r="L399" s="56"/>
      <c r="M399" s="56"/>
      <c r="N399" s="56"/>
    </row>
    <row r="400" spans="2:14" s="1" customFormat="1" x14ac:dyDescent="0.3">
      <c r="B400" s="40">
        <v>23</v>
      </c>
      <c r="C400" s="23" t="s">
        <v>357</v>
      </c>
      <c r="D400" s="134">
        <v>8</v>
      </c>
      <c r="E400" s="83">
        <v>0.56617126680820951</v>
      </c>
      <c r="G400" s="9"/>
      <c r="H400" s="56"/>
      <c r="I400" s="56"/>
      <c r="J400" s="56"/>
      <c r="K400" s="9"/>
      <c r="L400" s="56"/>
      <c r="M400" s="56"/>
      <c r="N400" s="56"/>
    </row>
    <row r="401" spans="2:14" s="1" customFormat="1" x14ac:dyDescent="0.3">
      <c r="B401" s="40">
        <v>24</v>
      </c>
      <c r="C401" s="23" t="s">
        <v>355</v>
      </c>
      <c r="D401" s="134">
        <v>8</v>
      </c>
      <c r="E401" s="83">
        <v>0.56617126680820951</v>
      </c>
      <c r="G401" s="9"/>
      <c r="H401" s="56"/>
      <c r="I401" s="56"/>
      <c r="J401" s="56"/>
      <c r="K401" s="9"/>
      <c r="L401" s="56"/>
      <c r="M401" s="56"/>
      <c r="N401" s="56"/>
    </row>
    <row r="402" spans="2:14" s="1" customFormat="1" x14ac:dyDescent="0.3">
      <c r="B402" s="40">
        <v>25</v>
      </c>
      <c r="C402" s="23" t="s">
        <v>311</v>
      </c>
      <c r="D402" s="134">
        <v>8</v>
      </c>
      <c r="E402" s="83">
        <v>0.56617126680820951</v>
      </c>
      <c r="G402" s="9"/>
      <c r="H402" s="56"/>
      <c r="I402" s="56"/>
      <c r="J402" s="56"/>
      <c r="K402" s="9"/>
      <c r="L402" s="56"/>
      <c r="M402" s="56"/>
      <c r="N402" s="56"/>
    </row>
    <row r="403" spans="2:14" s="1" customFormat="1" x14ac:dyDescent="0.3">
      <c r="B403" s="40">
        <v>26</v>
      </c>
      <c r="C403" s="23" t="s">
        <v>318</v>
      </c>
      <c r="D403" s="134">
        <v>7</v>
      </c>
      <c r="E403" s="83">
        <v>0.49539985845718332</v>
      </c>
      <c r="G403" s="9"/>
      <c r="H403" s="56"/>
      <c r="I403" s="56"/>
      <c r="J403" s="56"/>
      <c r="K403" s="9"/>
      <c r="L403" s="56"/>
      <c r="M403" s="56"/>
      <c r="N403" s="56"/>
    </row>
    <row r="404" spans="2:14" s="1" customFormat="1" x14ac:dyDescent="0.3">
      <c r="B404" s="40">
        <v>27</v>
      </c>
      <c r="C404" s="23" t="s">
        <v>408</v>
      </c>
      <c r="D404" s="134">
        <v>7</v>
      </c>
      <c r="E404" s="83">
        <v>0.49539985845718332</v>
      </c>
      <c r="G404" s="9"/>
      <c r="H404" s="56"/>
      <c r="I404" s="56"/>
      <c r="J404" s="56"/>
      <c r="K404" s="9"/>
      <c r="L404" s="56"/>
      <c r="M404" s="56"/>
      <c r="N404" s="56"/>
    </row>
    <row r="405" spans="2:14" s="1" customFormat="1" x14ac:dyDescent="0.3">
      <c r="B405" s="40">
        <v>28</v>
      </c>
      <c r="C405" s="23" t="s">
        <v>362</v>
      </c>
      <c r="D405" s="134">
        <v>6</v>
      </c>
      <c r="E405" s="83">
        <v>0.42462845010615713</v>
      </c>
      <c r="G405" s="9"/>
      <c r="H405" s="56"/>
      <c r="I405" s="56"/>
      <c r="J405" s="56"/>
      <c r="K405" s="9"/>
      <c r="L405" s="56"/>
      <c r="M405" s="56"/>
      <c r="N405" s="56"/>
    </row>
    <row r="406" spans="2:14" s="1" customFormat="1" x14ac:dyDescent="0.3">
      <c r="B406" s="40">
        <v>29</v>
      </c>
      <c r="C406" s="23" t="s">
        <v>409</v>
      </c>
      <c r="D406" s="134">
        <v>6</v>
      </c>
      <c r="E406" s="83">
        <v>0.42462845010615713</v>
      </c>
      <c r="G406" s="9"/>
      <c r="H406" s="56"/>
      <c r="I406" s="56"/>
      <c r="J406" s="56"/>
      <c r="K406" s="9"/>
      <c r="L406" s="56"/>
      <c r="M406" s="56"/>
      <c r="N406" s="56"/>
    </row>
    <row r="407" spans="2:14" s="1" customFormat="1" x14ac:dyDescent="0.3">
      <c r="B407" s="41">
        <v>30</v>
      </c>
      <c r="C407" s="26" t="s">
        <v>349</v>
      </c>
      <c r="D407" s="135">
        <v>6</v>
      </c>
      <c r="E407" s="85">
        <v>0.42462845010615713</v>
      </c>
      <c r="G407" s="9"/>
      <c r="H407" s="56"/>
      <c r="I407" s="56"/>
      <c r="J407" s="56"/>
      <c r="K407" s="9"/>
      <c r="L407" s="56"/>
      <c r="M407" s="56"/>
      <c r="N407" s="56"/>
    </row>
    <row r="408" spans="2:14" s="1" customFormat="1" x14ac:dyDescent="0.3">
      <c r="B408" s="40"/>
      <c r="C408" s="9"/>
      <c r="D408" s="134"/>
      <c r="E408" s="83"/>
      <c r="G408" s="9"/>
      <c r="H408" s="56"/>
      <c r="I408" s="56"/>
      <c r="J408" s="56"/>
      <c r="K408" s="9"/>
      <c r="L408" s="56"/>
      <c r="M408" s="56"/>
      <c r="N408" s="56"/>
    </row>
    <row r="409" spans="2:14" s="1" customFormat="1" x14ac:dyDescent="0.3">
      <c r="B409" s="149" t="s">
        <v>501</v>
      </c>
    </row>
    <row r="410" spans="2:14" s="1" customFormat="1" x14ac:dyDescent="0.3">
      <c r="D410" s="30"/>
      <c r="E410" s="30" t="s">
        <v>301</v>
      </c>
      <c r="N410" s="30"/>
    </row>
    <row r="411" spans="2:14" s="1" customFormat="1" x14ac:dyDescent="0.3">
      <c r="B411" s="216"/>
      <c r="C411" s="309" t="s">
        <v>137</v>
      </c>
      <c r="D411" s="290"/>
      <c r="E411" s="290"/>
      <c r="G411" s="308"/>
      <c r="H411" s="308"/>
      <c r="I411" s="308"/>
      <c r="J411" s="308"/>
      <c r="K411" s="308"/>
      <c r="L411" s="308"/>
      <c r="M411" s="308"/>
      <c r="N411" s="308"/>
    </row>
    <row r="412" spans="2:14" s="1" customFormat="1" x14ac:dyDescent="0.3">
      <c r="B412" s="221"/>
      <c r="C412" s="228" t="s">
        <v>56</v>
      </c>
      <c r="D412" s="215" t="s">
        <v>302</v>
      </c>
      <c r="E412" s="215" t="s">
        <v>41</v>
      </c>
      <c r="G412" s="64"/>
      <c r="H412" s="64"/>
      <c r="I412" s="64"/>
      <c r="J412" s="64"/>
      <c r="K412" s="64"/>
      <c r="L412" s="64"/>
      <c r="M412" s="64"/>
      <c r="N412" s="64"/>
    </row>
    <row r="413" spans="2:14" s="1" customFormat="1" x14ac:dyDescent="0.3">
      <c r="B413" s="40">
        <v>1</v>
      </c>
      <c r="C413" s="23" t="s">
        <v>399</v>
      </c>
      <c r="D413" s="134">
        <v>412</v>
      </c>
      <c r="E413" s="83">
        <v>29.470672389127323</v>
      </c>
      <c r="G413" s="9"/>
      <c r="H413" s="56"/>
      <c r="I413" s="56"/>
      <c r="J413" s="56"/>
      <c r="K413" s="9"/>
      <c r="L413" s="56"/>
      <c r="M413" s="56"/>
      <c r="N413" s="56"/>
    </row>
    <row r="414" spans="2:14" s="1" customFormat="1" x14ac:dyDescent="0.3">
      <c r="B414" s="40">
        <v>2</v>
      </c>
      <c r="C414" s="23" t="s">
        <v>336</v>
      </c>
      <c r="D414" s="134">
        <v>102</v>
      </c>
      <c r="E414" s="83">
        <v>7.296137339055794</v>
      </c>
      <c r="G414" s="9"/>
      <c r="H414" s="56"/>
      <c r="I414" s="56"/>
      <c r="J414" s="56"/>
      <c r="K414" s="9"/>
      <c r="L414" s="56"/>
      <c r="M414" s="56"/>
      <c r="N414" s="56"/>
    </row>
    <row r="415" spans="2:14" s="1" customFormat="1" x14ac:dyDescent="0.3">
      <c r="B415" s="40">
        <v>3</v>
      </c>
      <c r="C415" s="23" t="s">
        <v>405</v>
      </c>
      <c r="D415" s="134">
        <v>96</v>
      </c>
      <c r="E415" s="83">
        <v>6.866952789699571</v>
      </c>
      <c r="G415" s="9"/>
      <c r="H415" s="56"/>
      <c r="I415" s="56"/>
      <c r="J415" s="56"/>
      <c r="K415" s="9"/>
      <c r="L415" s="56"/>
      <c r="M415" s="56"/>
      <c r="N415" s="56"/>
    </row>
    <row r="416" spans="2:14" s="1" customFormat="1" x14ac:dyDescent="0.3">
      <c r="B416" s="40">
        <v>4</v>
      </c>
      <c r="C416" s="23" t="s">
        <v>407</v>
      </c>
      <c r="D416" s="134">
        <v>69</v>
      </c>
      <c r="E416" s="83">
        <v>4.9356223175965663</v>
      </c>
      <c r="G416" s="9"/>
      <c r="H416" s="56"/>
      <c r="I416" s="56"/>
      <c r="J416" s="56"/>
      <c r="K416" s="9"/>
      <c r="L416" s="56"/>
      <c r="M416" s="56"/>
      <c r="N416" s="56"/>
    </row>
    <row r="417" spans="2:14" s="1" customFormat="1" x14ac:dyDescent="0.3">
      <c r="B417" s="40">
        <v>5</v>
      </c>
      <c r="C417" s="23" t="s">
        <v>312</v>
      </c>
      <c r="D417" s="134">
        <v>40</v>
      </c>
      <c r="E417" s="83">
        <v>2.8612303290414878</v>
      </c>
      <c r="G417" s="9"/>
      <c r="H417" s="56"/>
      <c r="I417" s="56"/>
      <c r="J417" s="56"/>
      <c r="K417" s="9"/>
      <c r="L417" s="56"/>
      <c r="M417" s="56"/>
      <c r="N417" s="56"/>
    </row>
    <row r="418" spans="2:14" s="1" customFormat="1" x14ac:dyDescent="0.3">
      <c r="B418" s="40">
        <v>6</v>
      </c>
      <c r="C418" s="23" t="s">
        <v>337</v>
      </c>
      <c r="D418" s="134">
        <v>33</v>
      </c>
      <c r="E418" s="83">
        <v>2.3605150214592276</v>
      </c>
      <c r="G418" s="9"/>
      <c r="H418" s="56"/>
      <c r="I418" s="56"/>
      <c r="J418" s="56"/>
      <c r="K418" s="9"/>
      <c r="L418" s="56"/>
      <c r="M418" s="56"/>
      <c r="N418" s="56"/>
    </row>
    <row r="419" spans="2:14" s="1" customFormat="1" x14ac:dyDescent="0.3">
      <c r="B419" s="40">
        <v>7</v>
      </c>
      <c r="C419" s="23" t="s">
        <v>410</v>
      </c>
      <c r="D419" s="134">
        <v>33</v>
      </c>
      <c r="E419" s="83">
        <v>2.3605150214592276</v>
      </c>
      <c r="G419" s="9"/>
      <c r="H419" s="56"/>
      <c r="I419" s="56"/>
      <c r="J419" s="56"/>
      <c r="K419" s="9"/>
      <c r="L419" s="56"/>
      <c r="M419" s="56"/>
      <c r="N419" s="56"/>
    </row>
    <row r="420" spans="2:14" s="1" customFormat="1" x14ac:dyDescent="0.3">
      <c r="B420" s="40">
        <v>8</v>
      </c>
      <c r="C420" s="23" t="s">
        <v>313</v>
      </c>
      <c r="D420" s="134">
        <v>32</v>
      </c>
      <c r="E420" s="83">
        <v>2.28898426323319</v>
      </c>
      <c r="G420" s="9"/>
      <c r="H420" s="56"/>
      <c r="I420" s="56"/>
      <c r="J420" s="56"/>
      <c r="K420" s="9"/>
      <c r="L420" s="56"/>
      <c r="M420" s="56"/>
      <c r="N420" s="56"/>
    </row>
    <row r="421" spans="2:14" s="1" customFormat="1" x14ac:dyDescent="0.3">
      <c r="B421" s="40">
        <v>9</v>
      </c>
      <c r="C421" s="23" t="s">
        <v>411</v>
      </c>
      <c r="D421" s="134">
        <v>21</v>
      </c>
      <c r="E421" s="83">
        <v>1.502145922746781</v>
      </c>
      <c r="G421" s="9"/>
      <c r="H421" s="56"/>
      <c r="I421" s="56"/>
      <c r="J421" s="56"/>
      <c r="K421" s="9"/>
      <c r="L421" s="56"/>
      <c r="M421" s="56"/>
      <c r="N421" s="56"/>
    </row>
    <row r="422" spans="2:14" s="1" customFormat="1" x14ac:dyDescent="0.3">
      <c r="B422" s="40">
        <v>10</v>
      </c>
      <c r="C422" s="23" t="s">
        <v>412</v>
      </c>
      <c r="D422" s="134">
        <v>17</v>
      </c>
      <c r="E422" s="83">
        <v>1.2160228898426324</v>
      </c>
      <c r="G422" s="9"/>
      <c r="H422" s="56"/>
      <c r="I422" s="56"/>
      <c r="J422" s="56"/>
      <c r="K422" s="9"/>
      <c r="L422" s="56"/>
      <c r="M422" s="56"/>
      <c r="N422" s="56"/>
    </row>
    <row r="423" spans="2:14" s="1" customFormat="1" x14ac:dyDescent="0.3">
      <c r="B423" s="40">
        <v>11</v>
      </c>
      <c r="C423" s="23" t="s">
        <v>413</v>
      </c>
      <c r="D423" s="134">
        <v>13</v>
      </c>
      <c r="E423" s="83">
        <v>0.92989985693848354</v>
      </c>
      <c r="G423" s="9"/>
      <c r="H423" s="56"/>
      <c r="I423" s="56"/>
      <c r="J423" s="56"/>
      <c r="K423" s="9"/>
      <c r="L423" s="56"/>
      <c r="M423" s="56"/>
      <c r="N423" s="56"/>
    </row>
    <row r="424" spans="2:14" s="1" customFormat="1" x14ac:dyDescent="0.3">
      <c r="B424" s="40">
        <v>12</v>
      </c>
      <c r="C424" s="23" t="s">
        <v>414</v>
      </c>
      <c r="D424" s="134">
        <v>13</v>
      </c>
      <c r="E424" s="83">
        <v>0.92989985693848354</v>
      </c>
      <c r="G424" s="9"/>
      <c r="H424" s="56"/>
      <c r="I424" s="56"/>
      <c r="J424" s="56"/>
      <c r="K424" s="9"/>
      <c r="L424" s="56"/>
      <c r="M424" s="56"/>
      <c r="N424" s="56"/>
    </row>
    <row r="425" spans="2:14" s="1" customFormat="1" x14ac:dyDescent="0.3">
      <c r="B425" s="40">
        <v>13</v>
      </c>
      <c r="C425" s="23" t="s">
        <v>338</v>
      </c>
      <c r="D425" s="134">
        <v>12</v>
      </c>
      <c r="E425" s="83">
        <v>0.85836909871244638</v>
      </c>
      <c r="G425" s="9"/>
      <c r="H425" s="56"/>
      <c r="I425" s="56"/>
      <c r="J425" s="56"/>
      <c r="K425" s="9"/>
      <c r="L425" s="56"/>
      <c r="M425" s="56"/>
      <c r="N425" s="56"/>
    </row>
    <row r="426" spans="2:14" s="1" customFormat="1" x14ac:dyDescent="0.3">
      <c r="B426" s="40">
        <v>14</v>
      </c>
      <c r="C426" s="23" t="s">
        <v>415</v>
      </c>
      <c r="D426" s="134">
        <v>11</v>
      </c>
      <c r="E426" s="83">
        <v>0.7868383404864091</v>
      </c>
      <c r="G426" s="9"/>
      <c r="H426" s="56"/>
      <c r="I426" s="56"/>
      <c r="J426" s="56"/>
      <c r="K426" s="9"/>
      <c r="L426" s="56"/>
      <c r="M426" s="56"/>
      <c r="N426" s="56"/>
    </row>
    <row r="427" spans="2:14" s="1" customFormat="1" x14ac:dyDescent="0.3">
      <c r="B427" s="40">
        <v>15</v>
      </c>
      <c r="C427" s="23" t="s">
        <v>416</v>
      </c>
      <c r="D427" s="134">
        <v>11</v>
      </c>
      <c r="E427" s="83">
        <v>0.7868383404864091</v>
      </c>
      <c r="G427" s="9"/>
      <c r="H427" s="56"/>
      <c r="I427" s="56"/>
      <c r="J427" s="56"/>
      <c r="K427" s="9"/>
      <c r="L427" s="56"/>
      <c r="M427" s="56"/>
      <c r="N427" s="56"/>
    </row>
    <row r="428" spans="2:14" s="1" customFormat="1" x14ac:dyDescent="0.3">
      <c r="B428" s="40">
        <v>16</v>
      </c>
      <c r="C428" s="23" t="s">
        <v>417</v>
      </c>
      <c r="D428" s="134">
        <v>11</v>
      </c>
      <c r="E428" s="83">
        <v>0.7868383404864091</v>
      </c>
      <c r="G428" s="9"/>
      <c r="H428" s="56"/>
      <c r="I428" s="56"/>
      <c r="J428" s="56"/>
      <c r="K428" s="9"/>
      <c r="L428" s="56"/>
      <c r="M428" s="56"/>
      <c r="N428" s="56"/>
    </row>
    <row r="429" spans="2:14" s="1" customFormat="1" x14ac:dyDescent="0.3">
      <c r="B429" s="40">
        <v>17</v>
      </c>
      <c r="C429" s="23" t="s">
        <v>343</v>
      </c>
      <c r="D429" s="134">
        <v>9</v>
      </c>
      <c r="E429" s="83">
        <v>0.64377682403433478</v>
      </c>
      <c r="G429" s="9"/>
      <c r="H429" s="56"/>
      <c r="I429" s="56"/>
      <c r="J429" s="56"/>
      <c r="K429" s="9"/>
      <c r="L429" s="56"/>
      <c r="M429" s="56"/>
      <c r="N429" s="56"/>
    </row>
    <row r="430" spans="2:14" s="1" customFormat="1" x14ac:dyDescent="0.3">
      <c r="B430" s="40">
        <v>18</v>
      </c>
      <c r="C430" s="23" t="s">
        <v>418</v>
      </c>
      <c r="D430" s="134">
        <v>9</v>
      </c>
      <c r="E430" s="83">
        <v>0.64377682403433478</v>
      </c>
      <c r="G430" s="9"/>
      <c r="H430" s="56"/>
      <c r="I430" s="56"/>
      <c r="J430" s="56"/>
      <c r="K430" s="9"/>
      <c r="L430" s="56"/>
      <c r="M430" s="56"/>
      <c r="N430" s="56"/>
    </row>
    <row r="431" spans="2:14" s="1" customFormat="1" x14ac:dyDescent="0.3">
      <c r="B431" s="40">
        <v>19</v>
      </c>
      <c r="C431" s="23" t="s">
        <v>419</v>
      </c>
      <c r="D431" s="134">
        <v>8</v>
      </c>
      <c r="E431" s="83">
        <v>0.57224606580829751</v>
      </c>
      <c r="G431" s="9"/>
      <c r="H431" s="56"/>
      <c r="I431" s="56"/>
      <c r="J431" s="56"/>
      <c r="K431" s="9"/>
      <c r="L431" s="56"/>
      <c r="M431" s="56"/>
      <c r="N431" s="56"/>
    </row>
    <row r="432" spans="2:14" s="1" customFormat="1" x14ac:dyDescent="0.3">
      <c r="B432" s="40">
        <v>20</v>
      </c>
      <c r="C432" s="23" t="s">
        <v>420</v>
      </c>
      <c r="D432" s="134">
        <v>8</v>
      </c>
      <c r="E432" s="83">
        <v>0.57224606580829751</v>
      </c>
      <c r="G432" s="9"/>
      <c r="H432" s="56"/>
      <c r="I432" s="56"/>
      <c r="J432" s="56"/>
      <c r="K432" s="9"/>
      <c r="L432" s="56"/>
      <c r="M432" s="56"/>
      <c r="N432" s="56"/>
    </row>
    <row r="433" spans="2:16" s="1" customFormat="1" x14ac:dyDescent="0.3">
      <c r="B433" s="40">
        <v>21</v>
      </c>
      <c r="C433" s="23" t="s">
        <v>362</v>
      </c>
      <c r="D433" s="134">
        <v>7</v>
      </c>
      <c r="E433" s="83">
        <v>0.50071530758226035</v>
      </c>
      <c r="G433" s="9"/>
      <c r="H433" s="56"/>
      <c r="I433" s="56"/>
      <c r="J433" s="56"/>
      <c r="K433" s="9"/>
      <c r="L433" s="56"/>
      <c r="M433" s="56"/>
      <c r="N433" s="56"/>
    </row>
    <row r="434" spans="2:16" s="1" customFormat="1" x14ac:dyDescent="0.3">
      <c r="B434" s="40">
        <v>22</v>
      </c>
      <c r="C434" s="23" t="s">
        <v>339</v>
      </c>
      <c r="D434" s="134">
        <v>7</v>
      </c>
      <c r="E434" s="83">
        <v>0.50071530758226035</v>
      </c>
      <c r="G434" s="9"/>
      <c r="H434" s="56"/>
      <c r="I434" s="56"/>
      <c r="J434" s="56"/>
      <c r="K434" s="9"/>
      <c r="L434" s="56"/>
      <c r="M434" s="56"/>
      <c r="N434" s="56"/>
    </row>
    <row r="435" spans="2:16" s="1" customFormat="1" x14ac:dyDescent="0.3">
      <c r="B435" s="40">
        <v>23</v>
      </c>
      <c r="C435" s="23" t="s">
        <v>351</v>
      </c>
      <c r="D435" s="134">
        <v>6</v>
      </c>
      <c r="E435" s="83">
        <v>0.42918454935622319</v>
      </c>
      <c r="G435" s="9"/>
      <c r="H435" s="56"/>
      <c r="I435" s="56"/>
      <c r="J435" s="56"/>
      <c r="K435" s="9"/>
      <c r="L435" s="56"/>
      <c r="M435" s="56"/>
      <c r="N435" s="56"/>
    </row>
    <row r="436" spans="2:16" s="1" customFormat="1" x14ac:dyDescent="0.3">
      <c r="B436" s="40">
        <v>24</v>
      </c>
      <c r="C436" s="23" t="s">
        <v>421</v>
      </c>
      <c r="D436" s="134">
        <v>6</v>
      </c>
      <c r="E436" s="83">
        <v>0.42918454935622319</v>
      </c>
      <c r="G436" s="9"/>
      <c r="H436" s="56"/>
      <c r="I436" s="56"/>
      <c r="J436" s="56"/>
      <c r="K436" s="9"/>
      <c r="L436" s="56"/>
      <c r="M436" s="56"/>
      <c r="N436" s="56"/>
    </row>
    <row r="437" spans="2:16" s="1" customFormat="1" x14ac:dyDescent="0.3">
      <c r="B437" s="40">
        <v>25</v>
      </c>
      <c r="C437" s="23" t="s">
        <v>357</v>
      </c>
      <c r="D437" s="134">
        <v>6</v>
      </c>
      <c r="E437" s="83">
        <v>0.42918454935622319</v>
      </c>
      <c r="G437" s="9"/>
      <c r="H437" s="56"/>
      <c r="I437" s="56"/>
      <c r="J437" s="56"/>
      <c r="K437" s="9"/>
      <c r="L437" s="56"/>
      <c r="M437" s="56"/>
      <c r="N437" s="56"/>
    </row>
    <row r="438" spans="2:16" s="1" customFormat="1" x14ac:dyDescent="0.3">
      <c r="B438" s="40">
        <v>26</v>
      </c>
      <c r="C438" s="23" t="s">
        <v>422</v>
      </c>
      <c r="D438" s="134">
        <v>6</v>
      </c>
      <c r="E438" s="83">
        <v>0.42918454935622319</v>
      </c>
      <c r="G438" s="9"/>
      <c r="H438" s="56"/>
      <c r="I438" s="56"/>
      <c r="J438" s="56"/>
      <c r="K438" s="9"/>
      <c r="L438" s="56"/>
      <c r="M438" s="56"/>
      <c r="N438" s="56"/>
    </row>
    <row r="439" spans="2:16" s="1" customFormat="1" x14ac:dyDescent="0.3">
      <c r="B439" s="40">
        <v>27</v>
      </c>
      <c r="C439" s="23" t="s">
        <v>305</v>
      </c>
      <c r="D439" s="134">
        <v>6</v>
      </c>
      <c r="E439" s="83">
        <v>0.42918454935622319</v>
      </c>
      <c r="G439" s="9"/>
      <c r="H439" s="56"/>
      <c r="I439" s="56"/>
      <c r="J439" s="56"/>
      <c r="K439" s="9"/>
      <c r="L439" s="56"/>
      <c r="M439" s="56"/>
      <c r="N439" s="56"/>
    </row>
    <row r="440" spans="2:16" s="1" customFormat="1" x14ac:dyDescent="0.3">
      <c r="B440" s="40">
        <v>28</v>
      </c>
      <c r="C440" s="23" t="s">
        <v>318</v>
      </c>
      <c r="D440" s="134">
        <v>5</v>
      </c>
      <c r="E440" s="83">
        <v>0.35765379113018597</v>
      </c>
      <c r="G440" s="9"/>
      <c r="H440" s="56"/>
      <c r="I440" s="56"/>
      <c r="J440" s="56"/>
      <c r="K440" s="9"/>
      <c r="L440" s="56"/>
      <c r="M440" s="56"/>
      <c r="N440" s="56"/>
    </row>
    <row r="441" spans="2:16" s="1" customFormat="1" x14ac:dyDescent="0.3">
      <c r="B441" s="40">
        <v>29</v>
      </c>
      <c r="C441" s="23" t="s">
        <v>360</v>
      </c>
      <c r="D441" s="134">
        <v>5</v>
      </c>
      <c r="E441" s="83">
        <v>0.35765379113018597</v>
      </c>
      <c r="G441" s="9"/>
      <c r="H441" s="56"/>
      <c r="I441" s="56"/>
      <c r="J441" s="56"/>
      <c r="K441" s="9"/>
      <c r="L441" s="56"/>
      <c r="M441" s="56"/>
      <c r="N441" s="56"/>
    </row>
    <row r="442" spans="2:16" s="1" customFormat="1" x14ac:dyDescent="0.3">
      <c r="B442" s="41">
        <v>30</v>
      </c>
      <c r="C442" s="26" t="s">
        <v>367</v>
      </c>
      <c r="D442" s="135">
        <v>5</v>
      </c>
      <c r="E442" s="85">
        <v>0.35765379113018597</v>
      </c>
      <c r="G442" s="9"/>
      <c r="H442" s="56"/>
      <c r="I442" s="56"/>
      <c r="J442" s="56"/>
      <c r="K442" s="9"/>
      <c r="L442" s="56"/>
      <c r="M442" s="56"/>
      <c r="N442" s="56"/>
    </row>
    <row r="443" spans="2:16" s="1" customFormat="1" x14ac:dyDescent="0.3">
      <c r="B443" s="40"/>
      <c r="C443" s="9"/>
      <c r="D443" s="134"/>
      <c r="E443" s="83"/>
      <c r="G443" s="9"/>
      <c r="H443" s="56"/>
      <c r="I443" s="56"/>
      <c r="J443" s="56"/>
      <c r="K443" s="9"/>
      <c r="L443" s="56"/>
      <c r="M443" s="56"/>
      <c r="N443" s="56"/>
    </row>
    <row r="444" spans="2:16" s="1" customFormat="1" x14ac:dyDescent="0.3">
      <c r="B444" s="40"/>
      <c r="C444" s="9"/>
      <c r="D444" s="56"/>
      <c r="E444" s="56"/>
      <c r="F444" s="56"/>
      <c r="G444" s="56"/>
      <c r="H444" s="56"/>
      <c r="I444" s="56"/>
      <c r="J444" s="56"/>
      <c r="K444" s="9"/>
      <c r="L444" s="56"/>
      <c r="M444" s="56"/>
      <c r="N444" s="56"/>
    </row>
    <row r="445" spans="2:16" ht="17.25" x14ac:dyDescent="0.3">
      <c r="B445" s="33" t="s">
        <v>113</v>
      </c>
    </row>
    <row r="447" spans="2:16" x14ac:dyDescent="0.3">
      <c r="B447" s="17" t="s">
        <v>143</v>
      </c>
    </row>
    <row r="448" spans="2:16" x14ac:dyDescent="0.3">
      <c r="E448" s="30" t="s">
        <v>52</v>
      </c>
      <c r="P448" s="30"/>
    </row>
    <row r="449" spans="2:11" x14ac:dyDescent="0.3">
      <c r="B449" s="232"/>
      <c r="C449" s="232"/>
      <c r="D449" s="202" t="s">
        <v>144</v>
      </c>
      <c r="E449" s="202" t="s">
        <v>145</v>
      </c>
      <c r="F449" s="63"/>
      <c r="G449" s="63"/>
      <c r="H449" s="63"/>
      <c r="I449" s="63"/>
      <c r="J449" s="63"/>
      <c r="K449" s="63"/>
    </row>
    <row r="450" spans="2:11" x14ac:dyDescent="0.3">
      <c r="B450" s="292" t="s">
        <v>20</v>
      </c>
      <c r="C450" s="292"/>
      <c r="D450" s="86">
        <v>19.179494667175398</v>
      </c>
      <c r="E450" s="86">
        <v>80.820505332824666</v>
      </c>
      <c r="F450" s="46"/>
      <c r="G450" s="46"/>
      <c r="H450" s="46"/>
      <c r="I450" s="46"/>
      <c r="J450" s="46"/>
      <c r="K450" s="46"/>
    </row>
    <row r="451" spans="2:11" x14ac:dyDescent="0.3">
      <c r="B451" s="296" t="s">
        <v>5</v>
      </c>
      <c r="C451" s="13" t="s">
        <v>0</v>
      </c>
      <c r="D451" s="84">
        <v>18.876585970708366</v>
      </c>
      <c r="E451" s="84">
        <v>81.123414029291652</v>
      </c>
      <c r="F451" s="46"/>
      <c r="G451" s="46"/>
      <c r="H451" s="46"/>
      <c r="I451" s="46"/>
      <c r="J451" s="46"/>
      <c r="K451" s="46"/>
    </row>
    <row r="452" spans="2:11" x14ac:dyDescent="0.3">
      <c r="B452" s="295"/>
      <c r="C452" s="12" t="s">
        <v>1</v>
      </c>
      <c r="D452" s="90">
        <v>19.493353631286531</v>
      </c>
      <c r="E452" s="90">
        <v>80.506646368713064</v>
      </c>
      <c r="F452" s="46"/>
      <c r="G452" s="46"/>
      <c r="H452" s="46"/>
      <c r="I452" s="46"/>
      <c r="J452" s="46"/>
      <c r="K452" s="46"/>
    </row>
    <row r="453" spans="2:11" x14ac:dyDescent="0.3">
      <c r="B453" s="296" t="s">
        <v>4</v>
      </c>
      <c r="C453" s="9" t="s">
        <v>175</v>
      </c>
      <c r="D453" s="86">
        <v>26.913041931437785</v>
      </c>
      <c r="E453" s="86">
        <v>73.086958068562254</v>
      </c>
      <c r="F453" s="46"/>
      <c r="G453" s="46"/>
      <c r="H453" s="46"/>
      <c r="I453" s="46"/>
      <c r="J453" s="46"/>
      <c r="K453" s="46"/>
    </row>
    <row r="454" spans="2:11" x14ac:dyDescent="0.3">
      <c r="B454" s="292"/>
      <c r="C454" s="9" t="s">
        <v>176</v>
      </c>
      <c r="D454" s="86">
        <v>24.072174347889923</v>
      </c>
      <c r="E454" s="86">
        <v>75.927825652109973</v>
      </c>
      <c r="F454" s="46"/>
      <c r="G454" s="46"/>
      <c r="H454" s="46"/>
      <c r="I454" s="46"/>
      <c r="J454" s="46"/>
      <c r="K454" s="46"/>
    </row>
    <row r="455" spans="2:11" x14ac:dyDescent="0.3">
      <c r="B455" s="292"/>
      <c r="C455" s="9" t="s">
        <v>177</v>
      </c>
      <c r="D455" s="86">
        <v>21.975836163491177</v>
      </c>
      <c r="E455" s="86">
        <v>78.024163836508791</v>
      </c>
      <c r="F455" s="46"/>
      <c r="G455" s="46"/>
      <c r="H455" s="46"/>
      <c r="I455" s="46"/>
      <c r="J455" s="46"/>
      <c r="K455" s="46"/>
    </row>
    <row r="456" spans="2:11" x14ac:dyDescent="0.3">
      <c r="B456" s="292"/>
      <c r="C456" s="9" t="s">
        <v>178</v>
      </c>
      <c r="D456" s="86">
        <v>20.791950837321394</v>
      </c>
      <c r="E456" s="86">
        <v>79.208049162678876</v>
      </c>
      <c r="F456" s="46"/>
      <c r="G456" s="46"/>
      <c r="H456" s="46"/>
      <c r="I456" s="46"/>
      <c r="J456" s="46"/>
      <c r="K456" s="46"/>
    </row>
    <row r="457" spans="2:11" x14ac:dyDescent="0.3">
      <c r="B457" s="292"/>
      <c r="C457" s="9" t="s">
        <v>179</v>
      </c>
      <c r="D457" s="86">
        <v>16.238957860007151</v>
      </c>
      <c r="E457" s="86">
        <v>83.761042139992782</v>
      </c>
      <c r="F457" s="46"/>
      <c r="G457" s="46"/>
      <c r="H457" s="46"/>
      <c r="I457" s="46"/>
      <c r="J457" s="46"/>
      <c r="K457" s="46"/>
    </row>
    <row r="458" spans="2:11" x14ac:dyDescent="0.3">
      <c r="B458" s="298"/>
      <c r="C458" s="12" t="s">
        <v>180</v>
      </c>
      <c r="D458" s="90">
        <v>12.797234123783552</v>
      </c>
      <c r="E458" s="90">
        <v>87.202765876216262</v>
      </c>
      <c r="F458" s="46"/>
      <c r="G458" s="46"/>
      <c r="H458" s="46"/>
      <c r="I458" s="46"/>
      <c r="J458" s="46"/>
      <c r="K458" s="46"/>
    </row>
    <row r="459" spans="2:11" x14ac:dyDescent="0.3">
      <c r="B459" s="292" t="s">
        <v>223</v>
      </c>
      <c r="C459" s="9" t="s">
        <v>210</v>
      </c>
      <c r="D459" s="86">
        <v>26.270297562347643</v>
      </c>
      <c r="E459" s="86">
        <v>73.729702437652364</v>
      </c>
      <c r="F459" s="46"/>
      <c r="G459" s="46"/>
      <c r="H459" s="46"/>
      <c r="I459" s="46"/>
      <c r="J459" s="46"/>
      <c r="K459" s="46"/>
    </row>
    <row r="460" spans="2:11" x14ac:dyDescent="0.3">
      <c r="B460" s="292"/>
      <c r="C460" s="9" t="s">
        <v>211</v>
      </c>
      <c r="D460" s="86">
        <v>20.60383619772854</v>
      </c>
      <c r="E460" s="86">
        <v>79.396163802271445</v>
      </c>
      <c r="F460" s="46"/>
      <c r="G460" s="46"/>
      <c r="H460" s="46"/>
      <c r="I460" s="46"/>
      <c r="J460" s="46"/>
      <c r="K460" s="46"/>
    </row>
    <row r="461" spans="2:11" x14ac:dyDescent="0.3">
      <c r="B461" s="292"/>
      <c r="C461" s="9" t="s">
        <v>212</v>
      </c>
      <c r="D461" s="86">
        <v>25.288146827697606</v>
      </c>
      <c r="E461" s="86">
        <v>74.711853172302455</v>
      </c>
      <c r="F461" s="46"/>
      <c r="G461" s="46"/>
      <c r="H461" s="46"/>
      <c r="I461" s="46"/>
      <c r="J461" s="46"/>
      <c r="K461" s="46"/>
    </row>
    <row r="462" spans="2:11" x14ac:dyDescent="0.3">
      <c r="B462" s="292"/>
      <c r="C462" s="9" t="s">
        <v>213</v>
      </c>
      <c r="D462" s="86">
        <v>24.196699840330123</v>
      </c>
      <c r="E462" s="86">
        <v>75.80330015966986</v>
      </c>
      <c r="F462" s="46"/>
      <c r="G462" s="46"/>
      <c r="H462" s="46"/>
      <c r="I462" s="46"/>
      <c r="J462" s="46"/>
      <c r="K462" s="46"/>
    </row>
    <row r="463" spans="2:11" x14ac:dyDescent="0.3">
      <c r="B463" s="292"/>
      <c r="C463" s="9" t="s">
        <v>214</v>
      </c>
      <c r="D463" s="86">
        <v>13.897087361716645</v>
      </c>
      <c r="E463" s="86">
        <v>86.102912638283343</v>
      </c>
      <c r="F463" s="46"/>
      <c r="G463" s="46"/>
      <c r="H463" s="46"/>
      <c r="I463" s="46"/>
      <c r="J463" s="46"/>
      <c r="K463" s="46"/>
    </row>
    <row r="464" spans="2:11" x14ac:dyDescent="0.3">
      <c r="B464" s="292"/>
      <c r="C464" s="12" t="s">
        <v>215</v>
      </c>
      <c r="D464" s="90">
        <v>10.016385138122285</v>
      </c>
      <c r="E464" s="90">
        <v>89.98361486187774</v>
      </c>
      <c r="F464" s="46"/>
      <c r="G464" s="46"/>
      <c r="H464" s="46"/>
      <c r="I464" s="46"/>
      <c r="J464" s="46"/>
      <c r="K464" s="46"/>
    </row>
    <row r="465" spans="2:11" x14ac:dyDescent="0.3">
      <c r="B465" s="292"/>
      <c r="C465" s="9" t="s">
        <v>216</v>
      </c>
      <c r="D465" s="86">
        <v>27.596434958039385</v>
      </c>
      <c r="E465" s="86">
        <v>72.403565041960604</v>
      </c>
      <c r="F465" s="46"/>
      <c r="G465" s="46"/>
      <c r="H465" s="46"/>
      <c r="I465" s="46"/>
      <c r="J465" s="46"/>
      <c r="K465" s="46"/>
    </row>
    <row r="466" spans="2:11" x14ac:dyDescent="0.3">
      <c r="B466" s="292"/>
      <c r="C466" s="9" t="s">
        <v>217</v>
      </c>
      <c r="D466" s="86">
        <v>27.852115898119724</v>
      </c>
      <c r="E466" s="86">
        <v>72.147884101880351</v>
      </c>
      <c r="F466" s="46"/>
      <c r="G466" s="46"/>
      <c r="H466" s="46"/>
      <c r="I466" s="46"/>
      <c r="J466" s="46"/>
      <c r="K466" s="46"/>
    </row>
    <row r="467" spans="2:11" x14ac:dyDescent="0.3">
      <c r="B467" s="292"/>
      <c r="C467" s="9" t="s">
        <v>218</v>
      </c>
      <c r="D467" s="86">
        <v>18.371024706929283</v>
      </c>
      <c r="E467" s="86">
        <v>81.628975293070596</v>
      </c>
      <c r="F467" s="46"/>
      <c r="G467" s="46"/>
      <c r="H467" s="46"/>
      <c r="I467" s="46"/>
      <c r="J467" s="46"/>
      <c r="K467" s="46"/>
    </row>
    <row r="468" spans="2:11" x14ac:dyDescent="0.3">
      <c r="B468" s="292"/>
      <c r="C468" s="9" t="s">
        <v>219</v>
      </c>
      <c r="D468" s="86">
        <v>17.270450786638555</v>
      </c>
      <c r="E468" s="86">
        <v>82.729549213361366</v>
      </c>
      <c r="F468" s="46"/>
      <c r="G468" s="46"/>
      <c r="H468" s="46"/>
      <c r="I468" s="46"/>
      <c r="J468" s="46"/>
      <c r="K468" s="46"/>
    </row>
    <row r="469" spans="2:11" x14ac:dyDescent="0.3">
      <c r="B469" s="292"/>
      <c r="C469" s="9" t="s">
        <v>220</v>
      </c>
      <c r="D469" s="86">
        <v>18.623048836885594</v>
      </c>
      <c r="E469" s="86">
        <v>81.376951163114441</v>
      </c>
      <c r="F469" s="46"/>
      <c r="G469" s="46"/>
      <c r="H469" s="46"/>
      <c r="I469" s="46"/>
      <c r="J469" s="46"/>
      <c r="K469" s="46"/>
    </row>
    <row r="470" spans="2:11" x14ac:dyDescent="0.3">
      <c r="B470" s="295"/>
      <c r="C470" s="9" t="s">
        <v>221</v>
      </c>
      <c r="D470" s="86">
        <v>15.494825354256356</v>
      </c>
      <c r="E470" s="86">
        <v>84.505174645743679</v>
      </c>
      <c r="F470" s="46"/>
      <c r="G470" s="46"/>
      <c r="H470" s="46"/>
      <c r="I470" s="46"/>
      <c r="J470" s="46"/>
      <c r="K470" s="46"/>
    </row>
    <row r="471" spans="2:11" ht="16.5" customHeight="1" x14ac:dyDescent="0.3">
      <c r="B471" s="291" t="s">
        <v>222</v>
      </c>
      <c r="C471" s="13" t="s">
        <v>226</v>
      </c>
      <c r="D471" s="84">
        <v>21.789676723737919</v>
      </c>
      <c r="E471" s="84">
        <v>78.210323276261889</v>
      </c>
      <c r="F471" s="46"/>
      <c r="G471" s="46"/>
      <c r="H471" s="46"/>
      <c r="I471" s="46"/>
      <c r="J471" s="46"/>
      <c r="K471" s="46"/>
    </row>
    <row r="472" spans="2:11" x14ac:dyDescent="0.3">
      <c r="B472" s="294"/>
      <c r="C472" s="9" t="s">
        <v>227</v>
      </c>
      <c r="D472" s="86">
        <v>17.578205215479016</v>
      </c>
      <c r="E472" s="86">
        <v>82.42179478452087</v>
      </c>
      <c r="F472" s="46"/>
      <c r="G472" s="46"/>
      <c r="H472" s="46"/>
      <c r="I472" s="46"/>
      <c r="J472" s="46"/>
      <c r="K472" s="46"/>
    </row>
    <row r="473" spans="2:11" x14ac:dyDescent="0.3">
      <c r="B473" s="292"/>
      <c r="C473" s="9" t="s">
        <v>228</v>
      </c>
      <c r="D473" s="86">
        <v>19.996355716566178</v>
      </c>
      <c r="E473" s="86">
        <v>80.003644283433871</v>
      </c>
      <c r="F473" s="46"/>
      <c r="G473" s="46"/>
      <c r="H473" s="46"/>
      <c r="I473" s="46"/>
      <c r="J473" s="46"/>
      <c r="K473" s="46"/>
    </row>
    <row r="474" spans="2:11" x14ac:dyDescent="0.3">
      <c r="B474" s="295"/>
      <c r="C474" s="12" t="s">
        <v>229</v>
      </c>
      <c r="D474" s="90">
        <v>17.364632849784599</v>
      </c>
      <c r="E474" s="90">
        <v>82.635367150215473</v>
      </c>
      <c r="F474" s="46"/>
      <c r="G474" s="46"/>
      <c r="H474" s="46"/>
      <c r="I474" s="46"/>
      <c r="J474" s="46"/>
      <c r="K474" s="46"/>
    </row>
    <row r="475" spans="2:11" x14ac:dyDescent="0.3">
      <c r="B475" s="296" t="s">
        <v>199</v>
      </c>
      <c r="C475" s="13" t="s">
        <v>192</v>
      </c>
      <c r="D475" s="84">
        <v>19.734090592032427</v>
      </c>
      <c r="E475" s="84">
        <v>80.265909407967158</v>
      </c>
      <c r="F475" s="46"/>
      <c r="G475" s="46"/>
      <c r="H475" s="46"/>
      <c r="I475" s="46"/>
      <c r="J475" s="46"/>
      <c r="K475" s="46"/>
    </row>
    <row r="476" spans="2:11" ht="16.5" customHeight="1" x14ac:dyDescent="0.3">
      <c r="B476" s="292"/>
      <c r="C476" s="9" t="s">
        <v>200</v>
      </c>
      <c r="D476" s="86">
        <v>17.833583273843804</v>
      </c>
      <c r="E476" s="86">
        <v>82.166416726156228</v>
      </c>
      <c r="F476" s="46"/>
      <c r="G476" s="46"/>
      <c r="H476" s="46"/>
      <c r="I476" s="46"/>
      <c r="J476" s="46"/>
      <c r="K476" s="46"/>
    </row>
    <row r="477" spans="2:11" x14ac:dyDescent="0.3">
      <c r="B477" s="292"/>
      <c r="C477" s="9" t="s">
        <v>201</v>
      </c>
      <c r="D477" s="86">
        <v>20.746167713861499</v>
      </c>
      <c r="E477" s="86">
        <v>79.25383228613849</v>
      </c>
      <c r="F477" s="46"/>
      <c r="G477" s="46"/>
      <c r="H477" s="46"/>
      <c r="I477" s="46"/>
      <c r="J477" s="46"/>
      <c r="K477" s="46"/>
    </row>
    <row r="478" spans="2:11" x14ac:dyDescent="0.3">
      <c r="B478" s="292"/>
      <c r="C478" s="9" t="s">
        <v>202</v>
      </c>
      <c r="D478" s="86">
        <v>16.393808893805932</v>
      </c>
      <c r="E478" s="86">
        <v>83.606191106194032</v>
      </c>
      <c r="F478" s="46"/>
      <c r="G478" s="46"/>
      <c r="H478" s="46"/>
      <c r="I478" s="46"/>
      <c r="J478" s="46"/>
      <c r="K478" s="46"/>
    </row>
    <row r="479" spans="2:11" x14ac:dyDescent="0.3">
      <c r="B479" s="295"/>
      <c r="C479" s="12" t="s">
        <v>203</v>
      </c>
      <c r="D479" s="90">
        <v>18.589609645840373</v>
      </c>
      <c r="E479" s="90">
        <v>81.410390354159574</v>
      </c>
      <c r="F479" s="46"/>
      <c r="G479" s="46"/>
      <c r="H479" s="46"/>
      <c r="I479" s="46"/>
      <c r="J479" s="46"/>
      <c r="K479" s="46"/>
    </row>
    <row r="480" spans="2:11" x14ac:dyDescent="0.3">
      <c r="B480" s="291" t="s">
        <v>204</v>
      </c>
      <c r="C480" s="13" t="s">
        <v>192</v>
      </c>
      <c r="D480" s="84">
        <v>19.734090592032427</v>
      </c>
      <c r="E480" s="84">
        <v>80.265909407967158</v>
      </c>
      <c r="F480" s="46"/>
      <c r="G480" s="46"/>
      <c r="H480" s="46"/>
      <c r="I480" s="46"/>
      <c r="J480" s="46"/>
      <c r="K480" s="46"/>
    </row>
    <row r="481" spans="2:11" x14ac:dyDescent="0.3">
      <c r="B481" s="295"/>
      <c r="C481" s="12" t="s">
        <v>193</v>
      </c>
      <c r="D481" s="90">
        <v>18.580105329568077</v>
      </c>
      <c r="E481" s="90">
        <v>81.419894670432029</v>
      </c>
      <c r="F481" s="46"/>
      <c r="G481" s="46"/>
      <c r="H481" s="46"/>
      <c r="I481" s="46"/>
      <c r="J481" s="46"/>
      <c r="K481" s="46"/>
    </row>
    <row r="482" spans="2:11" x14ac:dyDescent="0.3">
      <c r="B482" s="291" t="s">
        <v>209</v>
      </c>
      <c r="C482" s="13" t="s">
        <v>205</v>
      </c>
      <c r="D482" s="84">
        <v>20.877189871294995</v>
      </c>
      <c r="E482" s="84">
        <v>79.122810128704984</v>
      </c>
      <c r="F482" s="46"/>
      <c r="G482" s="46"/>
      <c r="H482" s="46"/>
      <c r="I482" s="46"/>
      <c r="J482" s="46"/>
      <c r="K482" s="46"/>
    </row>
    <row r="483" spans="2:11" x14ac:dyDescent="0.3">
      <c r="B483" s="292"/>
      <c r="C483" s="9" t="s">
        <v>206</v>
      </c>
      <c r="D483" s="86">
        <v>14.042802743520117</v>
      </c>
      <c r="E483" s="86">
        <v>85.957197256479873</v>
      </c>
    </row>
    <row r="484" spans="2:11" x14ac:dyDescent="0.3">
      <c r="B484" s="292"/>
      <c r="C484" s="9" t="s">
        <v>207</v>
      </c>
      <c r="D484" s="86">
        <v>20.012681856221178</v>
      </c>
      <c r="E484" s="86">
        <v>79.987318143778623</v>
      </c>
    </row>
    <row r="485" spans="2:11" x14ac:dyDescent="0.3">
      <c r="B485" s="293"/>
      <c r="C485" s="25" t="s">
        <v>208</v>
      </c>
      <c r="D485" s="87">
        <v>21.108078246839863</v>
      </c>
      <c r="E485" s="87">
        <v>78.891921753160034</v>
      </c>
    </row>
    <row r="488" spans="2:11" x14ac:dyDescent="0.3">
      <c r="B488" s="17" t="s">
        <v>146</v>
      </c>
    </row>
    <row r="489" spans="2:11" x14ac:dyDescent="0.3">
      <c r="I489" s="30" t="s">
        <v>157</v>
      </c>
      <c r="J489" s="30"/>
      <c r="K489" s="30"/>
    </row>
    <row r="490" spans="2:11" ht="27" x14ac:dyDescent="0.3">
      <c r="B490" s="287"/>
      <c r="C490" s="287"/>
      <c r="D490" s="202" t="s">
        <v>149</v>
      </c>
      <c r="E490" s="202" t="s">
        <v>147</v>
      </c>
      <c r="F490" s="202" t="s">
        <v>424</v>
      </c>
      <c r="G490" s="202" t="s">
        <v>124</v>
      </c>
      <c r="H490" s="202" t="s">
        <v>150</v>
      </c>
      <c r="I490" s="202" t="s">
        <v>38</v>
      </c>
      <c r="J490" s="63"/>
      <c r="K490" s="63"/>
    </row>
    <row r="491" spans="2:11" x14ac:dyDescent="0.3">
      <c r="B491" s="292" t="s">
        <v>20</v>
      </c>
      <c r="C491" s="292"/>
      <c r="D491" s="88">
        <v>60.476371005606175</v>
      </c>
      <c r="E491" s="86">
        <v>35.139945059800823</v>
      </c>
      <c r="F491" s="88">
        <v>16.482202666711057</v>
      </c>
      <c r="G491" s="86">
        <v>12.745249811494133</v>
      </c>
      <c r="H491" s="86">
        <v>5.6054146023924964</v>
      </c>
      <c r="I491" s="86">
        <v>1.5823610767052612</v>
      </c>
      <c r="J491" s="46"/>
      <c r="K491" s="46"/>
    </row>
    <row r="492" spans="2:11" x14ac:dyDescent="0.3">
      <c r="B492" s="296" t="s">
        <v>5</v>
      </c>
      <c r="C492" s="13" t="s">
        <v>0</v>
      </c>
      <c r="D492" s="89">
        <v>62.308270072637903</v>
      </c>
      <c r="E492" s="84">
        <v>32.100798496223149</v>
      </c>
      <c r="F492" s="89">
        <v>19.414720778096211</v>
      </c>
      <c r="G492" s="84">
        <v>17.263676753327168</v>
      </c>
      <c r="H492" s="84">
        <v>5.2787436853748622</v>
      </c>
      <c r="I492" s="84">
        <v>0.44671282117468508</v>
      </c>
      <c r="J492" s="46"/>
      <c r="K492" s="46"/>
    </row>
    <row r="493" spans="2:11" x14ac:dyDescent="0.3">
      <c r="B493" s="295"/>
      <c r="C493" s="12" t="s">
        <v>1</v>
      </c>
      <c r="D493" s="91">
        <v>58.638304482226509</v>
      </c>
      <c r="E493" s="90">
        <v>38.189323521031845</v>
      </c>
      <c r="F493" s="91">
        <v>13.539811643784885</v>
      </c>
      <c r="G493" s="90">
        <v>8.2116106773380313</v>
      </c>
      <c r="H493" s="90">
        <v>5.9331853227000639</v>
      </c>
      <c r="I493" s="90">
        <v>2.7218327203080177</v>
      </c>
      <c r="J493" s="46"/>
      <c r="K493" s="46"/>
    </row>
    <row r="494" spans="2:11" x14ac:dyDescent="0.3">
      <c r="B494" s="296" t="s">
        <v>4</v>
      </c>
      <c r="C494" s="9" t="s">
        <v>175</v>
      </c>
      <c r="D494" s="88">
        <v>52.107953027422774</v>
      </c>
      <c r="E494" s="86">
        <v>36.805024595755036</v>
      </c>
      <c r="F494" s="88">
        <v>26.115931310787587</v>
      </c>
      <c r="G494" s="86">
        <v>7.2114030187522884</v>
      </c>
      <c r="H494" s="86">
        <v>7.5750662976666803</v>
      </c>
      <c r="I494" s="86">
        <v>0</v>
      </c>
      <c r="J494" s="46"/>
      <c r="K494" s="46"/>
    </row>
    <row r="495" spans="2:11" x14ac:dyDescent="0.3">
      <c r="B495" s="292"/>
      <c r="C495" s="9" t="s">
        <v>176</v>
      </c>
      <c r="D495" s="88">
        <v>58.445608048678068</v>
      </c>
      <c r="E495" s="86">
        <v>34.335755643949014</v>
      </c>
      <c r="F495" s="88">
        <v>22.286430131809151</v>
      </c>
      <c r="G495" s="86">
        <v>19.049763165241547</v>
      </c>
      <c r="H495" s="86">
        <v>4.4045266805431202</v>
      </c>
      <c r="I495" s="86">
        <v>0.75169538885390419</v>
      </c>
      <c r="J495" s="46"/>
      <c r="K495" s="46"/>
    </row>
    <row r="496" spans="2:11" x14ac:dyDescent="0.3">
      <c r="B496" s="292"/>
      <c r="C496" s="9" t="s">
        <v>177</v>
      </c>
      <c r="D496" s="88">
        <v>68.089211933796662</v>
      </c>
      <c r="E496" s="86">
        <v>30.653122251033686</v>
      </c>
      <c r="F496" s="88">
        <v>19.413686057592365</v>
      </c>
      <c r="G496" s="86">
        <v>11.675203111387873</v>
      </c>
      <c r="H496" s="86">
        <v>3.0016993351665637</v>
      </c>
      <c r="I496" s="86">
        <v>3.8023647901156159</v>
      </c>
      <c r="J496" s="46"/>
      <c r="K496" s="46"/>
    </row>
    <row r="497" spans="2:11" x14ac:dyDescent="0.3">
      <c r="B497" s="292"/>
      <c r="C497" s="9" t="s">
        <v>178</v>
      </c>
      <c r="D497" s="88">
        <v>57.032286628336912</v>
      </c>
      <c r="E497" s="86">
        <v>37.858855142824716</v>
      </c>
      <c r="F497" s="88">
        <v>17.199749334589498</v>
      </c>
      <c r="G497" s="86">
        <v>13.227011227118805</v>
      </c>
      <c r="H497" s="86">
        <v>5.3910561308540448</v>
      </c>
      <c r="I497" s="86">
        <v>1.3494981871588527</v>
      </c>
      <c r="J497" s="46"/>
      <c r="K497" s="46"/>
    </row>
    <row r="498" spans="2:11" x14ac:dyDescent="0.3">
      <c r="B498" s="292"/>
      <c r="C498" s="9" t="s">
        <v>179</v>
      </c>
      <c r="D498" s="88">
        <v>66.519426796206844</v>
      </c>
      <c r="E498" s="86">
        <v>36.442235535776817</v>
      </c>
      <c r="F498" s="88">
        <v>7.8898623534265466</v>
      </c>
      <c r="G498" s="86">
        <v>8.6569037129004194</v>
      </c>
      <c r="H498" s="86">
        <v>6.4537700511829321</v>
      </c>
      <c r="I498" s="86">
        <v>0.58492067515514767</v>
      </c>
      <c r="J498" s="46"/>
      <c r="K498" s="46"/>
    </row>
    <row r="499" spans="2:11" x14ac:dyDescent="0.3">
      <c r="B499" s="298"/>
      <c r="C499" s="12" t="s">
        <v>180</v>
      </c>
      <c r="D499" s="91">
        <v>53.524930871312606</v>
      </c>
      <c r="E499" s="90">
        <v>35.733484486359472</v>
      </c>
      <c r="F499" s="91">
        <v>9.9111005439461373</v>
      </c>
      <c r="G499" s="90">
        <v>12.843638097821298</v>
      </c>
      <c r="H499" s="90">
        <v>9.3397531015838737</v>
      </c>
      <c r="I499" s="90">
        <v>2.1644315289298643</v>
      </c>
      <c r="J499" s="46"/>
      <c r="K499" s="46"/>
    </row>
    <row r="500" spans="2:11" x14ac:dyDescent="0.3">
      <c r="B500" s="292" t="s">
        <v>223</v>
      </c>
      <c r="C500" s="9" t="s">
        <v>210</v>
      </c>
      <c r="D500" s="88">
        <v>40.499717163673878</v>
      </c>
      <c r="E500" s="86">
        <v>46.724517418363</v>
      </c>
      <c r="F500" s="88">
        <v>38.778080859575049</v>
      </c>
      <c r="G500" s="86">
        <v>14.336249226879479</v>
      </c>
      <c r="H500" s="86">
        <v>5.7940064601424872</v>
      </c>
      <c r="I500" s="86">
        <v>0</v>
      </c>
      <c r="J500" s="46"/>
      <c r="K500" s="46"/>
    </row>
    <row r="501" spans="2:11" x14ac:dyDescent="0.3">
      <c r="B501" s="292"/>
      <c r="C501" s="9" t="s">
        <v>211</v>
      </c>
      <c r="D501" s="88">
        <v>62.471973630394004</v>
      </c>
      <c r="E501" s="86">
        <v>36.951723560743439</v>
      </c>
      <c r="F501" s="88">
        <v>26.012875509527461</v>
      </c>
      <c r="G501" s="86">
        <v>28.778132227205106</v>
      </c>
      <c r="H501" s="86">
        <v>2.0575830519972369</v>
      </c>
      <c r="I501" s="86">
        <v>0</v>
      </c>
      <c r="J501" s="46"/>
      <c r="K501" s="46"/>
    </row>
    <row r="502" spans="2:11" x14ac:dyDescent="0.3">
      <c r="B502" s="292"/>
      <c r="C502" s="9" t="s">
        <v>212</v>
      </c>
      <c r="D502" s="88">
        <v>68.917891347204886</v>
      </c>
      <c r="E502" s="86">
        <v>28.471047347693297</v>
      </c>
      <c r="F502" s="88">
        <v>24.337395566526663</v>
      </c>
      <c r="G502" s="86">
        <v>18.109732344663033</v>
      </c>
      <c r="H502" s="86">
        <v>2.9885090217734227</v>
      </c>
      <c r="I502" s="86">
        <v>0.96103470469725005</v>
      </c>
      <c r="J502" s="46"/>
      <c r="K502" s="46"/>
    </row>
    <row r="503" spans="2:11" x14ac:dyDescent="0.3">
      <c r="B503" s="292"/>
      <c r="C503" s="9" t="s">
        <v>213</v>
      </c>
      <c r="D503" s="88">
        <v>59.639103893484368</v>
      </c>
      <c r="E503" s="86">
        <v>35.030016781669602</v>
      </c>
      <c r="F503" s="88">
        <v>14.443197270378944</v>
      </c>
      <c r="G503" s="86">
        <v>12.855623810618072</v>
      </c>
      <c r="H503" s="86">
        <v>5.238020777074146</v>
      </c>
      <c r="I503" s="86">
        <v>0</v>
      </c>
      <c r="J503" s="46"/>
      <c r="K503" s="46"/>
    </row>
    <row r="504" spans="2:11" x14ac:dyDescent="0.3">
      <c r="B504" s="292"/>
      <c r="C504" s="9" t="s">
        <v>214</v>
      </c>
      <c r="D504" s="88">
        <v>64.954775108808548</v>
      </c>
      <c r="E504" s="86">
        <v>29.357919601166461</v>
      </c>
      <c r="F504" s="88">
        <v>9.9604090180896048</v>
      </c>
      <c r="G504" s="86">
        <v>10.507166410495696</v>
      </c>
      <c r="H504" s="86">
        <v>6.4896384934677513</v>
      </c>
      <c r="I504" s="86">
        <v>1.3548733262534631</v>
      </c>
      <c r="J504" s="46"/>
      <c r="K504" s="46"/>
    </row>
    <row r="505" spans="2:11" x14ac:dyDescent="0.3">
      <c r="B505" s="292"/>
      <c r="C505" s="12" t="s">
        <v>215</v>
      </c>
      <c r="D505" s="91">
        <v>63.737306623306345</v>
      </c>
      <c r="E505" s="90">
        <v>19.509437722389123</v>
      </c>
      <c r="F505" s="91">
        <v>11.922398355426612</v>
      </c>
      <c r="G505" s="90">
        <v>19.505510473860941</v>
      </c>
      <c r="H505" s="90">
        <v>13.83008616224728</v>
      </c>
      <c r="I505" s="90">
        <v>0</v>
      </c>
      <c r="J505" s="46"/>
      <c r="K505" s="46"/>
    </row>
    <row r="506" spans="2:11" x14ac:dyDescent="0.3">
      <c r="B506" s="292"/>
      <c r="C506" s="9" t="s">
        <v>216</v>
      </c>
      <c r="D506" s="88">
        <v>63.857212548945967</v>
      </c>
      <c r="E506" s="86">
        <v>26.765023956323713</v>
      </c>
      <c r="F506" s="88">
        <v>13.2999545426349</v>
      </c>
      <c r="G506" s="86">
        <v>0</v>
      </c>
      <c r="H506" s="86">
        <v>9.3777634947303152</v>
      </c>
      <c r="I506" s="86">
        <v>0</v>
      </c>
      <c r="J506" s="46"/>
      <c r="K506" s="46"/>
    </row>
    <row r="507" spans="2:11" x14ac:dyDescent="0.3">
      <c r="B507" s="292"/>
      <c r="C507" s="9" t="s">
        <v>217</v>
      </c>
      <c r="D507" s="88">
        <v>55.199471748896578</v>
      </c>
      <c r="E507" s="86">
        <v>32.226710093705861</v>
      </c>
      <c r="F507" s="88">
        <v>19.282095487012892</v>
      </c>
      <c r="G507" s="86">
        <v>11.206557845506815</v>
      </c>
      <c r="H507" s="86">
        <v>6.2966794797722772</v>
      </c>
      <c r="I507" s="86">
        <v>1.3577272154763458</v>
      </c>
      <c r="J507" s="46"/>
      <c r="K507" s="46"/>
    </row>
    <row r="508" spans="2:11" x14ac:dyDescent="0.3">
      <c r="B508" s="292"/>
      <c r="C508" s="9" t="s">
        <v>218</v>
      </c>
      <c r="D508" s="88">
        <v>66.847783566779015</v>
      </c>
      <c r="E508" s="86">
        <v>33.922045842151086</v>
      </c>
      <c r="F508" s="88">
        <v>12.037573466349134</v>
      </c>
      <c r="G508" s="86">
        <v>2.0357611398089612</v>
      </c>
      <c r="H508" s="86">
        <v>3.021459484810852</v>
      </c>
      <c r="I508" s="86">
        <v>8.0589056321176145</v>
      </c>
      <c r="J508" s="46"/>
      <c r="K508" s="46"/>
    </row>
    <row r="509" spans="2:11" x14ac:dyDescent="0.3">
      <c r="B509" s="292"/>
      <c r="C509" s="9" t="s">
        <v>219</v>
      </c>
      <c r="D509" s="88">
        <v>53.254776391762469</v>
      </c>
      <c r="E509" s="86">
        <v>41.958093708468233</v>
      </c>
      <c r="F509" s="88">
        <v>21.194238622129415</v>
      </c>
      <c r="G509" s="86">
        <v>13.765184648909095</v>
      </c>
      <c r="H509" s="86">
        <v>5.6128179793695923</v>
      </c>
      <c r="I509" s="86">
        <v>3.3050411722337221</v>
      </c>
      <c r="J509" s="46"/>
      <c r="K509" s="46"/>
    </row>
    <row r="510" spans="2:11" x14ac:dyDescent="0.3">
      <c r="B510" s="292"/>
      <c r="C510" s="9" t="s">
        <v>220</v>
      </c>
      <c r="D510" s="88">
        <v>67.708067578299179</v>
      </c>
      <c r="E510" s="86">
        <v>41.824076683506682</v>
      </c>
      <c r="F510" s="88">
        <v>6.3169012741869928</v>
      </c>
      <c r="G510" s="86">
        <v>7.251288828987736</v>
      </c>
      <c r="H510" s="86">
        <v>6.4265213710880174</v>
      </c>
      <c r="I510" s="86">
        <v>0</v>
      </c>
      <c r="J510" s="46"/>
      <c r="K510" s="46"/>
    </row>
    <row r="511" spans="2:11" x14ac:dyDescent="0.3">
      <c r="B511" s="295"/>
      <c r="C511" s="9" t="s">
        <v>221</v>
      </c>
      <c r="D511" s="88">
        <v>47.120952575100326</v>
      </c>
      <c r="E511" s="86">
        <v>45.90726244717478</v>
      </c>
      <c r="F511" s="88">
        <v>8.6498555756119497</v>
      </c>
      <c r="G511" s="86">
        <v>8.6661100529914759</v>
      </c>
      <c r="H511" s="86">
        <v>6.5239542941772006</v>
      </c>
      <c r="I511" s="86">
        <v>3.5217036144383007</v>
      </c>
      <c r="J511" s="46"/>
      <c r="K511" s="46"/>
    </row>
    <row r="512" spans="2:11" ht="16.5" customHeight="1" x14ac:dyDescent="0.3">
      <c r="B512" s="291" t="s">
        <v>222</v>
      </c>
      <c r="C512" s="13" t="s">
        <v>226</v>
      </c>
      <c r="D512" s="89">
        <v>53.52936941215831</v>
      </c>
      <c r="E512" s="84">
        <v>41.429998495812704</v>
      </c>
      <c r="F512" s="89">
        <v>14.864874445950235</v>
      </c>
      <c r="G512" s="84">
        <v>9.3310408878487223</v>
      </c>
      <c r="H512" s="84">
        <v>7.1023132706072589</v>
      </c>
      <c r="I512" s="84">
        <v>2.8452270761512124</v>
      </c>
      <c r="J512" s="46"/>
      <c r="K512" s="46"/>
    </row>
    <row r="513" spans="2:11" x14ac:dyDescent="0.3">
      <c r="B513" s="294"/>
      <c r="C513" s="9" t="s">
        <v>227</v>
      </c>
      <c r="D513" s="88">
        <v>58.212768903095998</v>
      </c>
      <c r="E513" s="86">
        <v>36.169862063312948</v>
      </c>
      <c r="F513" s="88">
        <v>20.798578300764088</v>
      </c>
      <c r="G513" s="86">
        <v>15.643231389177551</v>
      </c>
      <c r="H513" s="86">
        <v>3.4509730746335245</v>
      </c>
      <c r="I513" s="86">
        <v>1.4495467835827724</v>
      </c>
      <c r="J513" s="46"/>
      <c r="K513" s="46"/>
    </row>
    <row r="514" spans="2:11" x14ac:dyDescent="0.3">
      <c r="B514" s="292"/>
      <c r="C514" s="9" t="s">
        <v>228</v>
      </c>
      <c r="D514" s="88">
        <v>73.097132225743806</v>
      </c>
      <c r="E514" s="86">
        <v>25.037275242378431</v>
      </c>
      <c r="F514" s="88">
        <v>14.494677502355954</v>
      </c>
      <c r="G514" s="86">
        <v>12.561700734724472</v>
      </c>
      <c r="H514" s="86">
        <v>5.0161458009780198</v>
      </c>
      <c r="I514" s="86">
        <v>0.59891695510383802</v>
      </c>
      <c r="J514" s="46"/>
      <c r="K514" s="46"/>
    </row>
    <row r="515" spans="2:11" x14ac:dyDescent="0.3">
      <c r="B515" s="295"/>
      <c r="C515" s="12" t="s">
        <v>229</v>
      </c>
      <c r="D515" s="91">
        <v>61.308291467673278</v>
      </c>
      <c r="E515" s="90">
        <v>34.390836701407039</v>
      </c>
      <c r="F515" s="91">
        <v>15.270504219923417</v>
      </c>
      <c r="G515" s="90">
        <v>14.330756232722861</v>
      </c>
      <c r="H515" s="90">
        <v>6.7577113551476984</v>
      </c>
      <c r="I515" s="90">
        <v>0.82103148180462282</v>
      </c>
      <c r="J515" s="46"/>
      <c r="K515" s="46"/>
    </row>
    <row r="516" spans="2:11" x14ac:dyDescent="0.3">
      <c r="B516" s="296" t="s">
        <v>199</v>
      </c>
      <c r="C516" s="13" t="s">
        <v>192</v>
      </c>
      <c r="D516" s="89">
        <v>63.048888506639109</v>
      </c>
      <c r="E516" s="84">
        <v>35.733845415151805</v>
      </c>
      <c r="F516" s="89">
        <v>17.782806392695687</v>
      </c>
      <c r="G516" s="84">
        <v>13.66997536038966</v>
      </c>
      <c r="H516" s="84">
        <v>4.8863811101199275</v>
      </c>
      <c r="I516" s="84">
        <v>1.2828837741015608</v>
      </c>
      <c r="J516" s="46"/>
      <c r="K516" s="46"/>
    </row>
    <row r="517" spans="2:11" ht="16.5" customHeight="1" x14ac:dyDescent="0.3">
      <c r="B517" s="292"/>
      <c r="C517" s="9" t="s">
        <v>200</v>
      </c>
      <c r="D517" s="88">
        <v>57.998613748694396</v>
      </c>
      <c r="E517" s="86">
        <v>32.547446817118612</v>
      </c>
      <c r="F517" s="88">
        <v>14.385493909283298</v>
      </c>
      <c r="G517" s="86">
        <v>11.781071249075325</v>
      </c>
      <c r="H517" s="86">
        <v>15.031260989718955</v>
      </c>
      <c r="I517" s="86">
        <v>0</v>
      </c>
      <c r="J517" s="46"/>
      <c r="K517" s="46"/>
    </row>
    <row r="518" spans="2:11" x14ac:dyDescent="0.3">
      <c r="B518" s="292"/>
      <c r="C518" s="9" t="s">
        <v>201</v>
      </c>
      <c r="D518" s="88">
        <v>61.718412132993393</v>
      </c>
      <c r="E518" s="86">
        <v>36.175577244905014</v>
      </c>
      <c r="F518" s="88">
        <v>12.895799095583889</v>
      </c>
      <c r="G518" s="86">
        <v>11.066591419303659</v>
      </c>
      <c r="H518" s="86">
        <v>5.9199459056449539</v>
      </c>
      <c r="I518" s="86">
        <v>3.2208923974862329</v>
      </c>
      <c r="J518" s="46"/>
      <c r="K518" s="46"/>
    </row>
    <row r="519" spans="2:11" x14ac:dyDescent="0.3">
      <c r="B519" s="292"/>
      <c r="C519" s="9" t="s">
        <v>202</v>
      </c>
      <c r="D519" s="88">
        <v>56.553720733426225</v>
      </c>
      <c r="E519" s="86">
        <v>31.319887788658225</v>
      </c>
      <c r="F519" s="88">
        <v>17.184861078703154</v>
      </c>
      <c r="G519" s="86">
        <v>13.562518261434439</v>
      </c>
      <c r="H519" s="86">
        <v>7.1704330215795986</v>
      </c>
      <c r="I519" s="86">
        <v>1.424746654746444</v>
      </c>
      <c r="J519" s="46"/>
      <c r="K519" s="46"/>
    </row>
    <row r="520" spans="2:11" x14ac:dyDescent="0.3">
      <c r="B520" s="295"/>
      <c r="C520" s="12" t="s">
        <v>203</v>
      </c>
      <c r="D520" s="91">
        <v>55.693602270460595</v>
      </c>
      <c r="E520" s="90">
        <v>34.990928724165585</v>
      </c>
      <c r="F520" s="91">
        <v>15.381515913466345</v>
      </c>
      <c r="G520" s="90">
        <v>11.335064517993883</v>
      </c>
      <c r="H520" s="90">
        <v>5.0028511171693228</v>
      </c>
      <c r="I520" s="90">
        <v>1.7746804610411533</v>
      </c>
      <c r="J520" s="46"/>
      <c r="K520" s="46"/>
    </row>
    <row r="521" spans="2:11" ht="16.5" customHeight="1" x14ac:dyDescent="0.3">
      <c r="B521" s="291" t="s">
        <v>204</v>
      </c>
      <c r="C521" s="13" t="s">
        <v>192</v>
      </c>
      <c r="D521" s="89">
        <v>63.048888506639109</v>
      </c>
      <c r="E521" s="84">
        <v>35.733845415151805</v>
      </c>
      <c r="F521" s="89">
        <v>17.782806392695687</v>
      </c>
      <c r="G521" s="84">
        <v>13.66997536038966</v>
      </c>
      <c r="H521" s="84">
        <v>4.8863811101199275</v>
      </c>
      <c r="I521" s="84">
        <v>1.2828837741015608</v>
      </c>
      <c r="J521" s="46"/>
      <c r="K521" s="46"/>
    </row>
    <row r="522" spans="2:11" x14ac:dyDescent="0.3">
      <c r="B522" s="295"/>
      <c r="C522" s="12" t="s">
        <v>193</v>
      </c>
      <c r="D522" s="91">
        <v>57.523397007180009</v>
      </c>
      <c r="E522" s="90">
        <v>34.458211191594593</v>
      </c>
      <c r="F522" s="91">
        <v>14.989249175220165</v>
      </c>
      <c r="G522" s="90">
        <v>11.683764126567878</v>
      </c>
      <c r="H522" s="90">
        <v>6.4307878820011597</v>
      </c>
      <c r="I522" s="90">
        <v>1.9261288790048969</v>
      </c>
      <c r="J522" s="46"/>
      <c r="K522" s="46"/>
    </row>
    <row r="523" spans="2:11" x14ac:dyDescent="0.3">
      <c r="B523" s="291" t="s">
        <v>209</v>
      </c>
      <c r="C523" s="13" t="s">
        <v>205</v>
      </c>
      <c r="D523" s="89">
        <v>64.853385541984935</v>
      </c>
      <c r="E523" s="84">
        <v>29.771049999948989</v>
      </c>
      <c r="F523" s="89">
        <v>15.773359177024776</v>
      </c>
      <c r="G523" s="84">
        <v>7.4384649760816366</v>
      </c>
      <c r="H523" s="84">
        <v>7.416663434025109</v>
      </c>
      <c r="I523" s="84">
        <v>3.5398682878077201</v>
      </c>
      <c r="J523" s="46"/>
      <c r="K523" s="46"/>
    </row>
    <row r="524" spans="2:11" x14ac:dyDescent="0.3">
      <c r="B524" s="292"/>
      <c r="C524" s="9" t="s">
        <v>206</v>
      </c>
      <c r="D524" s="88">
        <v>55.497929888791298</v>
      </c>
      <c r="E524" s="86">
        <v>42.091259494928252</v>
      </c>
      <c r="F524" s="88">
        <v>10.154339258950873</v>
      </c>
      <c r="G524" s="86">
        <v>6.6166336603612024</v>
      </c>
      <c r="H524" s="86">
        <v>6.3883585196853998</v>
      </c>
      <c r="I524" s="86">
        <v>1.748880032902203</v>
      </c>
      <c r="J524" s="46"/>
      <c r="K524" s="46"/>
    </row>
    <row r="525" spans="2:11" x14ac:dyDescent="0.3">
      <c r="B525" s="292"/>
      <c r="C525" s="9" t="s">
        <v>207</v>
      </c>
      <c r="D525" s="88">
        <v>57.973558598958519</v>
      </c>
      <c r="E525" s="86">
        <v>36.722254922710512</v>
      </c>
      <c r="F525" s="88">
        <v>18.488671619412926</v>
      </c>
      <c r="G525" s="86">
        <v>14.82222140141495</v>
      </c>
      <c r="H525" s="86">
        <v>6.5665495860298924</v>
      </c>
      <c r="I525" s="86">
        <v>0.89163173335393753</v>
      </c>
      <c r="J525" s="46"/>
      <c r="K525" s="46"/>
    </row>
    <row r="526" spans="2:11" x14ac:dyDescent="0.3">
      <c r="B526" s="293"/>
      <c r="C526" s="25" t="s">
        <v>208</v>
      </c>
      <c r="D526" s="95">
        <v>63.067319417553868</v>
      </c>
      <c r="E526" s="87">
        <v>32.952584573183188</v>
      </c>
      <c r="F526" s="95">
        <v>17.838206609990536</v>
      </c>
      <c r="G526" s="87">
        <v>16.043301500078648</v>
      </c>
      <c r="H526" s="87">
        <v>3.5322027415335673</v>
      </c>
      <c r="I526" s="87">
        <v>1.2520938221062683</v>
      </c>
      <c r="J526" s="46"/>
      <c r="K526" s="46"/>
    </row>
    <row r="527" spans="2:11" x14ac:dyDescent="0.3">
      <c r="B527" s="60"/>
      <c r="C527" s="9"/>
      <c r="D527" s="46"/>
      <c r="E527" s="46"/>
      <c r="F527" s="46"/>
      <c r="G527" s="46"/>
      <c r="H527" s="46"/>
      <c r="I527" s="46"/>
      <c r="J527" s="46"/>
      <c r="K527" s="46"/>
    </row>
    <row r="529" spans="2:11" x14ac:dyDescent="0.3">
      <c r="B529" s="17" t="s">
        <v>158</v>
      </c>
    </row>
    <row r="530" spans="2:11" x14ac:dyDescent="0.3">
      <c r="H530" s="30" t="s">
        <v>52</v>
      </c>
      <c r="I530" s="30"/>
      <c r="J530" s="30"/>
      <c r="K530" s="30"/>
    </row>
    <row r="531" spans="2:11" ht="40.5" x14ac:dyDescent="0.3">
      <c r="B531" s="287"/>
      <c r="C531" s="287"/>
      <c r="D531" s="202" t="s">
        <v>386</v>
      </c>
      <c r="E531" s="202" t="s">
        <v>387</v>
      </c>
      <c r="F531" s="202" t="s">
        <v>389</v>
      </c>
      <c r="G531" s="202" t="s">
        <v>388</v>
      </c>
      <c r="H531" s="202" t="s">
        <v>38</v>
      </c>
      <c r="I531" s="63"/>
      <c r="J531" s="63"/>
      <c r="K531" s="63"/>
    </row>
    <row r="532" spans="2:11" x14ac:dyDescent="0.3">
      <c r="B532" s="292" t="s">
        <v>20</v>
      </c>
      <c r="C532" s="292"/>
      <c r="D532" s="88">
        <v>65.123449357975716</v>
      </c>
      <c r="E532" s="86">
        <v>13.776334448653046</v>
      </c>
      <c r="F532" s="88">
        <v>13.738425155865167</v>
      </c>
      <c r="G532" s="86">
        <v>6.5450873568783141</v>
      </c>
      <c r="H532" s="86">
        <v>0.81670368062785637</v>
      </c>
      <c r="I532" s="63"/>
      <c r="J532" s="46"/>
      <c r="K532" s="46"/>
    </row>
    <row r="533" spans="2:11" x14ac:dyDescent="0.3">
      <c r="B533" s="296" t="s">
        <v>5</v>
      </c>
      <c r="C533" s="13" t="s">
        <v>0</v>
      </c>
      <c r="D533" s="89">
        <v>61.244784161786313</v>
      </c>
      <c r="E533" s="84">
        <v>13.657859804266229</v>
      </c>
      <c r="F533" s="89">
        <v>19.057913334275046</v>
      </c>
      <c r="G533" s="84">
        <v>5.6861648615683178</v>
      </c>
      <c r="H533" s="84">
        <v>0.35327783810407209</v>
      </c>
      <c r="I533" s="63"/>
      <c r="J533" s="46"/>
      <c r="K533" s="46"/>
    </row>
    <row r="534" spans="2:11" x14ac:dyDescent="0.3">
      <c r="B534" s="295"/>
      <c r="C534" s="12" t="s">
        <v>1</v>
      </c>
      <c r="D534" s="91">
        <v>69.015172860004682</v>
      </c>
      <c r="E534" s="90">
        <v>13.895207961738828</v>
      </c>
      <c r="F534" s="91">
        <v>8.401027851497977</v>
      </c>
      <c r="G534" s="90">
        <v>7.4069015873778694</v>
      </c>
      <c r="H534" s="90">
        <v>1.28168973938058</v>
      </c>
      <c r="I534" s="63"/>
      <c r="J534" s="46"/>
      <c r="K534" s="46"/>
    </row>
    <row r="535" spans="2:11" x14ac:dyDescent="0.3">
      <c r="B535" s="296" t="s">
        <v>4</v>
      </c>
      <c r="C535" s="9" t="s">
        <v>175</v>
      </c>
      <c r="D535" s="88">
        <v>63.469679572254435</v>
      </c>
      <c r="E535" s="86">
        <v>13.110050859041515</v>
      </c>
      <c r="F535" s="88">
        <v>13.306950398099989</v>
      </c>
      <c r="G535" s="86">
        <v>7.380478154967486</v>
      </c>
      <c r="H535" s="86">
        <v>2.7328410156366085</v>
      </c>
      <c r="I535" s="63"/>
      <c r="J535" s="46"/>
      <c r="K535" s="46"/>
    </row>
    <row r="536" spans="2:11" x14ac:dyDescent="0.3">
      <c r="B536" s="292"/>
      <c r="C536" s="9" t="s">
        <v>176</v>
      </c>
      <c r="D536" s="88">
        <v>61.751731878298777</v>
      </c>
      <c r="E536" s="86">
        <v>13.785470927295574</v>
      </c>
      <c r="F536" s="88">
        <v>18.43193577721167</v>
      </c>
      <c r="G536" s="86">
        <v>5.1206974509812504</v>
      </c>
      <c r="H536" s="86">
        <v>0.91016396621270834</v>
      </c>
      <c r="I536" s="63"/>
      <c r="J536" s="46"/>
      <c r="K536" s="46"/>
    </row>
    <row r="537" spans="2:11" x14ac:dyDescent="0.3">
      <c r="B537" s="292"/>
      <c r="C537" s="9" t="s">
        <v>177</v>
      </c>
      <c r="D537" s="88">
        <v>51.831948291397914</v>
      </c>
      <c r="E537" s="86">
        <v>16.818802684584625</v>
      </c>
      <c r="F537" s="88">
        <v>20.822929067992447</v>
      </c>
      <c r="G537" s="86">
        <v>9.6179371799126621</v>
      </c>
      <c r="H537" s="86">
        <v>0.90838277611246576</v>
      </c>
      <c r="I537" s="63"/>
      <c r="J537" s="46"/>
      <c r="K537" s="46"/>
    </row>
    <row r="538" spans="2:11" x14ac:dyDescent="0.3">
      <c r="B538" s="292"/>
      <c r="C538" s="9" t="s">
        <v>178</v>
      </c>
      <c r="D538" s="88">
        <v>64.810720768946013</v>
      </c>
      <c r="E538" s="86">
        <v>13.505756886648104</v>
      </c>
      <c r="F538" s="88">
        <v>15.292023158939768</v>
      </c>
      <c r="G538" s="86">
        <v>5.6135638409591566</v>
      </c>
      <c r="H538" s="86">
        <v>0.77793534450697011</v>
      </c>
      <c r="I538" s="63"/>
      <c r="J538" s="46"/>
      <c r="K538" s="46"/>
    </row>
    <row r="539" spans="2:11" x14ac:dyDescent="0.3">
      <c r="B539" s="292"/>
      <c r="C539" s="9" t="s">
        <v>179</v>
      </c>
      <c r="D539" s="88">
        <v>74.993551180166435</v>
      </c>
      <c r="E539" s="86">
        <v>11.505955714338008</v>
      </c>
      <c r="F539" s="88">
        <v>7.0037623921352239</v>
      </c>
      <c r="G539" s="86">
        <v>6.496730713360428</v>
      </c>
      <c r="H539" s="86">
        <v>0</v>
      </c>
      <c r="I539" s="63"/>
      <c r="J539" s="46"/>
      <c r="K539" s="46"/>
    </row>
    <row r="540" spans="2:11" x14ac:dyDescent="0.3">
      <c r="B540" s="298"/>
      <c r="C540" s="12" t="s">
        <v>180</v>
      </c>
      <c r="D540" s="91">
        <v>76.770053075559062</v>
      </c>
      <c r="E540" s="90">
        <v>13.339179148787755</v>
      </c>
      <c r="F540" s="91">
        <v>3.746088198132596</v>
      </c>
      <c r="G540" s="90">
        <v>5.3285286207157254</v>
      </c>
      <c r="H540" s="90">
        <v>0.81615095680488625</v>
      </c>
      <c r="I540" s="63"/>
      <c r="J540" s="46"/>
      <c r="K540" s="46"/>
    </row>
    <row r="541" spans="2:11" x14ac:dyDescent="0.3">
      <c r="B541" s="292" t="s">
        <v>223</v>
      </c>
      <c r="C541" s="9" t="s">
        <v>210</v>
      </c>
      <c r="D541" s="88">
        <v>54.645637133708405</v>
      </c>
      <c r="E541" s="86">
        <v>13.299662913814792</v>
      </c>
      <c r="F541" s="88">
        <v>26.454180533359207</v>
      </c>
      <c r="G541" s="86">
        <v>5.6005194191175969</v>
      </c>
      <c r="H541" s="86">
        <v>0</v>
      </c>
      <c r="I541" s="63"/>
      <c r="J541" s="46"/>
      <c r="K541" s="46"/>
    </row>
    <row r="542" spans="2:11" x14ac:dyDescent="0.3">
      <c r="B542" s="292"/>
      <c r="C542" s="9" t="s">
        <v>211</v>
      </c>
      <c r="D542" s="88">
        <v>50.427051167294401</v>
      </c>
      <c r="E542" s="86">
        <v>18.749927288046553</v>
      </c>
      <c r="F542" s="88">
        <v>25.4681094980666</v>
      </c>
      <c r="G542" s="86">
        <v>5.3549120465924407</v>
      </c>
      <c r="H542" s="86">
        <v>0</v>
      </c>
      <c r="I542" s="63"/>
      <c r="J542" s="46"/>
      <c r="K542" s="46"/>
    </row>
    <row r="543" spans="2:11" x14ac:dyDescent="0.3">
      <c r="B543" s="292"/>
      <c r="C543" s="9" t="s">
        <v>212</v>
      </c>
      <c r="D543" s="88">
        <v>47.462328090720938</v>
      </c>
      <c r="E543" s="86">
        <v>17.249780431359003</v>
      </c>
      <c r="F543" s="88">
        <v>25.341189418045158</v>
      </c>
      <c r="G543" s="86">
        <v>8.4319547716741585</v>
      </c>
      <c r="H543" s="86">
        <v>1.5147472882007014</v>
      </c>
      <c r="I543" s="63"/>
      <c r="J543" s="46"/>
      <c r="K543" s="46"/>
    </row>
    <row r="544" spans="2:11" x14ac:dyDescent="0.3">
      <c r="B544" s="292"/>
      <c r="C544" s="9" t="s">
        <v>213</v>
      </c>
      <c r="D544" s="88">
        <v>68.251498778723345</v>
      </c>
      <c r="E544" s="86">
        <v>8.9917701883197179</v>
      </c>
      <c r="F544" s="88">
        <v>17.326246127167742</v>
      </c>
      <c r="G544" s="86">
        <v>5.4304849057891698</v>
      </c>
      <c r="H544" s="86">
        <v>0</v>
      </c>
      <c r="I544" s="63"/>
      <c r="J544" s="46"/>
      <c r="K544" s="46"/>
    </row>
    <row r="545" spans="2:11" x14ac:dyDescent="0.3">
      <c r="B545" s="292"/>
      <c r="C545" s="9" t="s">
        <v>214</v>
      </c>
      <c r="D545" s="88">
        <v>78.8769467844552</v>
      </c>
      <c r="E545" s="86">
        <v>7.3591862743681471</v>
      </c>
      <c r="F545" s="88">
        <v>10.784654840502341</v>
      </c>
      <c r="G545" s="86">
        <v>2.9792121006742738</v>
      </c>
      <c r="H545" s="86">
        <v>0</v>
      </c>
      <c r="I545" s="63"/>
      <c r="J545" s="46"/>
      <c r="K545" s="46"/>
    </row>
    <row r="546" spans="2:11" x14ac:dyDescent="0.3">
      <c r="B546" s="292"/>
      <c r="C546" s="12" t="s">
        <v>215</v>
      </c>
      <c r="D546" s="91">
        <v>69.526328519078788</v>
      </c>
      <c r="E546" s="90">
        <v>18.863485971586929</v>
      </c>
      <c r="F546" s="91">
        <v>6.5687422030114089</v>
      </c>
      <c r="G546" s="90">
        <v>5.0414433063228676</v>
      </c>
      <c r="H546" s="90">
        <v>0</v>
      </c>
      <c r="I546" s="63"/>
      <c r="J546" s="46"/>
      <c r="K546" s="46"/>
    </row>
    <row r="547" spans="2:11" x14ac:dyDescent="0.3">
      <c r="B547" s="292"/>
      <c r="C547" s="9" t="s">
        <v>216</v>
      </c>
      <c r="D547" s="88">
        <v>72.400921653850915</v>
      </c>
      <c r="E547" s="86">
        <v>12.918135285814939</v>
      </c>
      <c r="F547" s="88">
        <v>0</v>
      </c>
      <c r="G547" s="86">
        <v>9.1820608735278597</v>
      </c>
      <c r="H547" s="86">
        <v>5.4988821868062709</v>
      </c>
      <c r="I547" s="63"/>
      <c r="J547" s="46"/>
      <c r="K547" s="46"/>
    </row>
    <row r="548" spans="2:11" x14ac:dyDescent="0.3">
      <c r="B548" s="292"/>
      <c r="C548" s="9" t="s">
        <v>217</v>
      </c>
      <c r="D548" s="88">
        <v>70.881915512483388</v>
      </c>
      <c r="E548" s="86">
        <v>9.7830271168040781</v>
      </c>
      <c r="F548" s="88">
        <v>12.759232078730848</v>
      </c>
      <c r="G548" s="86">
        <v>4.9318689689863033</v>
      </c>
      <c r="H548" s="86">
        <v>1.6439563229954344</v>
      </c>
      <c r="I548" s="63"/>
      <c r="J548" s="46"/>
      <c r="K548" s="46"/>
    </row>
    <row r="549" spans="2:11" x14ac:dyDescent="0.3">
      <c r="B549" s="292"/>
      <c r="C549" s="9" t="s">
        <v>218</v>
      </c>
      <c r="D549" s="88">
        <v>58.377990563526062</v>
      </c>
      <c r="E549" s="86">
        <v>16.173163379755604</v>
      </c>
      <c r="F549" s="88">
        <v>14.054211905035285</v>
      </c>
      <c r="G549" s="86">
        <v>11.394634151683084</v>
      </c>
      <c r="H549" s="86">
        <v>0</v>
      </c>
      <c r="I549" s="63"/>
      <c r="J549" s="46"/>
      <c r="K549" s="46"/>
    </row>
    <row r="550" spans="2:11" x14ac:dyDescent="0.3">
      <c r="B550" s="292"/>
      <c r="C550" s="9" t="s">
        <v>219</v>
      </c>
      <c r="D550" s="88">
        <v>59.82472718685311</v>
      </c>
      <c r="E550" s="86">
        <v>20.046925379228131</v>
      </c>
      <c r="F550" s="88">
        <v>12.344253022270339</v>
      </c>
      <c r="G550" s="86">
        <v>5.8788615129333515</v>
      </c>
      <c r="H550" s="86">
        <v>1.905232898715046</v>
      </c>
      <c r="I550" s="63"/>
      <c r="J550" s="46"/>
      <c r="K550" s="46"/>
    </row>
    <row r="551" spans="2:11" x14ac:dyDescent="0.3">
      <c r="B551" s="292"/>
      <c r="C551" s="9" t="s">
        <v>220</v>
      </c>
      <c r="D551" s="88">
        <v>72.04339784864014</v>
      </c>
      <c r="E551" s="86">
        <v>14.656189922999971</v>
      </c>
      <c r="F551" s="88">
        <v>4.1314790635003718</v>
      </c>
      <c r="G551" s="86">
        <v>9.1689331648595545</v>
      </c>
      <c r="H551" s="86">
        <v>0</v>
      </c>
      <c r="I551" s="63"/>
      <c r="J551" s="46"/>
      <c r="K551" s="46"/>
    </row>
    <row r="552" spans="2:11" x14ac:dyDescent="0.3">
      <c r="B552" s="295"/>
      <c r="C552" s="9" t="s">
        <v>221</v>
      </c>
      <c r="D552" s="88">
        <v>81.312449083107325</v>
      </c>
      <c r="E552" s="86">
        <v>9.8749959015236239</v>
      </c>
      <c r="F552" s="88">
        <v>1.9760578522131822</v>
      </c>
      <c r="G552" s="86">
        <v>5.5085541277260983</v>
      </c>
      <c r="H552" s="86">
        <v>1.3279430354297805</v>
      </c>
      <c r="I552" s="63"/>
      <c r="J552" s="46"/>
      <c r="K552" s="46"/>
    </row>
    <row r="553" spans="2:11" ht="16.5" customHeight="1" x14ac:dyDescent="0.3">
      <c r="B553" s="291" t="s">
        <v>222</v>
      </c>
      <c r="C553" s="13" t="s">
        <v>226</v>
      </c>
      <c r="D553" s="89">
        <v>63.026452818695333</v>
      </c>
      <c r="E553" s="84">
        <v>12.728169579324472</v>
      </c>
      <c r="F553" s="89">
        <v>16.335141660487462</v>
      </c>
      <c r="G553" s="84">
        <v>6.7618725965457971</v>
      </c>
      <c r="H553" s="84">
        <v>1.1483633449469772</v>
      </c>
      <c r="I553" s="63"/>
      <c r="J553" s="46"/>
      <c r="K553" s="46"/>
    </row>
    <row r="554" spans="2:11" x14ac:dyDescent="0.3">
      <c r="B554" s="294"/>
      <c r="C554" s="9" t="s">
        <v>227</v>
      </c>
      <c r="D554" s="88">
        <v>61.037126548204014</v>
      </c>
      <c r="E554" s="86">
        <v>14.045626187794911</v>
      </c>
      <c r="F554" s="88">
        <v>13.405683522817302</v>
      </c>
      <c r="G554" s="86">
        <v>10.234364017495604</v>
      </c>
      <c r="H554" s="86">
        <v>1.2771997236882622</v>
      </c>
      <c r="I554" s="63"/>
      <c r="J554" s="46"/>
      <c r="K554" s="46"/>
    </row>
    <row r="555" spans="2:11" x14ac:dyDescent="0.3">
      <c r="B555" s="292"/>
      <c r="C555" s="9" t="s">
        <v>228</v>
      </c>
      <c r="D555" s="88">
        <v>66.149327516202518</v>
      </c>
      <c r="E555" s="86">
        <v>17.975295611941029</v>
      </c>
      <c r="F555" s="88">
        <v>12.71587666684878</v>
      </c>
      <c r="G555" s="86">
        <v>2.6384916880189393</v>
      </c>
      <c r="H555" s="86">
        <v>0.52100851698877082</v>
      </c>
      <c r="I555" s="63"/>
      <c r="J555" s="46"/>
      <c r="K555" s="46"/>
    </row>
    <row r="556" spans="2:11" x14ac:dyDescent="0.3">
      <c r="B556" s="295"/>
      <c r="C556" s="12" t="s">
        <v>229</v>
      </c>
      <c r="D556" s="91">
        <v>72.695546737184458</v>
      </c>
      <c r="E556" s="90">
        <v>10.767185791087392</v>
      </c>
      <c r="F556" s="91">
        <v>11.237969149706862</v>
      </c>
      <c r="G556" s="90">
        <v>5.2992983220213095</v>
      </c>
      <c r="H556" s="90">
        <v>0</v>
      </c>
      <c r="I556" s="63"/>
      <c r="J556" s="46"/>
      <c r="K556" s="46"/>
    </row>
    <row r="557" spans="2:11" x14ac:dyDescent="0.3">
      <c r="B557" s="296" t="s">
        <v>199</v>
      </c>
      <c r="C557" s="13" t="s">
        <v>192</v>
      </c>
      <c r="D557" s="89">
        <v>65.126350361017444</v>
      </c>
      <c r="E557" s="84">
        <v>13.61119526726673</v>
      </c>
      <c r="F557" s="89">
        <v>12.198676371187076</v>
      </c>
      <c r="G557" s="84">
        <v>7.7387264490643553</v>
      </c>
      <c r="H557" s="84">
        <v>1.3250515514644121</v>
      </c>
      <c r="I557" s="63"/>
      <c r="J557" s="46"/>
      <c r="K557" s="46"/>
    </row>
    <row r="558" spans="2:11" ht="16.5" customHeight="1" x14ac:dyDescent="0.3">
      <c r="B558" s="292"/>
      <c r="C558" s="9" t="s">
        <v>200</v>
      </c>
      <c r="D558" s="88">
        <v>73.729357395158473</v>
      </c>
      <c r="E558" s="86">
        <v>7.1606663972665743</v>
      </c>
      <c r="F558" s="88">
        <v>12.794722469196888</v>
      </c>
      <c r="G558" s="86">
        <v>6.3152537383780487</v>
      </c>
      <c r="H558" s="86">
        <v>0</v>
      </c>
      <c r="I558" s="63"/>
      <c r="J558" s="46"/>
      <c r="K558" s="46"/>
    </row>
    <row r="559" spans="2:11" x14ac:dyDescent="0.3">
      <c r="B559" s="292"/>
      <c r="C559" s="9" t="s">
        <v>201</v>
      </c>
      <c r="D559" s="88">
        <v>63.591684970597619</v>
      </c>
      <c r="E559" s="86">
        <v>17.125303645013371</v>
      </c>
      <c r="F559" s="88">
        <v>14.222697747570104</v>
      </c>
      <c r="G559" s="86">
        <v>4.118961516935328</v>
      </c>
      <c r="H559" s="86">
        <v>0.9413521198835435</v>
      </c>
      <c r="I559" s="63"/>
      <c r="J559" s="46"/>
      <c r="K559" s="46"/>
    </row>
    <row r="560" spans="2:11" x14ac:dyDescent="0.3">
      <c r="B560" s="292"/>
      <c r="C560" s="9" t="s">
        <v>202</v>
      </c>
      <c r="D560" s="88">
        <v>70.811515126050509</v>
      </c>
      <c r="E560" s="86">
        <v>11.476345501641314</v>
      </c>
      <c r="F560" s="88">
        <v>11.491910418170946</v>
      </c>
      <c r="G560" s="86">
        <v>6.2202289541372711</v>
      </c>
      <c r="H560" s="86">
        <v>0</v>
      </c>
      <c r="I560" s="63"/>
      <c r="J560" s="46"/>
      <c r="K560" s="46"/>
    </row>
    <row r="561" spans="2:13" x14ac:dyDescent="0.3">
      <c r="B561" s="295"/>
      <c r="C561" s="12" t="s">
        <v>203</v>
      </c>
      <c r="D561" s="91">
        <v>62.512267017570608</v>
      </c>
      <c r="E561" s="90">
        <v>14.376689727744468</v>
      </c>
      <c r="F561" s="91">
        <v>17.957345600646583</v>
      </c>
      <c r="G561" s="90">
        <v>5.1536976540383552</v>
      </c>
      <c r="H561" s="90">
        <v>0</v>
      </c>
      <c r="I561" s="63"/>
      <c r="J561" s="46"/>
      <c r="K561" s="46"/>
    </row>
    <row r="562" spans="2:13" x14ac:dyDescent="0.3">
      <c r="B562" s="291" t="s">
        <v>204</v>
      </c>
      <c r="C562" s="13" t="s">
        <v>192</v>
      </c>
      <c r="D562" s="89">
        <v>65.126350361017444</v>
      </c>
      <c r="E562" s="84">
        <v>13.61119526726673</v>
      </c>
      <c r="F562" s="89">
        <v>12.198676371187076</v>
      </c>
      <c r="G562" s="84">
        <v>7.7387264490643553</v>
      </c>
      <c r="H562" s="84">
        <v>1.3250515514644121</v>
      </c>
      <c r="I562" s="63"/>
      <c r="J562" s="46"/>
      <c r="K562" s="46"/>
    </row>
    <row r="563" spans="2:13" x14ac:dyDescent="0.3">
      <c r="B563" s="295"/>
      <c r="C563" s="12" t="s">
        <v>193</v>
      </c>
      <c r="D563" s="91">
        <v>65.120119317830742</v>
      </c>
      <c r="E563" s="90">
        <v>13.965896505493959</v>
      </c>
      <c r="F563" s="91">
        <v>15.50589150874189</v>
      </c>
      <c r="G563" s="90">
        <v>5.1749177851203614</v>
      </c>
      <c r="H563" s="90">
        <v>0.23317488281296037</v>
      </c>
      <c r="I563" s="63"/>
      <c r="J563" s="46"/>
      <c r="K563" s="46"/>
    </row>
    <row r="564" spans="2:13" x14ac:dyDescent="0.3">
      <c r="B564" s="291" t="s">
        <v>209</v>
      </c>
      <c r="C564" s="13" t="s">
        <v>205</v>
      </c>
      <c r="D564" s="89">
        <v>64.574717925631163</v>
      </c>
      <c r="E564" s="84">
        <v>9.2587115424308362</v>
      </c>
      <c r="F564" s="89">
        <v>15.222250095112205</v>
      </c>
      <c r="G564" s="84">
        <v>9.8320165077225088</v>
      </c>
      <c r="H564" s="84">
        <v>1.1123039291033143</v>
      </c>
      <c r="I564" s="63"/>
      <c r="J564" s="46"/>
      <c r="K564" s="46"/>
    </row>
    <row r="565" spans="2:13" x14ac:dyDescent="0.3">
      <c r="B565" s="292"/>
      <c r="C565" s="9" t="s">
        <v>206</v>
      </c>
      <c r="D565" s="88">
        <v>64.538638452154402</v>
      </c>
      <c r="E565" s="86">
        <v>11.727072512102042</v>
      </c>
      <c r="F565" s="88">
        <v>15.597503207147611</v>
      </c>
      <c r="G565" s="86">
        <v>5.9463470664528835</v>
      </c>
      <c r="H565" s="86">
        <v>2.1904387621431201</v>
      </c>
      <c r="I565" s="63"/>
      <c r="J565" s="46"/>
      <c r="K565" s="46"/>
    </row>
    <row r="566" spans="2:13" x14ac:dyDescent="0.3">
      <c r="B566" s="292"/>
      <c r="C566" s="9" t="s">
        <v>207</v>
      </c>
      <c r="D566" s="88">
        <v>62.877319501762841</v>
      </c>
      <c r="E566" s="86">
        <v>16.963448151891598</v>
      </c>
      <c r="F566" s="88">
        <v>12.848908633582045</v>
      </c>
      <c r="G566" s="86">
        <v>6.7675605427344161</v>
      </c>
      <c r="H566" s="86">
        <v>0.54276317002914332</v>
      </c>
      <c r="I566" s="63"/>
      <c r="J566" s="46"/>
      <c r="K566" s="46"/>
    </row>
    <row r="567" spans="2:13" x14ac:dyDescent="0.3">
      <c r="B567" s="293"/>
      <c r="C567" s="25" t="s">
        <v>208</v>
      </c>
      <c r="D567" s="95">
        <v>67.718917069150791</v>
      </c>
      <c r="E567" s="87">
        <v>13.824821375820854</v>
      </c>
      <c r="F567" s="95">
        <v>13.03552591713601</v>
      </c>
      <c r="G567" s="87">
        <v>5.1126369161722787</v>
      </c>
      <c r="H567" s="87">
        <v>0.30809872172005698</v>
      </c>
      <c r="I567" s="63"/>
      <c r="J567" s="46"/>
      <c r="K567" s="46"/>
    </row>
    <row r="568" spans="2:13" x14ac:dyDescent="0.3">
      <c r="B568" s="60"/>
      <c r="C568" s="9"/>
      <c r="D568" s="46"/>
      <c r="E568" s="46"/>
      <c r="F568" s="46"/>
      <c r="G568" s="46"/>
      <c r="H568" s="46"/>
      <c r="I568" s="46"/>
      <c r="J568" s="46"/>
      <c r="K568" s="46"/>
    </row>
    <row r="569" spans="2:13" x14ac:dyDescent="0.3">
      <c r="B569" s="60"/>
      <c r="C569" s="9"/>
      <c r="D569" s="46"/>
      <c r="E569" s="46"/>
      <c r="F569" s="46"/>
      <c r="G569" s="46"/>
      <c r="H569" s="46"/>
      <c r="I569" s="46"/>
      <c r="J569" s="46"/>
      <c r="K569" s="46"/>
    </row>
    <row r="570" spans="2:13" x14ac:dyDescent="0.3">
      <c r="B570" s="17" t="s">
        <v>159</v>
      </c>
    </row>
    <row r="571" spans="2:13" x14ac:dyDescent="0.3">
      <c r="B571" s="17"/>
    </row>
    <row r="572" spans="2:13" x14ac:dyDescent="0.3">
      <c r="B572" s="66" t="s">
        <v>160</v>
      </c>
    </row>
    <row r="573" spans="2:13" x14ac:dyDescent="0.3">
      <c r="H573" s="30"/>
      <c r="M573" s="30" t="s">
        <v>169</v>
      </c>
    </row>
    <row r="574" spans="2:13" ht="18" customHeight="1" x14ac:dyDescent="0.3">
      <c r="B574" s="287"/>
      <c r="C574" s="287"/>
      <c r="D574" s="202"/>
      <c r="E574" s="202"/>
      <c r="F574" s="202"/>
      <c r="G574" s="202"/>
      <c r="H574" s="202"/>
      <c r="I574" s="310" t="s">
        <v>161</v>
      </c>
      <c r="J574" s="311"/>
      <c r="K574" s="312"/>
      <c r="L574" s="311" t="s">
        <v>170</v>
      </c>
      <c r="M574" s="311" t="s">
        <v>390</v>
      </c>
    </row>
    <row r="575" spans="2:13" ht="27" x14ac:dyDescent="0.3">
      <c r="B575" s="287"/>
      <c r="C575" s="287"/>
      <c r="D575" s="202" t="s">
        <v>162</v>
      </c>
      <c r="E575" s="202" t="s">
        <v>163</v>
      </c>
      <c r="F575" s="202" t="s">
        <v>164</v>
      </c>
      <c r="G575" s="202" t="s">
        <v>165</v>
      </c>
      <c r="H575" s="202" t="s">
        <v>166</v>
      </c>
      <c r="I575" s="233" t="s">
        <v>391</v>
      </c>
      <c r="J575" s="202" t="s">
        <v>167</v>
      </c>
      <c r="K575" s="234" t="s">
        <v>168</v>
      </c>
      <c r="L575" s="311"/>
      <c r="M575" s="311"/>
    </row>
    <row r="576" spans="2:13" x14ac:dyDescent="0.3">
      <c r="B576" s="292" t="s">
        <v>20</v>
      </c>
      <c r="C576" s="292"/>
      <c r="D576" s="88">
        <v>16.283165652484161</v>
      </c>
      <c r="E576" s="86">
        <v>22.791406833281286</v>
      </c>
      <c r="F576" s="88">
        <v>32.251713430857791</v>
      </c>
      <c r="G576" s="86">
        <v>23.850836624704581</v>
      </c>
      <c r="H576" s="86">
        <v>4.8228774586720586</v>
      </c>
      <c r="I576" s="145">
        <v>39.074572485765543</v>
      </c>
      <c r="J576" s="86">
        <v>32.251713430857791</v>
      </c>
      <c r="K576" s="141">
        <v>28.673714083376694</v>
      </c>
      <c r="L576" s="150">
        <v>2.7813885340379843</v>
      </c>
      <c r="M576" s="86">
        <v>44.534713350949687</v>
      </c>
    </row>
    <row r="577" spans="2:13" x14ac:dyDescent="0.3">
      <c r="B577" s="296" t="s">
        <v>5</v>
      </c>
      <c r="C577" s="13" t="s">
        <v>0</v>
      </c>
      <c r="D577" s="89">
        <v>15.895994775179945</v>
      </c>
      <c r="E577" s="84">
        <v>23.110101077863707</v>
      </c>
      <c r="F577" s="89">
        <v>32.124821469325774</v>
      </c>
      <c r="G577" s="84">
        <v>23.947332641576775</v>
      </c>
      <c r="H577" s="84">
        <v>4.921750036053659</v>
      </c>
      <c r="I577" s="146">
        <v>39.006095853043661</v>
      </c>
      <c r="J577" s="84">
        <v>32.124821469325774</v>
      </c>
      <c r="K577" s="142">
        <v>28.869082677630441</v>
      </c>
      <c r="L577" s="151">
        <v>2.7888874208546142</v>
      </c>
      <c r="M577" s="84">
        <v>44.722185521364985</v>
      </c>
    </row>
    <row r="578" spans="2:13" x14ac:dyDescent="0.3">
      <c r="B578" s="295"/>
      <c r="C578" s="12" t="s">
        <v>1</v>
      </c>
      <c r="D578" s="91">
        <v>16.684332908168813</v>
      </c>
      <c r="E578" s="90">
        <v>22.461191667326965</v>
      </c>
      <c r="F578" s="91">
        <v>32.383192586342219</v>
      </c>
      <c r="G578" s="90">
        <v>23.750852239146692</v>
      </c>
      <c r="H578" s="90">
        <v>4.7204305990145601</v>
      </c>
      <c r="I578" s="147">
        <v>39.145524575495791</v>
      </c>
      <c r="J578" s="90">
        <v>32.383192586342219</v>
      </c>
      <c r="K578" s="143">
        <v>28.471282838161255</v>
      </c>
      <c r="L578" s="152">
        <v>2.7736185595350968</v>
      </c>
      <c r="M578" s="90">
        <v>44.340463988377309</v>
      </c>
    </row>
    <row r="579" spans="2:13" x14ac:dyDescent="0.3">
      <c r="B579" s="296" t="s">
        <v>4</v>
      </c>
      <c r="C579" s="9" t="s">
        <v>175</v>
      </c>
      <c r="D579" s="88">
        <v>12.891010362685243</v>
      </c>
      <c r="E579" s="86">
        <v>16.16134234237143</v>
      </c>
      <c r="F579" s="88">
        <v>24.927787781008576</v>
      </c>
      <c r="G579" s="86">
        <v>36.06070897665424</v>
      </c>
      <c r="H579" s="86">
        <v>9.9591505372805749</v>
      </c>
      <c r="I579" s="145">
        <v>29.052352705056677</v>
      </c>
      <c r="J579" s="86">
        <v>24.927787781008576</v>
      </c>
      <c r="K579" s="141">
        <v>46.019859513934826</v>
      </c>
      <c r="L579" s="150">
        <v>3.1403564698347362</v>
      </c>
      <c r="M579" s="86">
        <v>53.50891174586841</v>
      </c>
    </row>
    <row r="580" spans="2:13" x14ac:dyDescent="0.3">
      <c r="B580" s="292"/>
      <c r="C580" s="9" t="s">
        <v>176</v>
      </c>
      <c r="D580" s="88">
        <v>12.622494612128438</v>
      </c>
      <c r="E580" s="86">
        <v>17.842686481836047</v>
      </c>
      <c r="F580" s="88">
        <v>32.2905799221436</v>
      </c>
      <c r="G580" s="86">
        <v>28.783075820168047</v>
      </c>
      <c r="H580" s="86">
        <v>8.4611631637238194</v>
      </c>
      <c r="I580" s="145">
        <v>30.465181093964492</v>
      </c>
      <c r="J580" s="86">
        <v>32.2905799221436</v>
      </c>
      <c r="K580" s="141">
        <v>37.244238983891861</v>
      </c>
      <c r="L580" s="150">
        <v>3.0261772644152258</v>
      </c>
      <c r="M580" s="86">
        <v>50.654431610380648</v>
      </c>
    </row>
    <row r="581" spans="2:13" x14ac:dyDescent="0.3">
      <c r="B581" s="292"/>
      <c r="C581" s="9" t="s">
        <v>177</v>
      </c>
      <c r="D581" s="88">
        <v>14.621708163850128</v>
      </c>
      <c r="E581" s="86">
        <v>18.555011709244617</v>
      </c>
      <c r="F581" s="88">
        <v>35.625331140452936</v>
      </c>
      <c r="G581" s="86">
        <v>24.829480365454607</v>
      </c>
      <c r="H581" s="86">
        <v>6.368468620997664</v>
      </c>
      <c r="I581" s="145">
        <v>33.176719873094704</v>
      </c>
      <c r="J581" s="86">
        <v>35.625331140452936</v>
      </c>
      <c r="K581" s="141">
        <v>31.197948986452257</v>
      </c>
      <c r="L581" s="150">
        <v>2.8976798957050551</v>
      </c>
      <c r="M581" s="86">
        <v>47.441997392626348</v>
      </c>
    </row>
    <row r="582" spans="2:13" x14ac:dyDescent="0.3">
      <c r="B582" s="292"/>
      <c r="C582" s="9" t="s">
        <v>178</v>
      </c>
      <c r="D582" s="88">
        <v>15.944113641671517</v>
      </c>
      <c r="E582" s="86">
        <v>21.523355960525933</v>
      </c>
      <c r="F582" s="88">
        <v>32.274736759749402</v>
      </c>
      <c r="G582" s="86">
        <v>26.112055366315911</v>
      </c>
      <c r="H582" s="86">
        <v>4.1457382717378701</v>
      </c>
      <c r="I582" s="145">
        <v>37.467469602197447</v>
      </c>
      <c r="J582" s="86">
        <v>32.274736759749402</v>
      </c>
      <c r="K582" s="141">
        <v>30.257793638053787</v>
      </c>
      <c r="L582" s="150">
        <v>2.8099194866592487</v>
      </c>
      <c r="M582" s="86">
        <v>45.247987166480854</v>
      </c>
    </row>
    <row r="583" spans="2:13" x14ac:dyDescent="0.3">
      <c r="B583" s="292"/>
      <c r="C583" s="9" t="s">
        <v>179</v>
      </c>
      <c r="D583" s="88">
        <v>17.35947222627971</v>
      </c>
      <c r="E583" s="86">
        <v>24.844277864902683</v>
      </c>
      <c r="F583" s="88">
        <v>33.453515758266015</v>
      </c>
      <c r="G583" s="86">
        <v>21.954970405354445</v>
      </c>
      <c r="H583" s="86">
        <v>2.3877637451969496</v>
      </c>
      <c r="I583" s="145">
        <v>42.203750091182393</v>
      </c>
      <c r="J583" s="86">
        <v>33.453515758266015</v>
      </c>
      <c r="K583" s="141">
        <v>24.342734150551397</v>
      </c>
      <c r="L583" s="150">
        <v>2.6716727557828648</v>
      </c>
      <c r="M583" s="86">
        <v>41.791818894571492</v>
      </c>
    </row>
    <row r="584" spans="2:13" x14ac:dyDescent="0.3">
      <c r="B584" s="298"/>
      <c r="C584" s="12" t="s">
        <v>180</v>
      </c>
      <c r="D584" s="91">
        <v>20.512050370672643</v>
      </c>
      <c r="E584" s="90">
        <v>30.836563748208011</v>
      </c>
      <c r="F584" s="91">
        <v>29.712587504923814</v>
      </c>
      <c r="G584" s="90">
        <v>16.083895897876239</v>
      </c>
      <c r="H584" s="90">
        <v>2.8549024783187478</v>
      </c>
      <c r="I584" s="147">
        <v>51.348614118880697</v>
      </c>
      <c r="J584" s="90">
        <v>29.712587504923814</v>
      </c>
      <c r="K584" s="143">
        <v>18.938798376194985</v>
      </c>
      <c r="L584" s="152">
        <v>2.4993303636495958</v>
      </c>
      <c r="M584" s="90">
        <v>37.483259091239852</v>
      </c>
    </row>
    <row r="585" spans="2:13" x14ac:dyDescent="0.3">
      <c r="B585" s="292" t="s">
        <v>223</v>
      </c>
      <c r="C585" s="9" t="s">
        <v>210</v>
      </c>
      <c r="D585" s="88">
        <v>16.069644561555453</v>
      </c>
      <c r="E585" s="86">
        <v>18.446861900453456</v>
      </c>
      <c r="F585" s="88">
        <v>24.972408073982162</v>
      </c>
      <c r="G585" s="86">
        <v>32.409574930182735</v>
      </c>
      <c r="H585" s="86">
        <v>8.1015105338261897</v>
      </c>
      <c r="I585" s="145">
        <v>34.516506462008905</v>
      </c>
      <c r="J585" s="86">
        <v>24.972408073982162</v>
      </c>
      <c r="K585" s="141">
        <v>40.511085464008929</v>
      </c>
      <c r="L585" s="150">
        <v>2.9802644497427071</v>
      </c>
      <c r="M585" s="86">
        <v>49.506611243567697</v>
      </c>
    </row>
    <row r="586" spans="2:13" x14ac:dyDescent="0.3">
      <c r="B586" s="292"/>
      <c r="C586" s="9" t="s">
        <v>211</v>
      </c>
      <c r="D586" s="88">
        <v>13.765033665714983</v>
      </c>
      <c r="E586" s="86">
        <v>19.910572167503368</v>
      </c>
      <c r="F586" s="88">
        <v>30.971215546348247</v>
      </c>
      <c r="G586" s="86">
        <v>27.355851097497435</v>
      </c>
      <c r="H586" s="86">
        <v>7.997327522935942</v>
      </c>
      <c r="I586" s="145">
        <v>33.675605833218363</v>
      </c>
      <c r="J586" s="86">
        <v>30.971215546348247</v>
      </c>
      <c r="K586" s="141">
        <v>35.35317862043339</v>
      </c>
      <c r="L586" s="150">
        <v>2.9590986664443601</v>
      </c>
      <c r="M586" s="86">
        <v>48.977466661108984</v>
      </c>
    </row>
    <row r="587" spans="2:13" x14ac:dyDescent="0.3">
      <c r="B587" s="292"/>
      <c r="C587" s="9" t="s">
        <v>212</v>
      </c>
      <c r="D587" s="88">
        <v>15.344098701174728</v>
      </c>
      <c r="E587" s="86">
        <v>15.343942132061535</v>
      </c>
      <c r="F587" s="88">
        <v>34.403639971290573</v>
      </c>
      <c r="G587" s="86">
        <v>27.289416698848068</v>
      </c>
      <c r="H587" s="86">
        <v>7.6189024966252505</v>
      </c>
      <c r="I587" s="145">
        <v>30.688040833236268</v>
      </c>
      <c r="J587" s="86">
        <v>34.403639971290573</v>
      </c>
      <c r="K587" s="141">
        <v>34.908319195473297</v>
      </c>
      <c r="L587" s="150">
        <v>2.9649508215768781</v>
      </c>
      <c r="M587" s="86">
        <v>49.123770539421976</v>
      </c>
    </row>
    <row r="588" spans="2:13" x14ac:dyDescent="0.3">
      <c r="B588" s="292"/>
      <c r="C588" s="9" t="s">
        <v>213</v>
      </c>
      <c r="D588" s="88">
        <v>13.785721901149239</v>
      </c>
      <c r="E588" s="86">
        <v>20.63598774662443</v>
      </c>
      <c r="F588" s="88">
        <v>32.819959075030816</v>
      </c>
      <c r="G588" s="86">
        <v>28.478404262758527</v>
      </c>
      <c r="H588" s="86">
        <v>4.2799270144369608</v>
      </c>
      <c r="I588" s="145">
        <v>34.421709647773682</v>
      </c>
      <c r="J588" s="86">
        <v>32.819959075030816</v>
      </c>
      <c r="K588" s="141">
        <v>32.758331277195488</v>
      </c>
      <c r="L588" s="150">
        <v>2.8883082674270897</v>
      </c>
      <c r="M588" s="86">
        <v>47.207706685677358</v>
      </c>
    </row>
    <row r="589" spans="2:13" x14ac:dyDescent="0.3">
      <c r="B589" s="292"/>
      <c r="C589" s="9" t="s">
        <v>214</v>
      </c>
      <c r="D589" s="88">
        <v>15.581345870340293</v>
      </c>
      <c r="E589" s="86">
        <v>25.352740397330255</v>
      </c>
      <c r="F589" s="88">
        <v>35.268530792729166</v>
      </c>
      <c r="G589" s="86">
        <v>21.35457610877787</v>
      </c>
      <c r="H589" s="86">
        <v>2.4428068308226139</v>
      </c>
      <c r="I589" s="145">
        <v>40.934086267670494</v>
      </c>
      <c r="J589" s="86">
        <v>35.268530792729166</v>
      </c>
      <c r="K589" s="141">
        <v>23.797382939600485</v>
      </c>
      <c r="L589" s="150">
        <v>2.6972475763241235</v>
      </c>
      <c r="M589" s="86">
        <v>42.431189408103144</v>
      </c>
    </row>
    <row r="590" spans="2:13" x14ac:dyDescent="0.3">
      <c r="B590" s="292"/>
      <c r="C590" s="12" t="s">
        <v>215</v>
      </c>
      <c r="D590" s="91">
        <v>20.688568484096965</v>
      </c>
      <c r="E590" s="90">
        <v>33.932314308859333</v>
      </c>
      <c r="F590" s="91">
        <v>28.452964095273309</v>
      </c>
      <c r="G590" s="90">
        <v>14.254158052365437</v>
      </c>
      <c r="H590" s="90">
        <v>2.6719950594049551</v>
      </c>
      <c r="I590" s="147">
        <v>54.620882792956301</v>
      </c>
      <c r="J590" s="90">
        <v>28.452964095273309</v>
      </c>
      <c r="K590" s="143">
        <v>16.92615311177039</v>
      </c>
      <c r="L590" s="152">
        <v>2.4428869689412203</v>
      </c>
      <c r="M590" s="90">
        <v>36.07217422353056</v>
      </c>
    </row>
    <row r="591" spans="2:13" x14ac:dyDescent="0.3">
      <c r="B591" s="292"/>
      <c r="C591" s="9" t="s">
        <v>216</v>
      </c>
      <c r="D591" s="88">
        <v>9.5113519011100163</v>
      </c>
      <c r="E591" s="86">
        <v>13.731281180784134</v>
      </c>
      <c r="F591" s="88">
        <v>24.8803455963244</v>
      </c>
      <c r="G591" s="86">
        <v>39.942749281540053</v>
      </c>
      <c r="H591" s="86">
        <v>11.934272040241394</v>
      </c>
      <c r="I591" s="145">
        <v>23.242633081894144</v>
      </c>
      <c r="J591" s="86">
        <v>24.8803455963244</v>
      </c>
      <c r="K591" s="141">
        <v>51.877021321781427</v>
      </c>
      <c r="L591" s="150">
        <v>3.3105730837901857</v>
      </c>
      <c r="M591" s="86">
        <v>57.764327094754691</v>
      </c>
    </row>
    <row r="592" spans="2:13" x14ac:dyDescent="0.3">
      <c r="B592" s="292"/>
      <c r="C592" s="9" t="s">
        <v>217</v>
      </c>
      <c r="D592" s="88">
        <v>11.377307247335047</v>
      </c>
      <c r="E592" s="86">
        <v>15.589017235653868</v>
      </c>
      <c r="F592" s="88">
        <v>33.728478998890154</v>
      </c>
      <c r="G592" s="86">
        <v>30.338525663052295</v>
      </c>
      <c r="H592" s="86">
        <v>8.96667085506874</v>
      </c>
      <c r="I592" s="145">
        <v>26.966324482988892</v>
      </c>
      <c r="J592" s="86">
        <v>33.728478998890154</v>
      </c>
      <c r="K592" s="141">
        <v>39.305196518121015</v>
      </c>
      <c r="L592" s="150">
        <v>3.0992823564286596</v>
      </c>
      <c r="M592" s="86">
        <v>52.482058910716439</v>
      </c>
    </row>
    <row r="593" spans="2:13" x14ac:dyDescent="0.3">
      <c r="B593" s="292"/>
      <c r="C593" s="9" t="s">
        <v>218</v>
      </c>
      <c r="D593" s="88">
        <v>13.835525360044922</v>
      </c>
      <c r="E593" s="86">
        <v>22.049641764550849</v>
      </c>
      <c r="F593" s="88">
        <v>36.954906403596993</v>
      </c>
      <c r="G593" s="86">
        <v>22.152314007583993</v>
      </c>
      <c r="H593" s="86">
        <v>5.0076124642230626</v>
      </c>
      <c r="I593" s="145">
        <v>35.88516712459576</v>
      </c>
      <c r="J593" s="86">
        <v>36.954906403596993</v>
      </c>
      <c r="K593" s="141">
        <v>27.159926471807054</v>
      </c>
      <c r="L593" s="150">
        <v>2.8244684645138904</v>
      </c>
      <c r="M593" s="86">
        <v>45.611711612847294</v>
      </c>
    </row>
    <row r="594" spans="2:13" x14ac:dyDescent="0.3">
      <c r="B594" s="292"/>
      <c r="C594" s="9" t="s">
        <v>219</v>
      </c>
      <c r="D594" s="88">
        <v>18.17651803239886</v>
      </c>
      <c r="E594" s="86">
        <v>22.441152604996866</v>
      </c>
      <c r="F594" s="88">
        <v>31.710818418279402</v>
      </c>
      <c r="G594" s="86">
        <v>23.664562834151948</v>
      </c>
      <c r="H594" s="86">
        <v>4.0069481101728037</v>
      </c>
      <c r="I594" s="145">
        <v>40.617670637395697</v>
      </c>
      <c r="J594" s="86">
        <v>31.710818418279402</v>
      </c>
      <c r="K594" s="141">
        <v>27.671510944324741</v>
      </c>
      <c r="L594" s="150">
        <v>2.728842703847024</v>
      </c>
      <c r="M594" s="86">
        <v>43.221067596175637</v>
      </c>
    </row>
    <row r="595" spans="2:13" x14ac:dyDescent="0.3">
      <c r="B595" s="292"/>
      <c r="C595" s="9" t="s">
        <v>220</v>
      </c>
      <c r="D595" s="88">
        <v>19.169655583574428</v>
      </c>
      <c r="E595" s="86">
        <v>24.326648501312469</v>
      </c>
      <c r="F595" s="88">
        <v>31.605778673862595</v>
      </c>
      <c r="G595" s="86">
        <v>22.566188927507014</v>
      </c>
      <c r="H595" s="86">
        <v>2.3317283137435618</v>
      </c>
      <c r="I595" s="145">
        <v>43.496304084886802</v>
      </c>
      <c r="J595" s="86">
        <v>31.605778673862595</v>
      </c>
      <c r="K595" s="141">
        <v>24.897917241250571</v>
      </c>
      <c r="L595" s="150">
        <v>2.6456368588653323</v>
      </c>
      <c r="M595" s="86">
        <v>41.140921471633206</v>
      </c>
    </row>
    <row r="596" spans="2:13" x14ac:dyDescent="0.3">
      <c r="B596" s="295"/>
      <c r="C596" s="9" t="s">
        <v>221</v>
      </c>
      <c r="D596" s="88">
        <v>20.340817154756319</v>
      </c>
      <c r="E596" s="86">
        <v>27.833498998125215</v>
      </c>
      <c r="F596" s="88">
        <v>30.934498180797558</v>
      </c>
      <c r="G596" s="86">
        <v>17.858851960418658</v>
      </c>
      <c r="H596" s="86">
        <v>3.0323337059022872</v>
      </c>
      <c r="I596" s="145">
        <v>48.174316152881538</v>
      </c>
      <c r="J596" s="86">
        <v>30.934498180797558</v>
      </c>
      <c r="K596" s="141">
        <v>20.891185666320951</v>
      </c>
      <c r="L596" s="150">
        <v>2.5540838606458585</v>
      </c>
      <c r="M596" s="86">
        <v>38.852096516146347</v>
      </c>
    </row>
    <row r="597" spans="2:13" ht="16.5" customHeight="1" x14ac:dyDescent="0.3">
      <c r="B597" s="291" t="s">
        <v>222</v>
      </c>
      <c r="C597" s="13" t="s">
        <v>226</v>
      </c>
      <c r="D597" s="89">
        <v>18.105482266308563</v>
      </c>
      <c r="E597" s="84">
        <v>21.269225662187054</v>
      </c>
      <c r="F597" s="89">
        <v>34.234285171449464</v>
      </c>
      <c r="G597" s="84">
        <v>20.632178474592958</v>
      </c>
      <c r="H597" s="84">
        <v>5.7588284254616893</v>
      </c>
      <c r="I597" s="146">
        <v>39.374707928495617</v>
      </c>
      <c r="J597" s="84">
        <v>34.234285171449464</v>
      </c>
      <c r="K597" s="142">
        <v>26.391006900054649</v>
      </c>
      <c r="L597" s="151">
        <v>2.7466964513071188</v>
      </c>
      <c r="M597" s="84">
        <v>43.66741128267789</v>
      </c>
    </row>
    <row r="598" spans="2:13" x14ac:dyDescent="0.3">
      <c r="B598" s="294"/>
      <c r="C598" s="9" t="s">
        <v>227</v>
      </c>
      <c r="D598" s="88">
        <v>16.239230694593733</v>
      </c>
      <c r="E598" s="86">
        <v>23.77959947866697</v>
      </c>
      <c r="F598" s="88">
        <v>30.774085726210505</v>
      </c>
      <c r="G598" s="86">
        <v>25.439997201713222</v>
      </c>
      <c r="H598" s="86">
        <v>3.7670868988154851</v>
      </c>
      <c r="I598" s="145">
        <v>40.018830173260724</v>
      </c>
      <c r="J598" s="86">
        <v>30.774085726210505</v>
      </c>
      <c r="K598" s="141">
        <v>29.207084100528707</v>
      </c>
      <c r="L598" s="150">
        <v>2.7671611013148993</v>
      </c>
      <c r="M598" s="86">
        <v>44.179027532872325</v>
      </c>
    </row>
    <row r="599" spans="2:13" x14ac:dyDescent="0.3">
      <c r="B599" s="292"/>
      <c r="C599" s="9" t="s">
        <v>228</v>
      </c>
      <c r="D599" s="88">
        <v>14.212234065310071</v>
      </c>
      <c r="E599" s="86">
        <v>24.772437175330754</v>
      </c>
      <c r="F599" s="88">
        <v>30.546457232849793</v>
      </c>
      <c r="G599" s="86">
        <v>25.440199907695117</v>
      </c>
      <c r="H599" s="86">
        <v>5.0286716188143226</v>
      </c>
      <c r="I599" s="145">
        <v>38.984671240640822</v>
      </c>
      <c r="J599" s="86">
        <v>30.546457232849793</v>
      </c>
      <c r="K599" s="141">
        <v>30.468871526509432</v>
      </c>
      <c r="L599" s="150">
        <v>2.823006378393734</v>
      </c>
      <c r="M599" s="86">
        <v>45.575159459843235</v>
      </c>
    </row>
    <row r="600" spans="2:13" x14ac:dyDescent="0.3">
      <c r="B600" s="295"/>
      <c r="C600" s="12" t="s">
        <v>229</v>
      </c>
      <c r="D600" s="91">
        <v>15.940126882223659</v>
      </c>
      <c r="E600" s="90">
        <v>21.614465545976021</v>
      </c>
      <c r="F600" s="91">
        <v>33.262806610123832</v>
      </c>
      <c r="G600" s="90">
        <v>24.30499018972144</v>
      </c>
      <c r="H600" s="90">
        <v>4.8776107719550685</v>
      </c>
      <c r="I600" s="147">
        <v>37.554592428199719</v>
      </c>
      <c r="J600" s="90">
        <v>33.262806610123832</v>
      </c>
      <c r="K600" s="143">
        <v>29.182600961676506</v>
      </c>
      <c r="L600" s="152">
        <v>2.8056549242320901</v>
      </c>
      <c r="M600" s="90">
        <v>45.141373105802003</v>
      </c>
    </row>
    <row r="601" spans="2:13" x14ac:dyDescent="0.3">
      <c r="B601" s="296" t="s">
        <v>199</v>
      </c>
      <c r="C601" s="13" t="s">
        <v>192</v>
      </c>
      <c r="D601" s="89">
        <v>14.554064433380292</v>
      </c>
      <c r="E601" s="84">
        <v>21.69272661068284</v>
      </c>
      <c r="F601" s="89">
        <v>33.071648730279314</v>
      </c>
      <c r="G601" s="84">
        <v>25.162235301640901</v>
      </c>
      <c r="H601" s="84">
        <v>5.5193249240159057</v>
      </c>
      <c r="I601" s="146">
        <v>36.246791044063102</v>
      </c>
      <c r="J601" s="84">
        <v>33.071648730279314</v>
      </c>
      <c r="K601" s="142">
        <v>30.681560225656789</v>
      </c>
      <c r="L601" s="151">
        <v>2.8540002967222904</v>
      </c>
      <c r="M601" s="84">
        <v>46.350007418056762</v>
      </c>
    </row>
    <row r="602" spans="2:13" ht="16.5" customHeight="1" x14ac:dyDescent="0.3">
      <c r="B602" s="292"/>
      <c r="C602" s="9" t="s">
        <v>200</v>
      </c>
      <c r="D602" s="88">
        <v>15.125359545845797</v>
      </c>
      <c r="E602" s="86">
        <v>22.751911096019594</v>
      </c>
      <c r="F602" s="88">
        <v>31.976116295609113</v>
      </c>
      <c r="G602" s="86">
        <v>25.817985339608462</v>
      </c>
      <c r="H602" s="86">
        <v>4.3286277229171439</v>
      </c>
      <c r="I602" s="145">
        <v>37.877270641865387</v>
      </c>
      <c r="J602" s="86">
        <v>31.976116295609113</v>
      </c>
      <c r="K602" s="141">
        <v>30.146613062525603</v>
      </c>
      <c r="L602" s="150">
        <v>2.814726105977317</v>
      </c>
      <c r="M602" s="86">
        <v>45.368152649432915</v>
      </c>
    </row>
    <row r="603" spans="2:13" x14ac:dyDescent="0.3">
      <c r="B603" s="292"/>
      <c r="C603" s="9" t="s">
        <v>201</v>
      </c>
      <c r="D603" s="88">
        <v>22.00917535258295</v>
      </c>
      <c r="E603" s="86">
        <v>20.767276363790398</v>
      </c>
      <c r="F603" s="88">
        <v>30.023952270670755</v>
      </c>
      <c r="G603" s="86">
        <v>21.945873857255325</v>
      </c>
      <c r="H603" s="86">
        <v>5.2537221557006122</v>
      </c>
      <c r="I603" s="145">
        <v>42.776451716373323</v>
      </c>
      <c r="J603" s="86">
        <v>30.023952270670755</v>
      </c>
      <c r="K603" s="141">
        <v>27.199596012955929</v>
      </c>
      <c r="L603" s="150">
        <v>2.6766769109970068</v>
      </c>
      <c r="M603" s="86">
        <v>41.916922774925055</v>
      </c>
    </row>
    <row r="604" spans="2:13" x14ac:dyDescent="0.3">
      <c r="B604" s="292"/>
      <c r="C604" s="9" t="s">
        <v>202</v>
      </c>
      <c r="D604" s="88">
        <v>15.714107030638806</v>
      </c>
      <c r="E604" s="86">
        <v>26.351919998065938</v>
      </c>
      <c r="F604" s="88">
        <v>31.130198470620442</v>
      </c>
      <c r="G604" s="86">
        <v>23.385089709963012</v>
      </c>
      <c r="H604" s="86">
        <v>3.4186847907118088</v>
      </c>
      <c r="I604" s="145">
        <v>42.066027028704731</v>
      </c>
      <c r="J604" s="86">
        <v>31.130198470620442</v>
      </c>
      <c r="K604" s="141">
        <v>26.803774500674809</v>
      </c>
      <c r="L604" s="150">
        <v>2.7244232523204324</v>
      </c>
      <c r="M604" s="86">
        <v>43.110581308010808</v>
      </c>
    </row>
    <row r="605" spans="2:13" x14ac:dyDescent="0.3">
      <c r="B605" s="295"/>
      <c r="C605" s="12" t="s">
        <v>203</v>
      </c>
      <c r="D605" s="91">
        <v>17.901996356768844</v>
      </c>
      <c r="E605" s="90">
        <v>24.703904244794476</v>
      </c>
      <c r="F605" s="91">
        <v>31.946617417206209</v>
      </c>
      <c r="G605" s="90">
        <v>21.696915932740492</v>
      </c>
      <c r="H605" s="90">
        <v>3.7505660484899388</v>
      </c>
      <c r="I605" s="147">
        <v>42.605900601563341</v>
      </c>
      <c r="J605" s="90">
        <v>31.946617417206209</v>
      </c>
      <c r="K605" s="143">
        <v>25.447481981230428</v>
      </c>
      <c r="L605" s="152">
        <v>2.6869015107138821</v>
      </c>
      <c r="M605" s="90">
        <v>42.172537767846997</v>
      </c>
    </row>
    <row r="606" spans="2:13" x14ac:dyDescent="0.3">
      <c r="B606" s="291" t="s">
        <v>204</v>
      </c>
      <c r="C606" s="13" t="s">
        <v>192</v>
      </c>
      <c r="D606" s="89">
        <v>14.554064433380292</v>
      </c>
      <c r="E606" s="84">
        <v>21.69272661068284</v>
      </c>
      <c r="F606" s="89">
        <v>33.071648730279314</v>
      </c>
      <c r="G606" s="84">
        <v>25.162235301640901</v>
      </c>
      <c r="H606" s="84">
        <v>5.5193249240159057</v>
      </c>
      <c r="I606" s="146">
        <v>36.246791044063102</v>
      </c>
      <c r="J606" s="84">
        <v>33.071648730279314</v>
      </c>
      <c r="K606" s="142">
        <v>30.681560225656789</v>
      </c>
      <c r="L606" s="151">
        <v>2.8540002967222904</v>
      </c>
      <c r="M606" s="84">
        <v>46.350007418056762</v>
      </c>
    </row>
    <row r="607" spans="2:13" x14ac:dyDescent="0.3">
      <c r="B607" s="295"/>
      <c r="C607" s="12" t="s">
        <v>193</v>
      </c>
      <c r="D607" s="91">
        <v>18.151922323643948</v>
      </c>
      <c r="E607" s="90">
        <v>23.97882488189968</v>
      </c>
      <c r="F607" s="91">
        <v>31.365553879418641</v>
      </c>
      <c r="G607" s="90">
        <v>22.43351935085219</v>
      </c>
      <c r="H607" s="90">
        <v>4.0701795641854517</v>
      </c>
      <c r="I607" s="147">
        <v>42.130747205543663</v>
      </c>
      <c r="J607" s="90">
        <v>31.365553879418641</v>
      </c>
      <c r="K607" s="143">
        <v>26.503698915037642</v>
      </c>
      <c r="L607" s="152">
        <v>2.7029120895003524</v>
      </c>
      <c r="M607" s="90">
        <v>42.572802237508803</v>
      </c>
    </row>
    <row r="608" spans="2:13" x14ac:dyDescent="0.3">
      <c r="B608" s="291" t="s">
        <v>209</v>
      </c>
      <c r="C608" s="13" t="s">
        <v>205</v>
      </c>
      <c r="D608" s="89">
        <v>18.286533024945093</v>
      </c>
      <c r="E608" s="84">
        <v>17.663044639906509</v>
      </c>
      <c r="F608" s="89">
        <v>33.890841432613797</v>
      </c>
      <c r="G608" s="84">
        <v>23.700907562641387</v>
      </c>
      <c r="H608" s="84">
        <v>6.4586733398931981</v>
      </c>
      <c r="I608" s="146">
        <v>35.949577664851581</v>
      </c>
      <c r="J608" s="84">
        <v>33.890841432613797</v>
      </c>
      <c r="K608" s="142">
        <v>30.159580902534579</v>
      </c>
      <c r="L608" s="151">
        <v>2.8238214355263116</v>
      </c>
      <c r="M608" s="84">
        <v>45.595535888157798</v>
      </c>
    </row>
    <row r="609" spans="2:13" x14ac:dyDescent="0.3">
      <c r="B609" s="292"/>
      <c r="C609" s="9" t="s">
        <v>206</v>
      </c>
      <c r="D609" s="88">
        <v>21.81373382980518</v>
      </c>
      <c r="E609" s="86">
        <v>27.655558831760974</v>
      </c>
      <c r="F609" s="88">
        <v>28.866802661546792</v>
      </c>
      <c r="G609" s="86">
        <v>18.226272473128965</v>
      </c>
      <c r="H609" s="86">
        <v>3.4376322037580267</v>
      </c>
      <c r="I609" s="145">
        <v>49.469292661566158</v>
      </c>
      <c r="J609" s="86">
        <v>28.866802661546792</v>
      </c>
      <c r="K609" s="141">
        <v>21.663904676886986</v>
      </c>
      <c r="L609" s="150">
        <v>2.5381851038927357</v>
      </c>
      <c r="M609" s="86">
        <v>38.454627597318421</v>
      </c>
    </row>
    <row r="610" spans="2:13" x14ac:dyDescent="0.3">
      <c r="B610" s="292"/>
      <c r="C610" s="9" t="s">
        <v>207</v>
      </c>
      <c r="D610" s="88">
        <v>16.253366734095394</v>
      </c>
      <c r="E610" s="86">
        <v>23.162623024386615</v>
      </c>
      <c r="F610" s="88">
        <v>32.131600947449655</v>
      </c>
      <c r="G610" s="86">
        <v>24.312245285981408</v>
      </c>
      <c r="H610" s="86">
        <v>4.1401640080867459</v>
      </c>
      <c r="I610" s="145">
        <v>39.41598975848202</v>
      </c>
      <c r="J610" s="86">
        <v>32.131600947449655</v>
      </c>
      <c r="K610" s="141">
        <v>28.452409294068165</v>
      </c>
      <c r="L610" s="150">
        <v>2.7692321680957726</v>
      </c>
      <c r="M610" s="86">
        <v>44.230804202394204</v>
      </c>
    </row>
    <row r="611" spans="2:13" x14ac:dyDescent="0.3">
      <c r="B611" s="293"/>
      <c r="C611" s="25" t="s">
        <v>208</v>
      </c>
      <c r="D611" s="95">
        <v>11.592700363134837</v>
      </c>
      <c r="E611" s="87">
        <v>21.457441577810751</v>
      </c>
      <c r="F611" s="95">
        <v>33.935452635777445</v>
      </c>
      <c r="G611" s="87">
        <v>27.329473618860405</v>
      </c>
      <c r="H611" s="87">
        <v>5.6849318044162951</v>
      </c>
      <c r="I611" s="148">
        <v>33.050141940945601</v>
      </c>
      <c r="J611" s="87">
        <v>33.935452635777445</v>
      </c>
      <c r="K611" s="144">
        <v>33.014405423276699</v>
      </c>
      <c r="L611" s="153">
        <v>2.9405649492361241</v>
      </c>
      <c r="M611" s="87">
        <v>48.514123730902945</v>
      </c>
    </row>
    <row r="612" spans="2:13" x14ac:dyDescent="0.3">
      <c r="B612" s="60"/>
      <c r="C612" s="9"/>
      <c r="D612" s="46"/>
      <c r="E612" s="46"/>
      <c r="F612" s="46"/>
      <c r="G612" s="46"/>
      <c r="H612" s="46"/>
      <c r="I612" s="46"/>
      <c r="J612" s="46"/>
      <c r="K612" s="46"/>
      <c r="L612" s="46"/>
      <c r="M612" s="46"/>
    </row>
    <row r="613" spans="2:13" x14ac:dyDescent="0.3">
      <c r="B613" s="60"/>
      <c r="C613" s="9"/>
      <c r="D613" s="46"/>
      <c r="E613" s="46"/>
      <c r="F613" s="46"/>
      <c r="G613" s="46"/>
      <c r="H613" s="46"/>
      <c r="I613" s="46"/>
      <c r="J613" s="46"/>
      <c r="K613" s="46"/>
      <c r="L613" s="46"/>
      <c r="M613" s="46"/>
    </row>
    <row r="614" spans="2:13" x14ac:dyDescent="0.3">
      <c r="B614" s="66" t="s">
        <v>171</v>
      </c>
    </row>
    <row r="615" spans="2:13" x14ac:dyDescent="0.3">
      <c r="H615" s="30"/>
      <c r="I615" s="30"/>
      <c r="J615" s="30"/>
      <c r="K615" s="30"/>
      <c r="M615" s="30" t="s">
        <v>169</v>
      </c>
    </row>
    <row r="616" spans="2:13" ht="18" customHeight="1" x14ac:dyDescent="0.3">
      <c r="B616" s="287"/>
      <c r="C616" s="287"/>
      <c r="D616" s="202"/>
      <c r="E616" s="202"/>
      <c r="F616" s="202"/>
      <c r="G616" s="202"/>
      <c r="H616" s="202"/>
      <c r="I616" s="310" t="s">
        <v>161</v>
      </c>
      <c r="J616" s="311"/>
      <c r="K616" s="312"/>
      <c r="L616" s="311" t="s">
        <v>170</v>
      </c>
      <c r="M616" s="311" t="s">
        <v>390</v>
      </c>
    </row>
    <row r="617" spans="2:13" ht="27" x14ac:dyDescent="0.3">
      <c r="B617" s="287"/>
      <c r="C617" s="287"/>
      <c r="D617" s="202" t="s">
        <v>162</v>
      </c>
      <c r="E617" s="202" t="s">
        <v>163</v>
      </c>
      <c r="F617" s="202" t="s">
        <v>164</v>
      </c>
      <c r="G617" s="202" t="s">
        <v>165</v>
      </c>
      <c r="H617" s="202" t="s">
        <v>166</v>
      </c>
      <c r="I617" s="233" t="s">
        <v>391</v>
      </c>
      <c r="J617" s="202" t="s">
        <v>167</v>
      </c>
      <c r="K617" s="234" t="s">
        <v>168</v>
      </c>
      <c r="L617" s="311"/>
      <c r="M617" s="311"/>
    </row>
    <row r="618" spans="2:13" x14ac:dyDescent="0.3">
      <c r="B618" s="292" t="s">
        <v>20</v>
      </c>
      <c r="C618" s="292"/>
      <c r="D618" s="88">
        <v>9.2702294963977483</v>
      </c>
      <c r="E618" s="86">
        <v>15.663313382799879</v>
      </c>
      <c r="F618" s="88">
        <v>41.493911142022029</v>
      </c>
      <c r="G618" s="86">
        <v>27.97461317018789</v>
      </c>
      <c r="H618" s="86">
        <v>5.5979328085924003</v>
      </c>
      <c r="I618" s="145">
        <v>24.93354287919767</v>
      </c>
      <c r="J618" s="86">
        <v>41.493911142022029</v>
      </c>
      <c r="K618" s="141">
        <v>33.572545978780347</v>
      </c>
      <c r="L618" s="150">
        <v>3.0496670641177701</v>
      </c>
      <c r="M618" s="86">
        <v>51.241676602944146</v>
      </c>
    </row>
    <row r="619" spans="2:13" x14ac:dyDescent="0.3">
      <c r="B619" s="296" t="s">
        <v>5</v>
      </c>
      <c r="C619" s="13" t="s">
        <v>0</v>
      </c>
      <c r="D619" s="89">
        <v>8.9749547397527003</v>
      </c>
      <c r="E619" s="84">
        <v>16.784213581516457</v>
      </c>
      <c r="F619" s="89">
        <v>41.215325887807822</v>
      </c>
      <c r="G619" s="84">
        <v>27.256028568423936</v>
      </c>
      <c r="H619" s="84">
        <v>5.7694772224989777</v>
      </c>
      <c r="I619" s="146">
        <v>25.759168321269144</v>
      </c>
      <c r="J619" s="84">
        <v>41.215325887807822</v>
      </c>
      <c r="K619" s="142">
        <v>33.025505790922907</v>
      </c>
      <c r="L619" s="151">
        <v>3.0406085995240133</v>
      </c>
      <c r="M619" s="84">
        <v>51.015214988099842</v>
      </c>
    </row>
    <row r="620" spans="2:13" x14ac:dyDescent="0.3">
      <c r="B620" s="295"/>
      <c r="C620" s="12" t="s">
        <v>1</v>
      </c>
      <c r="D620" s="91">
        <v>9.5761785507817354</v>
      </c>
      <c r="E620" s="90">
        <v>14.501892204258432</v>
      </c>
      <c r="F620" s="91">
        <v>41.782567361945809</v>
      </c>
      <c r="G620" s="90">
        <v>28.71917488586752</v>
      </c>
      <c r="H620" s="90">
        <v>5.4201869971457501</v>
      </c>
      <c r="I620" s="147">
        <v>24.078070755040187</v>
      </c>
      <c r="J620" s="90">
        <v>41.782567361945809</v>
      </c>
      <c r="K620" s="143">
        <v>34.139361883013244</v>
      </c>
      <c r="L620" s="152">
        <v>3.0590529957433557</v>
      </c>
      <c r="M620" s="90">
        <v>51.476324893583744</v>
      </c>
    </row>
    <row r="621" spans="2:13" x14ac:dyDescent="0.3">
      <c r="B621" s="296" t="s">
        <v>4</v>
      </c>
      <c r="C621" s="9" t="s">
        <v>175</v>
      </c>
      <c r="D621" s="88">
        <v>8.4537883593032692</v>
      </c>
      <c r="E621" s="86">
        <v>6.7114109112361566</v>
      </c>
      <c r="F621" s="88">
        <v>33.221472225085463</v>
      </c>
      <c r="G621" s="86">
        <v>42.035116522139901</v>
      </c>
      <c r="H621" s="86">
        <v>9.5782119822352829</v>
      </c>
      <c r="I621" s="145">
        <v>15.165199270539423</v>
      </c>
      <c r="J621" s="86">
        <v>33.221472225085463</v>
      </c>
      <c r="K621" s="141">
        <v>51.61332850437519</v>
      </c>
      <c r="L621" s="150">
        <v>3.3757255285676804</v>
      </c>
      <c r="M621" s="86">
        <v>59.393138214191985</v>
      </c>
    </row>
    <row r="622" spans="2:13" x14ac:dyDescent="0.3">
      <c r="B622" s="292"/>
      <c r="C622" s="9" t="s">
        <v>176</v>
      </c>
      <c r="D622" s="88">
        <v>8.9094741489904425</v>
      </c>
      <c r="E622" s="86">
        <v>8.6947175835630759</v>
      </c>
      <c r="F622" s="88">
        <v>38.925316030053786</v>
      </c>
      <c r="G622" s="86">
        <v>33.989159173174436</v>
      </c>
      <c r="H622" s="86">
        <v>9.4813330642182176</v>
      </c>
      <c r="I622" s="145">
        <v>17.604191732553513</v>
      </c>
      <c r="J622" s="86">
        <v>38.925316030053786</v>
      </c>
      <c r="K622" s="141">
        <v>43.470492237392641</v>
      </c>
      <c r="L622" s="150">
        <v>3.2643815942006671</v>
      </c>
      <c r="M622" s="86">
        <v>56.609539855016699</v>
      </c>
    </row>
    <row r="623" spans="2:13" x14ac:dyDescent="0.3">
      <c r="B623" s="292"/>
      <c r="C623" s="9" t="s">
        <v>177</v>
      </c>
      <c r="D623" s="88">
        <v>7.9459020847546524</v>
      </c>
      <c r="E623" s="86">
        <v>12.465236104426937</v>
      </c>
      <c r="F623" s="88">
        <v>41.079241858865188</v>
      </c>
      <c r="G623" s="86">
        <v>31.325289520641387</v>
      </c>
      <c r="H623" s="86">
        <v>7.1843304313117677</v>
      </c>
      <c r="I623" s="145">
        <v>20.411138189181589</v>
      </c>
      <c r="J623" s="86">
        <v>41.079241858865188</v>
      </c>
      <c r="K623" s="141">
        <v>38.509619951953169</v>
      </c>
      <c r="L623" s="150">
        <v>3.173369101093289</v>
      </c>
      <c r="M623" s="86">
        <v>54.334227527332217</v>
      </c>
    </row>
    <row r="624" spans="2:13" x14ac:dyDescent="0.3">
      <c r="B624" s="292"/>
      <c r="C624" s="9" t="s">
        <v>178</v>
      </c>
      <c r="D624" s="88">
        <v>8.6957266247397804</v>
      </c>
      <c r="E624" s="86">
        <v>14.530551720239151</v>
      </c>
      <c r="F624" s="88">
        <v>42.762872903336977</v>
      </c>
      <c r="G624" s="86">
        <v>28.463551792069463</v>
      </c>
      <c r="H624" s="86">
        <v>5.5472969596152808</v>
      </c>
      <c r="I624" s="145">
        <v>23.22627834497893</v>
      </c>
      <c r="J624" s="86">
        <v>42.762872903336977</v>
      </c>
      <c r="K624" s="141">
        <v>34.01084875168474</v>
      </c>
      <c r="L624" s="150">
        <v>3.0763614074158339</v>
      </c>
      <c r="M624" s="86">
        <v>51.909035185395417</v>
      </c>
    </row>
    <row r="625" spans="2:13" x14ac:dyDescent="0.3">
      <c r="B625" s="292"/>
      <c r="C625" s="9" t="s">
        <v>179</v>
      </c>
      <c r="D625" s="88">
        <v>9.3173003031430373</v>
      </c>
      <c r="E625" s="86">
        <v>19.091142668193022</v>
      </c>
      <c r="F625" s="88">
        <v>42.857136218883412</v>
      </c>
      <c r="G625" s="86">
        <v>25.416341696582322</v>
      </c>
      <c r="H625" s="86">
        <v>3.3180791131980349</v>
      </c>
      <c r="I625" s="145">
        <v>28.408442971336058</v>
      </c>
      <c r="J625" s="86">
        <v>42.857136218883412</v>
      </c>
      <c r="K625" s="141">
        <v>28.734420809780371</v>
      </c>
      <c r="L625" s="150">
        <v>2.9432675664849977</v>
      </c>
      <c r="M625" s="86">
        <v>48.581689162124711</v>
      </c>
    </row>
    <row r="626" spans="2:13" x14ac:dyDescent="0.3">
      <c r="B626" s="298"/>
      <c r="C626" s="12" t="s">
        <v>180</v>
      </c>
      <c r="D626" s="91">
        <v>11.405051758903948</v>
      </c>
      <c r="E626" s="90">
        <v>23.274541463336266</v>
      </c>
      <c r="F626" s="91">
        <v>43.018466238704427</v>
      </c>
      <c r="G626" s="90">
        <v>19.43157359210792</v>
      </c>
      <c r="H626" s="90">
        <v>2.8703669469469268</v>
      </c>
      <c r="I626" s="147">
        <v>34.679593222240221</v>
      </c>
      <c r="J626" s="90">
        <v>43.018466238704427</v>
      </c>
      <c r="K626" s="143">
        <v>22.301940539054847</v>
      </c>
      <c r="L626" s="152">
        <v>2.790876625048567</v>
      </c>
      <c r="M626" s="90">
        <v>44.771915626214202</v>
      </c>
    </row>
    <row r="627" spans="2:13" x14ac:dyDescent="0.3">
      <c r="B627" s="292" t="s">
        <v>223</v>
      </c>
      <c r="C627" s="9" t="s">
        <v>210</v>
      </c>
      <c r="D627" s="88">
        <v>12.852187346219726</v>
      </c>
      <c r="E627" s="86">
        <v>5.6619094753926245</v>
      </c>
      <c r="F627" s="88">
        <v>36.346736482173512</v>
      </c>
      <c r="G627" s="86">
        <v>35.402382612819352</v>
      </c>
      <c r="H627" s="86">
        <v>9.7367840833947934</v>
      </c>
      <c r="I627" s="145">
        <v>18.514096821612352</v>
      </c>
      <c r="J627" s="86">
        <v>36.346736482173512</v>
      </c>
      <c r="K627" s="141">
        <v>45.139166696214147</v>
      </c>
      <c r="L627" s="150">
        <v>3.2350966661177689</v>
      </c>
      <c r="M627" s="86">
        <v>55.87741665294422</v>
      </c>
    </row>
    <row r="628" spans="2:13" x14ac:dyDescent="0.3">
      <c r="B628" s="292"/>
      <c r="C628" s="9" t="s">
        <v>211</v>
      </c>
      <c r="D628" s="88">
        <v>10.589304166250759</v>
      </c>
      <c r="E628" s="86">
        <v>9.9275276155350838</v>
      </c>
      <c r="F628" s="88">
        <v>36.496273906130121</v>
      </c>
      <c r="G628" s="86">
        <v>34.113624127320428</v>
      </c>
      <c r="H628" s="86">
        <v>8.8732701847636086</v>
      </c>
      <c r="I628" s="145">
        <v>20.516831781785847</v>
      </c>
      <c r="J628" s="86">
        <v>36.496273906130121</v>
      </c>
      <c r="K628" s="141">
        <v>42.986894312084054</v>
      </c>
      <c r="L628" s="150">
        <v>3.2075402854881099</v>
      </c>
      <c r="M628" s="86">
        <v>55.188507137202762</v>
      </c>
    </row>
    <row r="629" spans="2:13" x14ac:dyDescent="0.3">
      <c r="B629" s="292"/>
      <c r="C629" s="9" t="s">
        <v>212</v>
      </c>
      <c r="D629" s="88">
        <v>8.1429627776064795</v>
      </c>
      <c r="E629" s="86">
        <v>13.018148411171424</v>
      </c>
      <c r="F629" s="88">
        <v>40.661560348055971</v>
      </c>
      <c r="G629" s="86">
        <v>30.433323396589394</v>
      </c>
      <c r="H629" s="86">
        <v>7.7440050665768618</v>
      </c>
      <c r="I629" s="145">
        <v>21.161111188777905</v>
      </c>
      <c r="J629" s="86">
        <v>40.661560348055971</v>
      </c>
      <c r="K629" s="141">
        <v>38.177328463166226</v>
      </c>
      <c r="L629" s="150">
        <v>3.1661725956335904</v>
      </c>
      <c r="M629" s="86">
        <v>54.154314890839771</v>
      </c>
    </row>
    <row r="630" spans="2:13" x14ac:dyDescent="0.3">
      <c r="B630" s="292"/>
      <c r="C630" s="9" t="s">
        <v>213</v>
      </c>
      <c r="D630" s="88">
        <v>7.0213034615443366</v>
      </c>
      <c r="E630" s="86">
        <v>13.221290212077131</v>
      </c>
      <c r="F630" s="88">
        <v>44.93442015999625</v>
      </c>
      <c r="G630" s="86">
        <v>28.571718041777878</v>
      </c>
      <c r="H630" s="86">
        <v>6.2512681246043842</v>
      </c>
      <c r="I630" s="145">
        <v>20.242593673621471</v>
      </c>
      <c r="J630" s="86">
        <v>44.93442015999625</v>
      </c>
      <c r="K630" s="141">
        <v>34.822986166382265</v>
      </c>
      <c r="L630" s="150">
        <v>3.1381035715582009</v>
      </c>
      <c r="M630" s="86">
        <v>53.452589288955181</v>
      </c>
    </row>
    <row r="631" spans="2:13" x14ac:dyDescent="0.3">
      <c r="B631" s="292"/>
      <c r="C631" s="9" t="s">
        <v>214</v>
      </c>
      <c r="D631" s="88">
        <v>8.4083329041177297</v>
      </c>
      <c r="E631" s="86">
        <v>19.574776236954701</v>
      </c>
      <c r="F631" s="88">
        <v>42.054686190944551</v>
      </c>
      <c r="G631" s="86">
        <v>26.292139143752145</v>
      </c>
      <c r="H631" s="86">
        <v>3.6700655242310498</v>
      </c>
      <c r="I631" s="145">
        <v>27.983109141072411</v>
      </c>
      <c r="J631" s="86">
        <v>42.054686190944551</v>
      </c>
      <c r="K631" s="141">
        <v>29.962204667983176</v>
      </c>
      <c r="L631" s="150">
        <v>2.9724082814702402</v>
      </c>
      <c r="M631" s="86">
        <v>49.310207036756104</v>
      </c>
    </row>
    <row r="632" spans="2:13" x14ac:dyDescent="0.3">
      <c r="B632" s="292"/>
      <c r="C632" s="12" t="s">
        <v>215</v>
      </c>
      <c r="D632" s="91">
        <v>10.107814069824931</v>
      </c>
      <c r="E632" s="90">
        <v>29.153988298110267</v>
      </c>
      <c r="F632" s="91">
        <v>42.006077019301379</v>
      </c>
      <c r="G632" s="90">
        <v>16.391618481479814</v>
      </c>
      <c r="H632" s="90">
        <v>2.3405021312835719</v>
      </c>
      <c r="I632" s="147">
        <v>39.261802367935196</v>
      </c>
      <c r="J632" s="90">
        <v>42.006077019301379</v>
      </c>
      <c r="K632" s="143">
        <v>18.732120612763385</v>
      </c>
      <c r="L632" s="152">
        <v>2.7170300630628654</v>
      </c>
      <c r="M632" s="90">
        <v>42.925751576571678</v>
      </c>
    </row>
    <row r="633" spans="2:13" x14ac:dyDescent="0.3">
      <c r="B633" s="292"/>
      <c r="C633" s="9" t="s">
        <v>216</v>
      </c>
      <c r="D633" s="88">
        <v>3.7772243310172726</v>
      </c>
      <c r="E633" s="86">
        <v>7.8272852730436924</v>
      </c>
      <c r="F633" s="88">
        <v>29.898558945262167</v>
      </c>
      <c r="G633" s="86">
        <v>49.087320040235582</v>
      </c>
      <c r="H633" s="86">
        <v>9.4096114104412667</v>
      </c>
      <c r="I633" s="145">
        <v>11.604509604060965</v>
      </c>
      <c r="J633" s="86">
        <v>29.898558945262167</v>
      </c>
      <c r="K633" s="141">
        <v>58.49693145067684</v>
      </c>
      <c r="L633" s="150">
        <v>3.525248089260399</v>
      </c>
      <c r="M633" s="86">
        <v>63.131202231509995</v>
      </c>
    </row>
    <row r="634" spans="2:13" x14ac:dyDescent="0.3">
      <c r="B634" s="292"/>
      <c r="C634" s="9" t="s">
        <v>217</v>
      </c>
      <c r="D634" s="88">
        <v>7.0787243764315217</v>
      </c>
      <c r="E634" s="86">
        <v>7.3511490900543857</v>
      </c>
      <c r="F634" s="88">
        <v>41.572588831597209</v>
      </c>
      <c r="G634" s="86">
        <v>33.853512004024616</v>
      </c>
      <c r="H634" s="86">
        <v>10.144025697892346</v>
      </c>
      <c r="I634" s="145">
        <v>14.429873466485915</v>
      </c>
      <c r="J634" s="86">
        <v>41.572588831597209</v>
      </c>
      <c r="K634" s="141">
        <v>43.997537701916968</v>
      </c>
      <c r="L634" s="150">
        <v>3.3263296555689199</v>
      </c>
      <c r="M634" s="86">
        <v>58.158241389222951</v>
      </c>
    </row>
    <row r="635" spans="2:13" x14ac:dyDescent="0.3">
      <c r="B635" s="292"/>
      <c r="C635" s="9" t="s">
        <v>218</v>
      </c>
      <c r="D635" s="88">
        <v>7.7314395191183189</v>
      </c>
      <c r="E635" s="86">
        <v>11.863497674706263</v>
      </c>
      <c r="F635" s="88">
        <v>41.533807643297713</v>
      </c>
      <c r="G635" s="86">
        <v>32.296022651924652</v>
      </c>
      <c r="H635" s="86">
        <v>6.5752325109528682</v>
      </c>
      <c r="I635" s="145">
        <v>19.594937193824581</v>
      </c>
      <c r="J635" s="86">
        <v>41.533807643297713</v>
      </c>
      <c r="K635" s="141">
        <v>38.871255162877503</v>
      </c>
      <c r="L635" s="150">
        <v>3.1812011096088715</v>
      </c>
      <c r="M635" s="86">
        <v>54.53002774022184</v>
      </c>
    </row>
    <row r="636" spans="2:13" x14ac:dyDescent="0.3">
      <c r="B636" s="292"/>
      <c r="C636" s="9" t="s">
        <v>219</v>
      </c>
      <c r="D636" s="88">
        <v>10.427566842284662</v>
      </c>
      <c r="E636" s="86">
        <v>15.884708653180251</v>
      </c>
      <c r="F636" s="88">
        <v>40.516861885306049</v>
      </c>
      <c r="G636" s="86">
        <v>28.351676451627277</v>
      </c>
      <c r="H636" s="86">
        <v>4.8191861676016128</v>
      </c>
      <c r="I636" s="145">
        <v>26.31227549546492</v>
      </c>
      <c r="J636" s="86">
        <v>40.516861885306049</v>
      </c>
      <c r="K636" s="141">
        <v>33.170862619228856</v>
      </c>
      <c r="L636" s="150">
        <v>3.0125020644908029</v>
      </c>
      <c r="M636" s="86">
        <v>50.312551612270127</v>
      </c>
    </row>
    <row r="637" spans="2:13" x14ac:dyDescent="0.3">
      <c r="B637" s="292"/>
      <c r="C637" s="9" t="s">
        <v>220</v>
      </c>
      <c r="D637" s="88">
        <v>10.242655046658864</v>
      </c>
      <c r="E637" s="86">
        <v>18.598789897943139</v>
      </c>
      <c r="F637" s="88">
        <v>43.674053239872293</v>
      </c>
      <c r="G637" s="86">
        <v>24.524754910338409</v>
      </c>
      <c r="H637" s="86">
        <v>2.9597469051873229</v>
      </c>
      <c r="I637" s="145">
        <v>28.841444944601974</v>
      </c>
      <c r="J637" s="86">
        <v>43.674053239872293</v>
      </c>
      <c r="K637" s="141">
        <v>27.484501815525714</v>
      </c>
      <c r="L637" s="150">
        <v>2.9136014872945286</v>
      </c>
      <c r="M637" s="86">
        <v>47.840037182363034</v>
      </c>
    </row>
    <row r="638" spans="2:13" x14ac:dyDescent="0.3">
      <c r="B638" s="295"/>
      <c r="C638" s="9" t="s">
        <v>221</v>
      </c>
      <c r="D638" s="88">
        <v>12.66345055435899</v>
      </c>
      <c r="E638" s="86">
        <v>17.571123441251729</v>
      </c>
      <c r="F638" s="88">
        <v>44.000544839221639</v>
      </c>
      <c r="G638" s="86">
        <v>22.380513390617519</v>
      </c>
      <c r="H638" s="86">
        <v>3.3843677745501828</v>
      </c>
      <c r="I638" s="145">
        <v>30.23457399561072</v>
      </c>
      <c r="J638" s="86">
        <v>44.000544839221639</v>
      </c>
      <c r="K638" s="141">
        <v>25.764881165167701</v>
      </c>
      <c r="L638" s="150">
        <v>2.8625122438974877</v>
      </c>
      <c r="M638" s="86">
        <v>46.562806097437054</v>
      </c>
    </row>
    <row r="639" spans="2:13" ht="16.5" customHeight="1" x14ac:dyDescent="0.3">
      <c r="B639" s="291" t="s">
        <v>222</v>
      </c>
      <c r="C639" s="13" t="s">
        <v>226</v>
      </c>
      <c r="D639" s="89">
        <v>10.486799900562749</v>
      </c>
      <c r="E639" s="84">
        <v>14.353206830766885</v>
      </c>
      <c r="F639" s="89">
        <v>43.47733283485605</v>
      </c>
      <c r="G639" s="84">
        <v>26.205687271535794</v>
      </c>
      <c r="H639" s="84">
        <v>5.4769731622782851</v>
      </c>
      <c r="I639" s="146">
        <v>24.840006731329616</v>
      </c>
      <c r="J639" s="84">
        <v>43.47733283485605</v>
      </c>
      <c r="K639" s="142">
        <v>31.682660433814075</v>
      </c>
      <c r="L639" s="151">
        <v>3.0183282696419953</v>
      </c>
      <c r="M639" s="84">
        <v>50.45820674104985</v>
      </c>
    </row>
    <row r="640" spans="2:13" x14ac:dyDescent="0.3">
      <c r="B640" s="294"/>
      <c r="C640" s="9" t="s">
        <v>227</v>
      </c>
      <c r="D640" s="88">
        <v>9.3744784968405224</v>
      </c>
      <c r="E640" s="86">
        <v>16.620801125813429</v>
      </c>
      <c r="F640" s="88">
        <v>41.053223857155899</v>
      </c>
      <c r="G640" s="86">
        <v>27.56970398811794</v>
      </c>
      <c r="H640" s="86">
        <v>5.381792532072156</v>
      </c>
      <c r="I640" s="145">
        <v>25.995279622653932</v>
      </c>
      <c r="J640" s="86">
        <v>41.053223857155899</v>
      </c>
      <c r="K640" s="141">
        <v>32.951496520190105</v>
      </c>
      <c r="L640" s="150">
        <v>3.0296353093276798</v>
      </c>
      <c r="M640" s="86">
        <v>50.740882733191839</v>
      </c>
    </row>
    <row r="641" spans="2:13" x14ac:dyDescent="0.3">
      <c r="B641" s="292"/>
      <c r="C641" s="9" t="s">
        <v>228</v>
      </c>
      <c r="D641" s="88">
        <v>8.450812873758764</v>
      </c>
      <c r="E641" s="86">
        <v>15.905704271130672</v>
      </c>
      <c r="F641" s="88">
        <v>40.573462412810727</v>
      </c>
      <c r="G641" s="86">
        <v>29.326678921564021</v>
      </c>
      <c r="H641" s="86">
        <v>5.7433415207358776</v>
      </c>
      <c r="I641" s="145">
        <v>24.356517144889413</v>
      </c>
      <c r="J641" s="86">
        <v>40.573462412810727</v>
      </c>
      <c r="K641" s="141">
        <v>35.070020442299906</v>
      </c>
      <c r="L641" s="150">
        <v>3.0800603194438807</v>
      </c>
      <c r="M641" s="86">
        <v>52.00150798609684</v>
      </c>
    </row>
    <row r="642" spans="2:13" x14ac:dyDescent="0.3">
      <c r="B642" s="295"/>
      <c r="C642" s="12" t="s">
        <v>229</v>
      </c>
      <c r="D642" s="91">
        <v>8.3708484889243699</v>
      </c>
      <c r="E642" s="90">
        <v>15.798889152903525</v>
      </c>
      <c r="F642" s="91">
        <v>40.458940599084208</v>
      </c>
      <c r="G642" s="90">
        <v>29.471621230476764</v>
      </c>
      <c r="H642" s="90">
        <v>5.8997005286111657</v>
      </c>
      <c r="I642" s="147">
        <v>24.169737641827886</v>
      </c>
      <c r="J642" s="90">
        <v>40.458940599084208</v>
      </c>
      <c r="K642" s="143">
        <v>35.371321759087934</v>
      </c>
      <c r="L642" s="152">
        <v>3.0873043615694744</v>
      </c>
      <c r="M642" s="90">
        <v>52.182609039236674</v>
      </c>
    </row>
    <row r="643" spans="2:13" x14ac:dyDescent="0.3">
      <c r="B643" s="296" t="s">
        <v>199</v>
      </c>
      <c r="C643" s="13" t="s">
        <v>192</v>
      </c>
      <c r="D643" s="89">
        <v>8.0736347131801871</v>
      </c>
      <c r="E643" s="84">
        <v>15.301437586435892</v>
      </c>
      <c r="F643" s="89">
        <v>40.978232562070083</v>
      </c>
      <c r="G643" s="84">
        <v>29.079471617540133</v>
      </c>
      <c r="H643" s="84">
        <v>6.5672235207729228</v>
      </c>
      <c r="I643" s="146">
        <v>23.375072299616072</v>
      </c>
      <c r="J643" s="84">
        <v>40.978232562070083</v>
      </c>
      <c r="K643" s="142">
        <v>35.646695138313014</v>
      </c>
      <c r="L643" s="151">
        <v>3.1076521164628947</v>
      </c>
      <c r="M643" s="84">
        <v>52.69130291157181</v>
      </c>
    </row>
    <row r="644" spans="2:13" ht="16.5" customHeight="1" x14ac:dyDescent="0.3">
      <c r="B644" s="292"/>
      <c r="C644" s="9" t="s">
        <v>200</v>
      </c>
      <c r="D644" s="88">
        <v>9.1426764283598274</v>
      </c>
      <c r="E644" s="86">
        <v>14.080242787403641</v>
      </c>
      <c r="F644" s="88">
        <v>40.795337892218129</v>
      </c>
      <c r="G644" s="86">
        <v>31.16819256147766</v>
      </c>
      <c r="H644" s="86">
        <v>4.813550330540842</v>
      </c>
      <c r="I644" s="145">
        <v>23.222919215763476</v>
      </c>
      <c r="J644" s="86">
        <v>40.795337892218129</v>
      </c>
      <c r="K644" s="141">
        <v>35.981742892018502</v>
      </c>
      <c r="L644" s="150">
        <v>3.0842969757843619</v>
      </c>
      <c r="M644" s="86">
        <v>52.107424394609062</v>
      </c>
    </row>
    <row r="645" spans="2:13" x14ac:dyDescent="0.3">
      <c r="B645" s="292"/>
      <c r="C645" s="9" t="s">
        <v>201</v>
      </c>
      <c r="D645" s="88">
        <v>12.224451394660875</v>
      </c>
      <c r="E645" s="86">
        <v>15.019873495663086</v>
      </c>
      <c r="F645" s="88">
        <v>42.641336363399319</v>
      </c>
      <c r="G645" s="86">
        <v>24.05928123712458</v>
      </c>
      <c r="H645" s="86">
        <v>6.0550575091521779</v>
      </c>
      <c r="I645" s="145">
        <v>27.244324890323963</v>
      </c>
      <c r="J645" s="86">
        <v>42.641336363399319</v>
      </c>
      <c r="K645" s="141">
        <v>30.114338746276754</v>
      </c>
      <c r="L645" s="150">
        <v>2.9670061997044419</v>
      </c>
      <c r="M645" s="86">
        <v>49.17515499261102</v>
      </c>
    </row>
    <row r="646" spans="2:13" x14ac:dyDescent="0.3">
      <c r="B646" s="292"/>
      <c r="C646" s="9" t="s">
        <v>202</v>
      </c>
      <c r="D646" s="88">
        <v>10.04471695453236</v>
      </c>
      <c r="E646" s="86">
        <v>18.927850142965877</v>
      </c>
      <c r="F646" s="88">
        <v>37.575497587298443</v>
      </c>
      <c r="G646" s="86">
        <v>30.112724459200912</v>
      </c>
      <c r="H646" s="86">
        <v>3.3392108560023925</v>
      </c>
      <c r="I646" s="145">
        <v>28.972567097498231</v>
      </c>
      <c r="J646" s="86">
        <v>37.575497587298443</v>
      </c>
      <c r="K646" s="141">
        <v>33.451935315203315</v>
      </c>
      <c r="L646" s="150">
        <v>2.9777386211917531</v>
      </c>
      <c r="M646" s="86">
        <v>49.443465529793841</v>
      </c>
    </row>
    <row r="647" spans="2:13" x14ac:dyDescent="0.3">
      <c r="B647" s="295"/>
      <c r="C647" s="12" t="s">
        <v>203</v>
      </c>
      <c r="D647" s="91">
        <v>10.27155401356131</v>
      </c>
      <c r="E647" s="90">
        <v>15.748766077972878</v>
      </c>
      <c r="F647" s="91">
        <v>43.731741165147376</v>
      </c>
      <c r="G647" s="90">
        <v>25.945029581224876</v>
      </c>
      <c r="H647" s="90">
        <v>4.3029091620935409</v>
      </c>
      <c r="I647" s="147">
        <v>26.020320091534177</v>
      </c>
      <c r="J647" s="90">
        <v>43.731741165147376</v>
      </c>
      <c r="K647" s="143">
        <v>30.247938743318397</v>
      </c>
      <c r="L647" s="152">
        <v>2.9825897380031616</v>
      </c>
      <c r="M647" s="90">
        <v>49.564743450079021</v>
      </c>
    </row>
    <row r="648" spans="2:13" x14ac:dyDescent="0.3">
      <c r="B648" s="291" t="s">
        <v>204</v>
      </c>
      <c r="C648" s="13" t="s">
        <v>192</v>
      </c>
      <c r="D648" s="89">
        <v>8.0736347131801871</v>
      </c>
      <c r="E648" s="84">
        <v>15.301437586435892</v>
      </c>
      <c r="F648" s="89">
        <v>40.978232562070083</v>
      </c>
      <c r="G648" s="84">
        <v>29.079471617540133</v>
      </c>
      <c r="H648" s="84">
        <v>6.5672235207729228</v>
      </c>
      <c r="I648" s="146">
        <v>23.375072299616072</v>
      </c>
      <c r="J648" s="84">
        <v>40.978232562070083</v>
      </c>
      <c r="K648" s="142">
        <v>35.646695138313014</v>
      </c>
      <c r="L648" s="151">
        <v>3.1076521164628947</v>
      </c>
      <c r="M648" s="84">
        <v>52.69130291157181</v>
      </c>
    </row>
    <row r="649" spans="2:13" x14ac:dyDescent="0.3">
      <c r="B649" s="295"/>
      <c r="C649" s="12" t="s">
        <v>193</v>
      </c>
      <c r="D649" s="91">
        <v>10.563470435162291</v>
      </c>
      <c r="E649" s="90">
        <v>16.054417038915993</v>
      </c>
      <c r="F649" s="91">
        <v>42.051239872007123</v>
      </c>
      <c r="G649" s="90">
        <v>26.780517896085094</v>
      </c>
      <c r="H649" s="90">
        <v>4.550354757829453</v>
      </c>
      <c r="I649" s="147">
        <v>26.617887474078312</v>
      </c>
      <c r="J649" s="90">
        <v>42.051239872007123</v>
      </c>
      <c r="K649" s="143">
        <v>31.330872653914561</v>
      </c>
      <c r="L649" s="152">
        <v>2.9869986950250347</v>
      </c>
      <c r="M649" s="90">
        <v>49.674967375625826</v>
      </c>
    </row>
    <row r="650" spans="2:13" x14ac:dyDescent="0.3">
      <c r="B650" s="291" t="s">
        <v>209</v>
      </c>
      <c r="C650" s="13" t="s">
        <v>205</v>
      </c>
      <c r="D650" s="89">
        <v>10.297047130588965</v>
      </c>
      <c r="E650" s="84">
        <v>13.184915641445047</v>
      </c>
      <c r="F650" s="89">
        <v>39.820466310928992</v>
      </c>
      <c r="G650" s="84">
        <v>30.045443718828562</v>
      </c>
      <c r="H650" s="84">
        <v>6.6521271982084285</v>
      </c>
      <c r="I650" s="146">
        <v>23.481962772034002</v>
      </c>
      <c r="J650" s="84">
        <v>39.820466310928992</v>
      </c>
      <c r="K650" s="142">
        <v>36.697570917036984</v>
      </c>
      <c r="L650" s="151">
        <v>3.0957068821262252</v>
      </c>
      <c r="M650" s="84">
        <v>52.392672053155614</v>
      </c>
    </row>
    <row r="651" spans="2:13" x14ac:dyDescent="0.3">
      <c r="B651" s="292"/>
      <c r="C651" s="9" t="s">
        <v>206</v>
      </c>
      <c r="D651" s="88">
        <v>11.824478670912667</v>
      </c>
      <c r="E651" s="86">
        <v>20.012087297208968</v>
      </c>
      <c r="F651" s="88">
        <v>42.000890142089091</v>
      </c>
      <c r="G651" s="86">
        <v>22.510496650380315</v>
      </c>
      <c r="H651" s="86">
        <v>3.6520472394089225</v>
      </c>
      <c r="I651" s="145">
        <v>31.836565968121622</v>
      </c>
      <c r="J651" s="86">
        <v>42.000890142089091</v>
      </c>
      <c r="K651" s="141">
        <v>26.162543889789241</v>
      </c>
      <c r="L651" s="150">
        <v>2.8615354649016425</v>
      </c>
      <c r="M651" s="86">
        <v>46.538386622540891</v>
      </c>
    </row>
    <row r="652" spans="2:13" x14ac:dyDescent="0.3">
      <c r="B652" s="292"/>
      <c r="C652" s="9" t="s">
        <v>207</v>
      </c>
      <c r="D652" s="88">
        <v>9.5310795763857215</v>
      </c>
      <c r="E652" s="86">
        <v>15.757119274790252</v>
      </c>
      <c r="F652" s="88">
        <v>41.78137199493289</v>
      </c>
      <c r="G652" s="86">
        <v>28.227469544751578</v>
      </c>
      <c r="H652" s="86">
        <v>4.7029596091394534</v>
      </c>
      <c r="I652" s="145">
        <v>25.288198851175974</v>
      </c>
      <c r="J652" s="86">
        <v>41.78137199493289</v>
      </c>
      <c r="K652" s="141">
        <v>32.930429153891033</v>
      </c>
      <c r="L652" s="150">
        <v>3.0281411033546872</v>
      </c>
      <c r="M652" s="86">
        <v>50.703527583866979</v>
      </c>
    </row>
    <row r="653" spans="2:13" x14ac:dyDescent="0.3">
      <c r="B653" s="293"/>
      <c r="C653" s="25" t="s">
        <v>208</v>
      </c>
      <c r="D653" s="95">
        <v>6.7891358944096787</v>
      </c>
      <c r="E653" s="87">
        <v>13.731048826573147</v>
      </c>
      <c r="F653" s="95">
        <v>41.637610379647924</v>
      </c>
      <c r="G653" s="87">
        <v>30.52202058857366</v>
      </c>
      <c r="H653" s="87">
        <v>7.3201843107953026</v>
      </c>
      <c r="I653" s="148">
        <v>20.520184720982819</v>
      </c>
      <c r="J653" s="87">
        <v>41.637610379647924</v>
      </c>
      <c r="K653" s="144">
        <v>37.842204899368944</v>
      </c>
      <c r="L653" s="153">
        <v>3.1785306859477136</v>
      </c>
      <c r="M653" s="87">
        <v>54.463267148692765</v>
      </c>
    </row>
    <row r="654" spans="2:13" x14ac:dyDescent="0.3">
      <c r="B654" s="60"/>
      <c r="C654" s="9"/>
      <c r="D654" s="46"/>
      <c r="E654" s="46"/>
      <c r="F654" s="46"/>
      <c r="G654" s="46"/>
      <c r="H654" s="46"/>
      <c r="I654" s="46"/>
      <c r="J654" s="46"/>
      <c r="K654" s="46"/>
      <c r="L654" s="46"/>
      <c r="M654" s="46"/>
    </row>
    <row r="655" spans="2:13" x14ac:dyDescent="0.3">
      <c r="B655" s="60"/>
      <c r="C655" s="9"/>
      <c r="D655" s="46"/>
      <c r="E655" s="46"/>
      <c r="F655" s="46"/>
      <c r="G655" s="46"/>
      <c r="H655" s="46"/>
      <c r="I655" s="46"/>
      <c r="J655" s="46"/>
      <c r="K655" s="46"/>
      <c r="L655" s="46"/>
      <c r="M655" s="46"/>
    </row>
    <row r="656" spans="2:13" ht="17.25" x14ac:dyDescent="0.3">
      <c r="B656" s="33" t="s">
        <v>114</v>
      </c>
    </row>
    <row r="658" spans="2:16" x14ac:dyDescent="0.3">
      <c r="B658" s="17" t="s">
        <v>172</v>
      </c>
    </row>
    <row r="659" spans="2:16" x14ac:dyDescent="0.3">
      <c r="P659" s="30"/>
    </row>
    <row r="660" spans="2:16" x14ac:dyDescent="0.3">
      <c r="B660" s="232"/>
      <c r="C660" s="232"/>
      <c r="D660" s="202" t="s">
        <v>144</v>
      </c>
      <c r="E660" s="202" t="s">
        <v>145</v>
      </c>
      <c r="F660" s="63"/>
      <c r="G660" s="63"/>
      <c r="H660" s="63"/>
      <c r="I660" s="63"/>
      <c r="J660" s="63"/>
      <c r="K660" s="63"/>
    </row>
    <row r="661" spans="2:16" x14ac:dyDescent="0.3">
      <c r="B661" s="292" t="s">
        <v>20</v>
      </c>
      <c r="C661" s="292"/>
      <c r="D661" s="86">
        <v>63.969448585272936</v>
      </c>
      <c r="E661" s="86">
        <v>36.030551414727299</v>
      </c>
      <c r="F661" s="46"/>
      <c r="G661" s="46"/>
      <c r="H661" s="46"/>
      <c r="I661" s="46"/>
      <c r="J661" s="46"/>
      <c r="K661" s="46"/>
    </row>
    <row r="662" spans="2:16" x14ac:dyDescent="0.3">
      <c r="B662" s="296" t="s">
        <v>5</v>
      </c>
      <c r="C662" s="13" t="s">
        <v>0</v>
      </c>
      <c r="D662" s="84">
        <v>59.25480782784804</v>
      </c>
      <c r="E662" s="84">
        <v>40.745192172151938</v>
      </c>
      <c r="F662" s="46"/>
      <c r="G662" s="46"/>
      <c r="H662" s="46"/>
      <c r="I662" s="46"/>
      <c r="J662" s="46"/>
      <c r="K662" s="46"/>
    </row>
    <row r="663" spans="2:16" x14ac:dyDescent="0.3">
      <c r="B663" s="295"/>
      <c r="C663" s="12" t="s">
        <v>1</v>
      </c>
      <c r="D663" s="90">
        <v>68.854525446849507</v>
      </c>
      <c r="E663" s="90">
        <v>31.145474553149981</v>
      </c>
      <c r="F663" s="46"/>
      <c r="G663" s="46"/>
      <c r="H663" s="46"/>
      <c r="I663" s="46"/>
      <c r="J663" s="46"/>
      <c r="K663" s="46"/>
    </row>
    <row r="664" spans="2:16" x14ac:dyDescent="0.3">
      <c r="B664" s="296" t="s">
        <v>4</v>
      </c>
      <c r="C664" s="9" t="s">
        <v>175</v>
      </c>
      <c r="D664" s="86">
        <v>48.151781907216204</v>
      </c>
      <c r="E664" s="86">
        <v>51.84821809278386</v>
      </c>
      <c r="F664" s="46"/>
      <c r="G664" s="46"/>
      <c r="H664" s="46"/>
      <c r="I664" s="46"/>
      <c r="J664" s="46"/>
      <c r="K664" s="46"/>
    </row>
    <row r="665" spans="2:16" x14ac:dyDescent="0.3">
      <c r="B665" s="292"/>
      <c r="C665" s="9" t="s">
        <v>176</v>
      </c>
      <c r="D665" s="86">
        <v>49.684771598142746</v>
      </c>
      <c r="E665" s="86">
        <v>50.315228401857141</v>
      </c>
      <c r="F665" s="46"/>
      <c r="G665" s="46"/>
      <c r="H665" s="46"/>
      <c r="I665" s="46"/>
      <c r="J665" s="46"/>
      <c r="K665" s="46"/>
    </row>
    <row r="666" spans="2:16" x14ac:dyDescent="0.3">
      <c r="B666" s="292"/>
      <c r="C666" s="9" t="s">
        <v>177</v>
      </c>
      <c r="D666" s="86">
        <v>58.860870193773394</v>
      </c>
      <c r="E666" s="86">
        <v>41.139129806226585</v>
      </c>
      <c r="F666" s="46"/>
      <c r="G666" s="46"/>
      <c r="H666" s="46"/>
      <c r="I666" s="46"/>
      <c r="J666" s="46"/>
      <c r="K666" s="46"/>
    </row>
    <row r="667" spans="2:16" x14ac:dyDescent="0.3">
      <c r="B667" s="292"/>
      <c r="C667" s="9" t="s">
        <v>178</v>
      </c>
      <c r="D667" s="86">
        <v>68.336304373161994</v>
      </c>
      <c r="E667" s="86">
        <v>31.663695626838511</v>
      </c>
      <c r="F667" s="46"/>
      <c r="G667" s="46"/>
      <c r="H667" s="46"/>
      <c r="I667" s="46"/>
      <c r="J667" s="46"/>
      <c r="K667" s="46"/>
    </row>
    <row r="668" spans="2:16" x14ac:dyDescent="0.3">
      <c r="B668" s="292"/>
      <c r="C668" s="9" t="s">
        <v>179</v>
      </c>
      <c r="D668" s="86">
        <v>68.889073357555972</v>
      </c>
      <c r="E668" s="86">
        <v>31.110926642443893</v>
      </c>
      <c r="F668" s="46"/>
      <c r="G668" s="46"/>
      <c r="H668" s="46"/>
      <c r="I668" s="46"/>
      <c r="J668" s="46"/>
      <c r="K668" s="46"/>
    </row>
    <row r="669" spans="2:16" x14ac:dyDescent="0.3">
      <c r="B669" s="298"/>
      <c r="C669" s="12" t="s">
        <v>180</v>
      </c>
      <c r="D669" s="90">
        <v>73.354135826340183</v>
      </c>
      <c r="E669" s="90">
        <v>26.645864173659561</v>
      </c>
      <c r="F669" s="46"/>
      <c r="G669" s="46"/>
      <c r="H669" s="46"/>
      <c r="I669" s="46"/>
      <c r="J669" s="46"/>
      <c r="K669" s="46"/>
    </row>
    <row r="670" spans="2:16" x14ac:dyDescent="0.3">
      <c r="B670" s="292" t="s">
        <v>223</v>
      </c>
      <c r="C670" s="9" t="s">
        <v>210</v>
      </c>
      <c r="D670" s="86">
        <v>47.701904746522338</v>
      </c>
      <c r="E670" s="86">
        <v>52.298095253477683</v>
      </c>
      <c r="F670" s="46"/>
      <c r="G670" s="46"/>
      <c r="H670" s="46"/>
      <c r="I670" s="46"/>
      <c r="J670" s="46"/>
      <c r="K670" s="46"/>
    </row>
    <row r="671" spans="2:16" x14ac:dyDescent="0.3">
      <c r="B671" s="292"/>
      <c r="C671" s="9" t="s">
        <v>211</v>
      </c>
      <c r="D671" s="86">
        <v>38.634915747889778</v>
      </c>
      <c r="E671" s="86">
        <v>61.365084252110279</v>
      </c>
      <c r="F671" s="46"/>
      <c r="G671" s="46"/>
      <c r="H671" s="46"/>
      <c r="I671" s="46"/>
      <c r="J671" s="46"/>
      <c r="K671" s="46"/>
    </row>
    <row r="672" spans="2:16" x14ac:dyDescent="0.3">
      <c r="B672" s="292"/>
      <c r="C672" s="9" t="s">
        <v>212</v>
      </c>
      <c r="D672" s="86">
        <v>57.809424289129041</v>
      </c>
      <c r="E672" s="86">
        <v>42.19057571087103</v>
      </c>
      <c r="F672" s="46"/>
      <c r="G672" s="46"/>
      <c r="H672" s="46"/>
      <c r="I672" s="46"/>
      <c r="J672" s="46"/>
      <c r="K672" s="46"/>
    </row>
    <row r="673" spans="2:11" x14ac:dyDescent="0.3">
      <c r="B673" s="292"/>
      <c r="C673" s="9" t="s">
        <v>213</v>
      </c>
      <c r="D673" s="86">
        <v>63.612327401035742</v>
      </c>
      <c r="E673" s="86">
        <v>36.38767259896423</v>
      </c>
      <c r="F673" s="46"/>
      <c r="G673" s="46"/>
      <c r="H673" s="46"/>
      <c r="I673" s="46"/>
      <c r="J673" s="46"/>
      <c r="K673" s="46"/>
    </row>
    <row r="674" spans="2:11" x14ac:dyDescent="0.3">
      <c r="B674" s="292"/>
      <c r="C674" s="9" t="s">
        <v>214</v>
      </c>
      <c r="D674" s="86">
        <v>64.265568960757236</v>
      </c>
      <c r="E674" s="86">
        <v>35.734431039242828</v>
      </c>
      <c r="F674" s="46"/>
      <c r="G674" s="46"/>
      <c r="H674" s="46"/>
      <c r="I674" s="46"/>
      <c r="J674" s="46"/>
      <c r="K674" s="46"/>
    </row>
    <row r="675" spans="2:11" x14ac:dyDescent="0.3">
      <c r="B675" s="292"/>
      <c r="C675" s="12" t="s">
        <v>215</v>
      </c>
      <c r="D675" s="90">
        <v>70.254902684855665</v>
      </c>
      <c r="E675" s="90">
        <v>29.745097315144292</v>
      </c>
      <c r="F675" s="46"/>
      <c r="G675" s="46"/>
      <c r="H675" s="46"/>
      <c r="I675" s="46"/>
      <c r="J675" s="46"/>
      <c r="K675" s="46"/>
    </row>
    <row r="676" spans="2:11" x14ac:dyDescent="0.3">
      <c r="B676" s="292"/>
      <c r="C676" s="9" t="s">
        <v>216</v>
      </c>
      <c r="D676" s="86">
        <v>48.630110351976718</v>
      </c>
      <c r="E676" s="86">
        <v>51.369889648023246</v>
      </c>
      <c r="F676" s="46"/>
      <c r="G676" s="46"/>
      <c r="H676" s="46"/>
      <c r="I676" s="46"/>
      <c r="J676" s="46"/>
      <c r="K676" s="46"/>
    </row>
    <row r="677" spans="2:11" x14ac:dyDescent="0.3">
      <c r="B677" s="292"/>
      <c r="C677" s="9" t="s">
        <v>217</v>
      </c>
      <c r="D677" s="86">
        <v>61.727371668864691</v>
      </c>
      <c r="E677" s="86">
        <v>38.272628331135373</v>
      </c>
      <c r="F677" s="46"/>
      <c r="G677" s="46"/>
      <c r="H677" s="46"/>
      <c r="I677" s="46"/>
      <c r="J677" s="46"/>
      <c r="K677" s="46"/>
    </row>
    <row r="678" spans="2:11" x14ac:dyDescent="0.3">
      <c r="B678" s="292"/>
      <c r="C678" s="9" t="s">
        <v>218</v>
      </c>
      <c r="D678" s="86">
        <v>60.005166314295899</v>
      </c>
      <c r="E678" s="86">
        <v>39.994833685703853</v>
      </c>
      <c r="F678" s="46"/>
      <c r="G678" s="46"/>
      <c r="H678" s="46"/>
      <c r="I678" s="46"/>
      <c r="J678" s="46"/>
      <c r="K678" s="46"/>
    </row>
    <row r="679" spans="2:11" x14ac:dyDescent="0.3">
      <c r="B679" s="292"/>
      <c r="C679" s="9" t="s">
        <v>219</v>
      </c>
      <c r="D679" s="86">
        <v>73.222269574139474</v>
      </c>
      <c r="E679" s="86">
        <v>26.777730425860419</v>
      </c>
      <c r="F679" s="46"/>
      <c r="G679" s="46"/>
      <c r="H679" s="46"/>
      <c r="I679" s="46"/>
      <c r="J679" s="46"/>
      <c r="K679" s="46"/>
    </row>
    <row r="680" spans="2:11" x14ac:dyDescent="0.3">
      <c r="B680" s="292"/>
      <c r="C680" s="9" t="s">
        <v>220</v>
      </c>
      <c r="D680" s="86">
        <v>73.595932734285853</v>
      </c>
      <c r="E680" s="86">
        <v>26.404067265714165</v>
      </c>
      <c r="F680" s="46"/>
      <c r="G680" s="46"/>
      <c r="H680" s="46"/>
      <c r="I680" s="46"/>
      <c r="J680" s="46"/>
      <c r="K680" s="46"/>
    </row>
    <row r="681" spans="2:11" x14ac:dyDescent="0.3">
      <c r="B681" s="295"/>
      <c r="C681" s="9" t="s">
        <v>221</v>
      </c>
      <c r="D681" s="86">
        <v>76.360578889867952</v>
      </c>
      <c r="E681" s="86">
        <v>23.639421110132101</v>
      </c>
      <c r="F681" s="46"/>
      <c r="G681" s="46"/>
      <c r="H681" s="46"/>
      <c r="I681" s="46"/>
      <c r="J681" s="46"/>
      <c r="K681" s="46"/>
    </row>
    <row r="682" spans="2:11" ht="16.5" customHeight="1" x14ac:dyDescent="0.3">
      <c r="B682" s="291" t="s">
        <v>222</v>
      </c>
      <c r="C682" s="13" t="s">
        <v>226</v>
      </c>
      <c r="D682" s="84">
        <v>57.562499528164267</v>
      </c>
      <c r="E682" s="84">
        <v>42.437500471835442</v>
      </c>
      <c r="F682" s="46"/>
      <c r="G682" s="46"/>
      <c r="H682" s="46"/>
      <c r="I682" s="46"/>
      <c r="J682" s="46"/>
      <c r="K682" s="46"/>
    </row>
    <row r="683" spans="2:11" x14ac:dyDescent="0.3">
      <c r="B683" s="294"/>
      <c r="C683" s="9" t="s">
        <v>227</v>
      </c>
      <c r="D683" s="86">
        <v>61.982006178966763</v>
      </c>
      <c r="E683" s="86">
        <v>38.01799382103308</v>
      </c>
      <c r="F683" s="46"/>
      <c r="G683" s="46"/>
      <c r="H683" s="46"/>
      <c r="I683" s="46"/>
      <c r="J683" s="46"/>
      <c r="K683" s="46"/>
    </row>
    <row r="684" spans="2:11" x14ac:dyDescent="0.3">
      <c r="B684" s="292"/>
      <c r="C684" s="9" t="s">
        <v>228</v>
      </c>
      <c r="D684" s="86">
        <v>69.198393865175973</v>
      </c>
      <c r="E684" s="86">
        <v>30.801606134824105</v>
      </c>
      <c r="F684" s="46"/>
      <c r="G684" s="46"/>
      <c r="H684" s="46"/>
      <c r="I684" s="46"/>
      <c r="J684" s="46"/>
      <c r="K684" s="46"/>
    </row>
    <row r="685" spans="2:11" x14ac:dyDescent="0.3">
      <c r="B685" s="295"/>
      <c r="C685" s="12" t="s">
        <v>229</v>
      </c>
      <c r="D685" s="90">
        <v>69.779320363697579</v>
      </c>
      <c r="E685" s="90">
        <v>30.22067963630257</v>
      </c>
      <c r="F685" s="46"/>
      <c r="G685" s="46"/>
      <c r="H685" s="46"/>
      <c r="I685" s="46"/>
      <c r="J685" s="46"/>
      <c r="K685" s="46"/>
    </row>
    <row r="686" spans="2:11" x14ac:dyDescent="0.3">
      <c r="B686" s="296" t="s">
        <v>199</v>
      </c>
      <c r="C686" s="13" t="s">
        <v>192</v>
      </c>
      <c r="D686" s="84">
        <v>64.605231569328922</v>
      </c>
      <c r="E686" s="84">
        <v>35.394768430670581</v>
      </c>
      <c r="F686" s="46"/>
      <c r="G686" s="46"/>
      <c r="H686" s="46"/>
      <c r="I686" s="46"/>
      <c r="J686" s="46"/>
      <c r="K686" s="46"/>
    </row>
    <row r="687" spans="2:11" ht="16.5" customHeight="1" x14ac:dyDescent="0.3">
      <c r="B687" s="292"/>
      <c r="C687" s="9" t="s">
        <v>200</v>
      </c>
      <c r="D687" s="86">
        <v>60.055303857607967</v>
      </c>
      <c r="E687" s="86">
        <v>39.944696142392111</v>
      </c>
      <c r="F687" s="46"/>
      <c r="G687" s="46"/>
      <c r="H687" s="46"/>
      <c r="I687" s="46"/>
      <c r="J687" s="46"/>
      <c r="K687" s="46"/>
    </row>
    <row r="688" spans="2:11" x14ac:dyDescent="0.3">
      <c r="B688" s="292"/>
      <c r="C688" s="9" t="s">
        <v>201</v>
      </c>
      <c r="D688" s="86">
        <v>63.999417983846584</v>
      </c>
      <c r="E688" s="86">
        <v>36.000582016153373</v>
      </c>
      <c r="F688" s="46"/>
      <c r="G688" s="46"/>
      <c r="H688" s="46"/>
      <c r="I688" s="46"/>
      <c r="J688" s="46"/>
      <c r="K688" s="46"/>
    </row>
    <row r="689" spans="2:11" x14ac:dyDescent="0.3">
      <c r="B689" s="292"/>
      <c r="C689" s="9" t="s">
        <v>202</v>
      </c>
      <c r="D689" s="86">
        <v>62.556475350303955</v>
      </c>
      <c r="E689" s="86">
        <v>37.443524649696045</v>
      </c>
      <c r="F689" s="46"/>
      <c r="G689" s="46"/>
      <c r="H689" s="46"/>
      <c r="I689" s="46"/>
      <c r="J689" s="46"/>
      <c r="K689" s="46"/>
    </row>
    <row r="690" spans="2:11" x14ac:dyDescent="0.3">
      <c r="B690" s="295"/>
      <c r="C690" s="12" t="s">
        <v>203</v>
      </c>
      <c r="D690" s="90">
        <v>63.802664987876845</v>
      </c>
      <c r="E690" s="90">
        <v>36.197335012123048</v>
      </c>
      <c r="F690" s="46"/>
      <c r="G690" s="46"/>
      <c r="H690" s="46"/>
      <c r="I690" s="46"/>
      <c r="J690" s="46"/>
      <c r="K690" s="46"/>
    </row>
    <row r="691" spans="2:11" x14ac:dyDescent="0.3">
      <c r="B691" s="291" t="s">
        <v>204</v>
      </c>
      <c r="C691" s="13" t="s">
        <v>192</v>
      </c>
      <c r="D691" s="84">
        <v>64.605231569328922</v>
      </c>
      <c r="E691" s="84">
        <v>35.394768430670581</v>
      </c>
      <c r="F691" s="46"/>
      <c r="G691" s="46"/>
      <c r="H691" s="46"/>
      <c r="I691" s="46"/>
      <c r="J691" s="46"/>
      <c r="K691" s="46"/>
    </row>
    <row r="692" spans="2:11" x14ac:dyDescent="0.3">
      <c r="B692" s="295"/>
      <c r="C692" s="12" t="s">
        <v>193</v>
      </c>
      <c r="D692" s="90">
        <v>63.282314900015692</v>
      </c>
      <c r="E692" s="90">
        <v>36.717685099984244</v>
      </c>
      <c r="F692" s="46"/>
      <c r="G692" s="46"/>
      <c r="H692" s="46"/>
      <c r="I692" s="46"/>
      <c r="J692" s="46"/>
      <c r="K692" s="46"/>
    </row>
    <row r="693" spans="2:11" x14ac:dyDescent="0.3">
      <c r="B693" s="291" t="s">
        <v>209</v>
      </c>
      <c r="C693" s="13" t="s">
        <v>205</v>
      </c>
      <c r="D693" s="84">
        <v>57.406376089423752</v>
      </c>
      <c r="E693" s="84">
        <v>42.593623910576248</v>
      </c>
      <c r="F693" s="46"/>
      <c r="G693" s="46"/>
      <c r="H693" s="46"/>
      <c r="I693" s="46"/>
      <c r="J693" s="46"/>
      <c r="K693" s="46"/>
    </row>
    <row r="694" spans="2:11" x14ac:dyDescent="0.3">
      <c r="B694" s="292"/>
      <c r="C694" s="9" t="s">
        <v>206</v>
      </c>
      <c r="D694" s="86">
        <v>66.179512542610325</v>
      </c>
      <c r="E694" s="86">
        <v>33.820487457389667</v>
      </c>
      <c r="F694" s="46"/>
      <c r="G694" s="46"/>
      <c r="H694" s="46"/>
      <c r="I694" s="46"/>
      <c r="J694" s="46"/>
      <c r="K694" s="46"/>
    </row>
    <row r="695" spans="2:11" x14ac:dyDescent="0.3">
      <c r="B695" s="292"/>
      <c r="C695" s="9" t="s">
        <v>207</v>
      </c>
      <c r="D695" s="86">
        <v>64.045060073060498</v>
      </c>
      <c r="E695" s="86">
        <v>35.954939926939353</v>
      </c>
      <c r="F695" s="46"/>
      <c r="G695" s="46"/>
      <c r="H695" s="46"/>
      <c r="I695" s="46"/>
      <c r="J695" s="46"/>
      <c r="K695" s="46"/>
    </row>
    <row r="696" spans="2:11" x14ac:dyDescent="0.3">
      <c r="B696" s="293"/>
      <c r="C696" s="25" t="s">
        <v>208</v>
      </c>
      <c r="D696" s="87">
        <v>65.407200536978564</v>
      </c>
      <c r="E696" s="87">
        <v>34.592799463021088</v>
      </c>
      <c r="F696" s="46"/>
      <c r="G696" s="46"/>
      <c r="H696" s="46"/>
      <c r="I696" s="46"/>
      <c r="J696" s="46"/>
      <c r="K696" s="46"/>
    </row>
    <row r="697" spans="2:11" x14ac:dyDescent="0.3">
      <c r="B697" s="60"/>
      <c r="C697" s="9"/>
      <c r="D697" s="46"/>
      <c r="E697" s="46"/>
      <c r="F697" s="46"/>
      <c r="G697" s="46"/>
      <c r="H697" s="46"/>
      <c r="I697" s="46"/>
      <c r="J697" s="46"/>
      <c r="K697" s="46"/>
    </row>
    <row r="698" spans="2:11" x14ac:dyDescent="0.3">
      <c r="B698" s="60"/>
      <c r="C698" s="9"/>
      <c r="D698" s="46"/>
      <c r="E698" s="46"/>
      <c r="F698" s="46"/>
      <c r="G698" s="46"/>
      <c r="H698" s="46"/>
      <c r="I698" s="46"/>
      <c r="J698" s="46"/>
      <c r="K698" s="46"/>
    </row>
    <row r="699" spans="2:11" x14ac:dyDescent="0.3">
      <c r="B699" s="17" t="s">
        <v>173</v>
      </c>
    </row>
    <row r="700" spans="2:11" x14ac:dyDescent="0.3">
      <c r="I700" s="30" t="s">
        <v>157</v>
      </c>
      <c r="J700" s="30"/>
      <c r="K700" s="30"/>
    </row>
    <row r="701" spans="2:11" ht="27" x14ac:dyDescent="0.3">
      <c r="B701" s="287"/>
      <c r="C701" s="287"/>
      <c r="D701" s="202" t="s">
        <v>151</v>
      </c>
      <c r="E701" s="202" t="s">
        <v>392</v>
      </c>
      <c r="F701" s="202" t="s">
        <v>152</v>
      </c>
      <c r="G701" s="202" t="s">
        <v>425</v>
      </c>
      <c r="H701" s="202" t="s">
        <v>153</v>
      </c>
      <c r="I701" s="202" t="s">
        <v>12</v>
      </c>
      <c r="J701" s="63"/>
      <c r="K701" s="63"/>
    </row>
    <row r="702" spans="2:11" x14ac:dyDescent="0.3">
      <c r="B702" s="292" t="s">
        <v>20</v>
      </c>
      <c r="C702" s="292"/>
      <c r="D702" s="88">
        <v>74.346746648008406</v>
      </c>
      <c r="E702" s="86">
        <v>23.209044380609768</v>
      </c>
      <c r="F702" s="88">
        <v>19.242092053568481</v>
      </c>
      <c r="G702" s="86">
        <v>16.546598324747006</v>
      </c>
      <c r="H702" s="86">
        <v>12.556933001162371</v>
      </c>
      <c r="I702" s="86">
        <v>0.71102818754176134</v>
      </c>
      <c r="J702" s="46"/>
      <c r="K702" s="46"/>
    </row>
    <row r="703" spans="2:11" x14ac:dyDescent="0.3">
      <c r="B703" s="296" t="s">
        <v>5</v>
      </c>
      <c r="C703" s="13" t="s">
        <v>0</v>
      </c>
      <c r="D703" s="89">
        <v>76.740868928519504</v>
      </c>
      <c r="E703" s="84">
        <v>17.225354318444598</v>
      </c>
      <c r="F703" s="89">
        <v>19.178276456532135</v>
      </c>
      <c r="G703" s="84">
        <v>16.637822917472551</v>
      </c>
      <c r="H703" s="84">
        <v>9.217934904534248</v>
      </c>
      <c r="I703" s="84">
        <v>0.54219477077691725</v>
      </c>
      <c r="J703" s="46"/>
      <c r="K703" s="46"/>
    </row>
    <row r="704" spans="2:11" x14ac:dyDescent="0.3">
      <c r="B704" s="295"/>
      <c r="C704" s="12" t="s">
        <v>1</v>
      </c>
      <c r="D704" s="91">
        <v>72.211931735343072</v>
      </c>
      <c r="E704" s="90">
        <v>28.54464101302197</v>
      </c>
      <c r="F704" s="91">
        <v>19.298995783725843</v>
      </c>
      <c r="G704" s="90">
        <v>16.465254267036382</v>
      </c>
      <c r="H704" s="90">
        <v>15.534284236756491</v>
      </c>
      <c r="I704" s="90">
        <v>0.86157525809026292</v>
      </c>
      <c r="J704" s="46"/>
      <c r="K704" s="46"/>
    </row>
    <row r="705" spans="2:11" x14ac:dyDescent="0.3">
      <c r="B705" s="296" t="s">
        <v>4</v>
      </c>
      <c r="C705" s="9" t="s">
        <v>175</v>
      </c>
      <c r="D705" s="88">
        <v>59.124818267290891</v>
      </c>
      <c r="E705" s="86">
        <v>43.401970287149943</v>
      </c>
      <c r="F705" s="88">
        <v>19.337012419031439</v>
      </c>
      <c r="G705" s="86">
        <v>13.434696522245257</v>
      </c>
      <c r="H705" s="86">
        <v>5.5153203665362884</v>
      </c>
      <c r="I705" s="86">
        <v>0</v>
      </c>
      <c r="J705" s="46"/>
      <c r="K705" s="46"/>
    </row>
    <row r="706" spans="2:11" x14ac:dyDescent="0.3">
      <c r="B706" s="292"/>
      <c r="C706" s="9" t="s">
        <v>176</v>
      </c>
      <c r="D706" s="88">
        <v>67.033222751085731</v>
      </c>
      <c r="E706" s="86">
        <v>33.554488188087653</v>
      </c>
      <c r="F706" s="88">
        <v>17.465537530993839</v>
      </c>
      <c r="G706" s="86">
        <v>25.596455055353534</v>
      </c>
      <c r="H706" s="86">
        <v>8.6660566483250872</v>
      </c>
      <c r="I706" s="86">
        <v>0.38126008792505933</v>
      </c>
      <c r="J706" s="46"/>
      <c r="K706" s="46"/>
    </row>
    <row r="707" spans="2:11" x14ac:dyDescent="0.3">
      <c r="B707" s="292"/>
      <c r="C707" s="9" t="s">
        <v>177</v>
      </c>
      <c r="D707" s="88">
        <v>65.82556713247682</v>
      </c>
      <c r="E707" s="86">
        <v>30.921597664158991</v>
      </c>
      <c r="F707" s="88">
        <v>19.25133744176409</v>
      </c>
      <c r="G707" s="86">
        <v>20.03993859978014</v>
      </c>
      <c r="H707" s="86">
        <v>10.068253022347125</v>
      </c>
      <c r="I707" s="86">
        <v>1.6092659030527436</v>
      </c>
      <c r="J707" s="46"/>
      <c r="K707" s="46"/>
    </row>
    <row r="708" spans="2:11" x14ac:dyDescent="0.3">
      <c r="B708" s="292"/>
      <c r="C708" s="9" t="s">
        <v>178</v>
      </c>
      <c r="D708" s="88">
        <v>75.321769659758843</v>
      </c>
      <c r="E708" s="86">
        <v>22.79527739989372</v>
      </c>
      <c r="F708" s="88">
        <v>22.320692999389632</v>
      </c>
      <c r="G708" s="86">
        <v>19.326934133057648</v>
      </c>
      <c r="H708" s="86">
        <v>10.774061998890545</v>
      </c>
      <c r="I708" s="86">
        <v>0.49880385508665193</v>
      </c>
      <c r="J708" s="46"/>
      <c r="K708" s="46"/>
    </row>
    <row r="709" spans="2:11" x14ac:dyDescent="0.3">
      <c r="B709" s="292"/>
      <c r="C709" s="9" t="s">
        <v>179</v>
      </c>
      <c r="D709" s="88">
        <v>78.030811218356604</v>
      </c>
      <c r="E709" s="86">
        <v>17.510457415973192</v>
      </c>
      <c r="F709" s="88">
        <v>19.103779102267779</v>
      </c>
      <c r="G709" s="86">
        <v>13.760020437558731</v>
      </c>
      <c r="H709" s="86">
        <v>12.381839537700959</v>
      </c>
      <c r="I709" s="86">
        <v>0.45503387692821745</v>
      </c>
      <c r="J709" s="46"/>
      <c r="K709" s="46"/>
    </row>
    <row r="710" spans="2:11" x14ac:dyDescent="0.3">
      <c r="B710" s="298"/>
      <c r="C710" s="12" t="s">
        <v>180</v>
      </c>
      <c r="D710" s="91">
        <v>81.629156841928989</v>
      </c>
      <c r="E710" s="90">
        <v>15.696008261640989</v>
      </c>
      <c r="F710" s="91">
        <v>17.415063451519494</v>
      </c>
      <c r="G710" s="90">
        <v>10.167825168112659</v>
      </c>
      <c r="H710" s="90">
        <v>19.296791322706767</v>
      </c>
      <c r="I710" s="90">
        <v>0.8544439720303677</v>
      </c>
      <c r="J710" s="46"/>
      <c r="K710" s="46"/>
    </row>
    <row r="711" spans="2:11" x14ac:dyDescent="0.3">
      <c r="B711" s="292" t="s">
        <v>223</v>
      </c>
      <c r="C711" s="9" t="s">
        <v>210</v>
      </c>
      <c r="D711" s="88">
        <v>71.31984912190768</v>
      </c>
      <c r="E711" s="86">
        <v>31.450385154182975</v>
      </c>
      <c r="F711" s="88">
        <v>13.255156554543243</v>
      </c>
      <c r="G711" s="86">
        <v>17.454982934183278</v>
      </c>
      <c r="H711" s="86">
        <v>3.1908636477918515</v>
      </c>
      <c r="I711" s="86">
        <v>0</v>
      </c>
      <c r="J711" s="46"/>
      <c r="K711" s="46"/>
    </row>
    <row r="712" spans="2:11" x14ac:dyDescent="0.3">
      <c r="B712" s="292"/>
      <c r="C712" s="9" t="s">
        <v>211</v>
      </c>
      <c r="D712" s="88">
        <v>66.760431738487597</v>
      </c>
      <c r="E712" s="86">
        <v>24.152356233580043</v>
      </c>
      <c r="F712" s="88">
        <v>17.310251649840048</v>
      </c>
      <c r="G712" s="86">
        <v>34.003400311471935</v>
      </c>
      <c r="H712" s="86">
        <v>7.1901164490143543</v>
      </c>
      <c r="I712" s="86">
        <v>0</v>
      </c>
      <c r="J712" s="46"/>
      <c r="K712" s="46"/>
    </row>
    <row r="713" spans="2:11" x14ac:dyDescent="0.3">
      <c r="B713" s="292"/>
      <c r="C713" s="9" t="s">
        <v>212</v>
      </c>
      <c r="D713" s="88">
        <v>71.957420735362092</v>
      </c>
      <c r="E713" s="86">
        <v>23.676544199998929</v>
      </c>
      <c r="F713" s="88">
        <v>19.842734206640401</v>
      </c>
      <c r="G713" s="86">
        <v>17.218084192699813</v>
      </c>
      <c r="H713" s="86">
        <v>6.9019756229716069</v>
      </c>
      <c r="I713" s="86">
        <v>0.88269328808124359</v>
      </c>
      <c r="J713" s="46"/>
      <c r="K713" s="46"/>
    </row>
    <row r="714" spans="2:11" x14ac:dyDescent="0.3">
      <c r="B714" s="292"/>
      <c r="C714" s="9" t="s">
        <v>213</v>
      </c>
      <c r="D714" s="88">
        <v>76.84336377582494</v>
      </c>
      <c r="E714" s="86">
        <v>20.580794200906631</v>
      </c>
      <c r="F714" s="88">
        <v>24.2488930753223</v>
      </c>
      <c r="G714" s="86">
        <v>13.842375893510633</v>
      </c>
      <c r="H714" s="86">
        <v>8.263233207431691</v>
      </c>
      <c r="I714" s="86">
        <v>1.0539267051822372</v>
      </c>
      <c r="J714" s="46"/>
      <c r="K714" s="46"/>
    </row>
    <row r="715" spans="2:11" x14ac:dyDescent="0.3">
      <c r="B715" s="292"/>
      <c r="C715" s="9" t="s">
        <v>214</v>
      </c>
      <c r="D715" s="88">
        <v>77.626942968300057</v>
      </c>
      <c r="E715" s="86">
        <v>11.958389975637694</v>
      </c>
      <c r="F715" s="88">
        <v>19.29027190765115</v>
      </c>
      <c r="G715" s="86">
        <v>17.04717226073824</v>
      </c>
      <c r="H715" s="86">
        <v>9.6852039872392321</v>
      </c>
      <c r="I715" s="86">
        <v>0.31204343739000617</v>
      </c>
      <c r="J715" s="46"/>
      <c r="K715" s="46"/>
    </row>
    <row r="716" spans="2:11" x14ac:dyDescent="0.3">
      <c r="B716" s="292"/>
      <c r="C716" s="12" t="s">
        <v>215</v>
      </c>
      <c r="D716" s="91">
        <v>84.743669906058599</v>
      </c>
      <c r="E716" s="90">
        <v>9.2566882188113375</v>
      </c>
      <c r="F716" s="91">
        <v>15.636147155600796</v>
      </c>
      <c r="G716" s="90">
        <v>10.332265262119307</v>
      </c>
      <c r="H716" s="90">
        <v>13.295177561744753</v>
      </c>
      <c r="I716" s="90">
        <v>0.38949655587180726</v>
      </c>
      <c r="J716" s="46"/>
      <c r="K716" s="46"/>
    </row>
    <row r="717" spans="2:11" x14ac:dyDescent="0.3">
      <c r="B717" s="292"/>
      <c r="C717" s="9" t="s">
        <v>216</v>
      </c>
      <c r="D717" s="88">
        <v>46.406033105196236</v>
      </c>
      <c r="E717" s="86">
        <v>55.866854178373927</v>
      </c>
      <c r="F717" s="88">
        <v>25.680072887629319</v>
      </c>
      <c r="G717" s="86">
        <v>9.2417461498261293</v>
      </c>
      <c r="H717" s="86">
        <v>7.939608256968782</v>
      </c>
      <c r="I717" s="86">
        <v>0</v>
      </c>
      <c r="J717" s="46"/>
      <c r="K717" s="46"/>
    </row>
    <row r="718" spans="2:11" x14ac:dyDescent="0.3">
      <c r="B718" s="292"/>
      <c r="C718" s="9" t="s">
        <v>217</v>
      </c>
      <c r="D718" s="88">
        <v>67.219301121271556</v>
      </c>
      <c r="E718" s="86">
        <v>39.96794504542526</v>
      </c>
      <c r="F718" s="88">
        <v>17.571462368483068</v>
      </c>
      <c r="G718" s="86">
        <v>19.86184284580407</v>
      </c>
      <c r="H718" s="86">
        <v>9.6728366890744066</v>
      </c>
      <c r="I718" s="86">
        <v>0.64132824450520887</v>
      </c>
      <c r="J718" s="46"/>
      <c r="K718" s="46"/>
    </row>
    <row r="719" spans="2:11" x14ac:dyDescent="0.3">
      <c r="B719" s="292"/>
      <c r="C719" s="9" t="s">
        <v>218</v>
      </c>
      <c r="D719" s="88">
        <v>59.396421404509013</v>
      </c>
      <c r="E719" s="86">
        <v>38.517914788574096</v>
      </c>
      <c r="F719" s="88">
        <v>18.631267846063164</v>
      </c>
      <c r="G719" s="86">
        <v>22.998605649119256</v>
      </c>
      <c r="H719" s="86">
        <v>13.388041806309275</v>
      </c>
      <c r="I719" s="86">
        <v>2.3710651119256498</v>
      </c>
      <c r="J719" s="46"/>
      <c r="K719" s="46"/>
    </row>
    <row r="720" spans="2:11" x14ac:dyDescent="0.3">
      <c r="B720" s="292"/>
      <c r="C720" s="9" t="s">
        <v>219</v>
      </c>
      <c r="D720" s="88">
        <v>73.954546150871536</v>
      </c>
      <c r="E720" s="86">
        <v>24.785094170162015</v>
      </c>
      <c r="F720" s="88">
        <v>20.588115010412892</v>
      </c>
      <c r="G720" s="86">
        <v>24.255066334537386</v>
      </c>
      <c r="H720" s="86">
        <v>13.030159150046472</v>
      </c>
      <c r="I720" s="86">
        <v>0</v>
      </c>
      <c r="J720" s="46"/>
      <c r="K720" s="46"/>
    </row>
    <row r="721" spans="2:11" x14ac:dyDescent="0.3">
      <c r="B721" s="292"/>
      <c r="C721" s="9" t="s">
        <v>220</v>
      </c>
      <c r="D721" s="88">
        <v>78.389835815946469</v>
      </c>
      <c r="E721" s="86">
        <v>22.446049105290307</v>
      </c>
      <c r="F721" s="88">
        <v>18.937993590787794</v>
      </c>
      <c r="G721" s="86">
        <v>10.837858667306914</v>
      </c>
      <c r="H721" s="86">
        <v>14.779053216209824</v>
      </c>
      <c r="I721" s="86">
        <v>0.58214732297705529</v>
      </c>
      <c r="J721" s="46"/>
      <c r="K721" s="46"/>
    </row>
    <row r="722" spans="2:11" x14ac:dyDescent="0.3">
      <c r="B722" s="295"/>
      <c r="C722" s="9" t="s">
        <v>221</v>
      </c>
      <c r="D722" s="88">
        <v>78.849467144990257</v>
      </c>
      <c r="E722" s="86">
        <v>21.44307408213712</v>
      </c>
      <c r="F722" s="88">
        <v>19.002738698874644</v>
      </c>
      <c r="G722" s="86">
        <v>10.021063081821159</v>
      </c>
      <c r="H722" s="86">
        <v>24.653206143531143</v>
      </c>
      <c r="I722" s="86">
        <v>1.2694075684908783</v>
      </c>
      <c r="J722" s="46"/>
      <c r="K722" s="46"/>
    </row>
    <row r="723" spans="2:11" ht="16.5" customHeight="1" x14ac:dyDescent="0.3">
      <c r="B723" s="291" t="s">
        <v>222</v>
      </c>
      <c r="C723" s="13" t="s">
        <v>226</v>
      </c>
      <c r="D723" s="89">
        <v>70.426257703249306</v>
      </c>
      <c r="E723" s="84">
        <v>24.868113656148466</v>
      </c>
      <c r="F723" s="89">
        <v>12.245582079863913</v>
      </c>
      <c r="G723" s="84">
        <v>16.729650715329665</v>
      </c>
      <c r="H723" s="84">
        <v>11.403051214993962</v>
      </c>
      <c r="I723" s="84">
        <v>0.77562363899175679</v>
      </c>
      <c r="J723" s="46"/>
      <c r="K723" s="46"/>
    </row>
    <row r="724" spans="2:11" x14ac:dyDescent="0.3">
      <c r="B724" s="294"/>
      <c r="C724" s="9" t="s">
        <v>227</v>
      </c>
      <c r="D724" s="88">
        <v>74.579049427238857</v>
      </c>
      <c r="E724" s="86">
        <v>20.394239136694448</v>
      </c>
      <c r="F724" s="88">
        <v>19.815071740625719</v>
      </c>
      <c r="G724" s="86">
        <v>16.604899245417855</v>
      </c>
      <c r="H724" s="86">
        <v>10.921239985327089</v>
      </c>
      <c r="I724" s="86">
        <v>0.8671666328245996</v>
      </c>
      <c r="J724" s="46"/>
      <c r="K724" s="46"/>
    </row>
    <row r="725" spans="2:11" x14ac:dyDescent="0.3">
      <c r="B725" s="292"/>
      <c r="C725" s="9" t="s">
        <v>228</v>
      </c>
      <c r="D725" s="88">
        <v>77.940111349467145</v>
      </c>
      <c r="E725" s="86">
        <v>24.855003508143842</v>
      </c>
      <c r="F725" s="88">
        <v>18.130107863030474</v>
      </c>
      <c r="G725" s="86">
        <v>14.953807980862161</v>
      </c>
      <c r="H725" s="86">
        <v>12.760452549327688</v>
      </c>
      <c r="I725" s="86">
        <v>0.81949958591593319</v>
      </c>
      <c r="J725" s="46"/>
      <c r="K725" s="46"/>
    </row>
    <row r="726" spans="2:11" x14ac:dyDescent="0.3">
      <c r="B726" s="295"/>
      <c r="C726" s="12" t="s">
        <v>229</v>
      </c>
      <c r="D726" s="91">
        <v>74.886470863620289</v>
      </c>
      <c r="E726" s="90">
        <v>23.365223871327821</v>
      </c>
      <c r="F726" s="91">
        <v>26.593722117178086</v>
      </c>
      <c r="G726" s="90">
        <v>17.68582599773903</v>
      </c>
      <c r="H726" s="90">
        <v>15.437945055599053</v>
      </c>
      <c r="I726" s="90">
        <v>0.37017303787048467</v>
      </c>
      <c r="J726" s="46"/>
      <c r="K726" s="46"/>
    </row>
    <row r="727" spans="2:11" x14ac:dyDescent="0.3">
      <c r="B727" s="296" t="s">
        <v>199</v>
      </c>
      <c r="C727" s="13" t="s">
        <v>192</v>
      </c>
      <c r="D727" s="89">
        <v>74.020890674114639</v>
      </c>
      <c r="E727" s="84">
        <v>25.759802732854798</v>
      </c>
      <c r="F727" s="89">
        <v>21.529316793878152</v>
      </c>
      <c r="G727" s="84">
        <v>16.813410428333828</v>
      </c>
      <c r="H727" s="84">
        <v>12.238488278334673</v>
      </c>
      <c r="I727" s="84">
        <v>0.68077439614364799</v>
      </c>
      <c r="J727" s="46"/>
      <c r="K727" s="46"/>
    </row>
    <row r="728" spans="2:11" ht="16.5" customHeight="1" x14ac:dyDescent="0.3">
      <c r="B728" s="292"/>
      <c r="C728" s="9" t="s">
        <v>200</v>
      </c>
      <c r="D728" s="88">
        <v>77.778224836395182</v>
      </c>
      <c r="E728" s="86">
        <v>14.113356859213052</v>
      </c>
      <c r="F728" s="88">
        <v>19.555017133199165</v>
      </c>
      <c r="G728" s="86">
        <v>18.086413847188126</v>
      </c>
      <c r="H728" s="86">
        <v>14.608896657584939</v>
      </c>
      <c r="I728" s="86">
        <v>0</v>
      </c>
      <c r="J728" s="46"/>
      <c r="K728" s="46"/>
    </row>
    <row r="729" spans="2:11" x14ac:dyDescent="0.3">
      <c r="B729" s="292"/>
      <c r="C729" s="9" t="s">
        <v>201</v>
      </c>
      <c r="D729" s="88">
        <v>76.699158194490764</v>
      </c>
      <c r="E729" s="86">
        <v>20.432617044265747</v>
      </c>
      <c r="F729" s="88">
        <v>14.94173443808676</v>
      </c>
      <c r="G729" s="86">
        <v>18.281833186480551</v>
      </c>
      <c r="H729" s="86">
        <v>13.129774060169566</v>
      </c>
      <c r="I729" s="86">
        <v>0.31407141828036855</v>
      </c>
      <c r="J729" s="46"/>
      <c r="K729" s="46"/>
    </row>
    <row r="730" spans="2:11" x14ac:dyDescent="0.3">
      <c r="B730" s="292"/>
      <c r="C730" s="9" t="s">
        <v>202</v>
      </c>
      <c r="D730" s="88">
        <v>73.026237038973775</v>
      </c>
      <c r="E730" s="86">
        <v>20.708967356185426</v>
      </c>
      <c r="F730" s="88">
        <v>18.592557126532615</v>
      </c>
      <c r="G730" s="86">
        <v>14.514965353591618</v>
      </c>
      <c r="H730" s="86">
        <v>14.276595266742842</v>
      </c>
      <c r="I730" s="86">
        <v>0.72769867644073338</v>
      </c>
      <c r="J730" s="46"/>
      <c r="K730" s="46"/>
    </row>
    <row r="731" spans="2:11" x14ac:dyDescent="0.3">
      <c r="B731" s="295"/>
      <c r="C731" s="12" t="s">
        <v>203</v>
      </c>
      <c r="D731" s="91">
        <v>73.951764926058644</v>
      </c>
      <c r="E731" s="90">
        <v>21.283549174767575</v>
      </c>
      <c r="F731" s="91">
        <v>16.339478895395469</v>
      </c>
      <c r="G731" s="90">
        <v>15.704827421670478</v>
      </c>
      <c r="H731" s="90">
        <v>12.015081502871306</v>
      </c>
      <c r="I731" s="90">
        <v>1.0639722246144867</v>
      </c>
      <c r="J731" s="46"/>
      <c r="K731" s="46"/>
    </row>
    <row r="732" spans="2:11" x14ac:dyDescent="0.3">
      <c r="B732" s="291" t="s">
        <v>204</v>
      </c>
      <c r="C732" s="13" t="s">
        <v>192</v>
      </c>
      <c r="D732" s="89">
        <v>74.020890674114639</v>
      </c>
      <c r="E732" s="84">
        <v>25.759802732854798</v>
      </c>
      <c r="F732" s="89">
        <v>21.529316793878152</v>
      </c>
      <c r="G732" s="84">
        <v>16.813410428333828</v>
      </c>
      <c r="H732" s="84">
        <v>12.238488278334673</v>
      </c>
      <c r="I732" s="84">
        <v>0.68077439614364799</v>
      </c>
      <c r="J732" s="46"/>
      <c r="K732" s="46"/>
    </row>
    <row r="733" spans="2:11" x14ac:dyDescent="0.3">
      <c r="B733" s="295"/>
      <c r="C733" s="12" t="s">
        <v>193</v>
      </c>
      <c r="D733" s="91">
        <v>74.706283454294876</v>
      </c>
      <c r="E733" s="90">
        <v>20.394636835412186</v>
      </c>
      <c r="F733" s="91">
        <v>16.71845724471854</v>
      </c>
      <c r="G733" s="90">
        <v>16.252208228239535</v>
      </c>
      <c r="H733" s="90">
        <v>12.90829252130901</v>
      </c>
      <c r="I733" s="90">
        <v>0.74440904414339015</v>
      </c>
      <c r="J733" s="46"/>
      <c r="K733" s="46"/>
    </row>
    <row r="734" spans="2:11" x14ac:dyDescent="0.3">
      <c r="B734" s="291" t="s">
        <v>209</v>
      </c>
      <c r="C734" s="13" t="s">
        <v>205</v>
      </c>
      <c r="D734" s="89">
        <v>74.076123509854938</v>
      </c>
      <c r="E734" s="84">
        <v>20.584650789034125</v>
      </c>
      <c r="F734" s="89">
        <v>13.917368178433104</v>
      </c>
      <c r="G734" s="84">
        <v>20.871207626678395</v>
      </c>
      <c r="H734" s="84">
        <v>13.044029443386956</v>
      </c>
      <c r="I734" s="84">
        <v>0.64308626143638004</v>
      </c>
      <c r="J734" s="46"/>
      <c r="K734" s="46"/>
    </row>
    <row r="735" spans="2:11" x14ac:dyDescent="0.3">
      <c r="B735" s="292"/>
      <c r="C735" s="9" t="s">
        <v>206</v>
      </c>
      <c r="D735" s="88">
        <v>74.37675791969086</v>
      </c>
      <c r="E735" s="86">
        <v>22.763976206247335</v>
      </c>
      <c r="F735" s="88">
        <v>19.330384079404094</v>
      </c>
      <c r="G735" s="86">
        <v>13.160468504923232</v>
      </c>
      <c r="H735" s="86">
        <v>13.875107195932543</v>
      </c>
      <c r="I735" s="86">
        <v>0.80289867086208877</v>
      </c>
      <c r="J735" s="46"/>
      <c r="K735" s="46"/>
    </row>
    <row r="736" spans="2:11" x14ac:dyDescent="0.3">
      <c r="B736" s="292"/>
      <c r="C736" s="9" t="s">
        <v>207</v>
      </c>
      <c r="D736" s="88">
        <v>75.631036462253761</v>
      </c>
      <c r="E736" s="86">
        <v>21.832050191963788</v>
      </c>
      <c r="F736" s="88">
        <v>19.560117124701186</v>
      </c>
      <c r="G736" s="86">
        <v>16.932167955007372</v>
      </c>
      <c r="H736" s="86">
        <v>12.80757174170909</v>
      </c>
      <c r="I736" s="86">
        <v>0.55260966552529611</v>
      </c>
      <c r="J736" s="46"/>
      <c r="K736" s="46"/>
    </row>
    <row r="737" spans="2:16" x14ac:dyDescent="0.3">
      <c r="B737" s="293"/>
      <c r="C737" s="25" t="s">
        <v>208</v>
      </c>
      <c r="D737" s="95">
        <v>73.208362751325609</v>
      </c>
      <c r="E737" s="87">
        <v>25.896532454344289</v>
      </c>
      <c r="F737" s="95">
        <v>21.033169114137973</v>
      </c>
      <c r="G737" s="87">
        <v>16.778014034071408</v>
      </c>
      <c r="H737" s="87">
        <v>11.204954098059227</v>
      </c>
      <c r="I737" s="87">
        <v>0.82612164188040382</v>
      </c>
      <c r="J737" s="46"/>
      <c r="K737" s="46"/>
    </row>
    <row r="738" spans="2:16" x14ac:dyDescent="0.3">
      <c r="B738" s="60"/>
      <c r="C738" s="9"/>
      <c r="D738" s="46"/>
      <c r="E738" s="46"/>
      <c r="F738" s="46"/>
      <c r="G738" s="46"/>
      <c r="H738" s="46"/>
      <c r="I738" s="46"/>
      <c r="J738" s="46"/>
      <c r="K738" s="46"/>
    </row>
    <row r="739" spans="2:16" x14ac:dyDescent="0.3">
      <c r="B739" s="60"/>
      <c r="C739" s="9"/>
      <c r="D739" s="46"/>
      <c r="E739" s="46"/>
      <c r="F739" s="46"/>
      <c r="G739" s="46"/>
      <c r="H739" s="46"/>
      <c r="I739" s="46"/>
      <c r="J739" s="46"/>
      <c r="K739" s="46"/>
    </row>
    <row r="740" spans="2:16" x14ac:dyDescent="0.3">
      <c r="B740" s="17" t="s">
        <v>174</v>
      </c>
    </row>
    <row r="741" spans="2:16" x14ac:dyDescent="0.3">
      <c r="B741" s="17"/>
    </row>
    <row r="742" spans="2:16" x14ac:dyDescent="0.3">
      <c r="B742" s="159" t="s">
        <v>426</v>
      </c>
    </row>
    <row r="743" spans="2:16" x14ac:dyDescent="0.3">
      <c r="B743" s="158"/>
      <c r="J743" s="61"/>
      <c r="L743" s="61"/>
      <c r="M743" s="30"/>
      <c r="N743" s="30" t="s">
        <v>156</v>
      </c>
      <c r="P743" s="30"/>
    </row>
    <row r="744" spans="2:16" s="1" customFormat="1" ht="24.75" customHeight="1" x14ac:dyDescent="0.3">
      <c r="B744" s="235"/>
      <c r="C744" s="209"/>
      <c r="D744" s="210" t="s">
        <v>264</v>
      </c>
      <c r="E744" s="210" t="s">
        <v>266</v>
      </c>
      <c r="F744" s="210" t="s">
        <v>22</v>
      </c>
      <c r="G744" s="210" t="s">
        <v>268</v>
      </c>
      <c r="H744" s="210" t="s">
        <v>272</v>
      </c>
      <c r="I744" s="210" t="s">
        <v>270</v>
      </c>
      <c r="J744" s="210" t="s">
        <v>273</v>
      </c>
      <c r="K744" s="210" t="s">
        <v>23</v>
      </c>
      <c r="L744" s="210" t="s">
        <v>275</v>
      </c>
      <c r="M744" s="210" t="s">
        <v>276</v>
      </c>
      <c r="N744" s="236" t="s">
        <v>155</v>
      </c>
      <c r="O744"/>
    </row>
    <row r="745" spans="2:16" s="1" customFormat="1" ht="24.75" customHeight="1" x14ac:dyDescent="0.3">
      <c r="B745" s="292" t="s">
        <v>20</v>
      </c>
      <c r="C745" s="292"/>
      <c r="D745" s="79">
        <v>16.262317053622695</v>
      </c>
      <c r="E745" s="79">
        <v>20.083799380036716</v>
      </c>
      <c r="F745" s="79">
        <v>69.349075191844818</v>
      </c>
      <c r="G745" s="79">
        <v>31.687717575874085</v>
      </c>
      <c r="H745" s="79">
        <v>5.3333056587625469</v>
      </c>
      <c r="I745" s="79">
        <v>21.27988910031479</v>
      </c>
      <c r="J745" s="79">
        <v>10.668739105240007</v>
      </c>
      <c r="K745" s="79">
        <v>40.451234909016286</v>
      </c>
      <c r="L745" s="79">
        <v>14.890001696312391</v>
      </c>
      <c r="M745" s="79">
        <v>5.7185889292491554</v>
      </c>
      <c r="N745" s="154">
        <v>3.513522561298442</v>
      </c>
      <c r="O745"/>
    </row>
    <row r="746" spans="2:16" s="1" customFormat="1" x14ac:dyDescent="0.3">
      <c r="B746" s="296" t="s">
        <v>5</v>
      </c>
      <c r="C746" s="13" t="s">
        <v>0</v>
      </c>
      <c r="D746" s="80">
        <v>34.064394349606168</v>
      </c>
      <c r="E746" s="80">
        <v>0</v>
      </c>
      <c r="F746" s="80">
        <v>63.542442192605733</v>
      </c>
      <c r="G746" s="80">
        <v>36.695318111010131</v>
      </c>
      <c r="H746" s="80">
        <v>5.5146953707382727</v>
      </c>
      <c r="I746" s="80">
        <v>22.693837394885851</v>
      </c>
      <c r="J746" s="80">
        <v>10.151772076895384</v>
      </c>
      <c r="K746" s="80">
        <v>42.530172284212725</v>
      </c>
      <c r="L746" s="80">
        <v>8.338711557634495</v>
      </c>
      <c r="M746" s="80">
        <v>5.7837829503063567</v>
      </c>
      <c r="N746" s="155">
        <v>3.3065067560415975</v>
      </c>
      <c r="O746"/>
    </row>
    <row r="747" spans="2:16" s="1" customFormat="1" x14ac:dyDescent="0.3">
      <c r="B747" s="295"/>
      <c r="C747" s="12" t="s">
        <v>1</v>
      </c>
      <c r="D747" s="81">
        <v>0</v>
      </c>
      <c r="E747" s="81">
        <v>37.992322586432401</v>
      </c>
      <c r="F747" s="81">
        <v>74.526791810606753</v>
      </c>
      <c r="G747" s="81">
        <v>27.222490220487362</v>
      </c>
      <c r="H747" s="81">
        <v>5.171562265251703</v>
      </c>
      <c r="I747" s="81">
        <v>20.019085535868872</v>
      </c>
      <c r="J747" s="81">
        <v>11.129713438276555</v>
      </c>
      <c r="K747" s="81">
        <v>38.597467226724419</v>
      </c>
      <c r="L747" s="81">
        <v>20.731721644827964</v>
      </c>
      <c r="M747" s="81">
        <v>5.660456072167297</v>
      </c>
      <c r="N747" s="156">
        <v>3.6981164861022502</v>
      </c>
      <c r="O747"/>
    </row>
    <row r="748" spans="2:16" s="1" customFormat="1" x14ac:dyDescent="0.3">
      <c r="B748" s="296" t="s">
        <v>4</v>
      </c>
      <c r="C748" s="9" t="s">
        <v>175</v>
      </c>
      <c r="D748" s="79">
        <v>10.035754246766491</v>
      </c>
      <c r="E748" s="79">
        <v>9.5599117892443317</v>
      </c>
      <c r="F748" s="79">
        <v>55.188369099583369</v>
      </c>
      <c r="G748" s="79">
        <v>27.754511806380783</v>
      </c>
      <c r="H748" s="79">
        <v>3.0727175082095739</v>
      </c>
      <c r="I748" s="79">
        <v>11.901158801398923</v>
      </c>
      <c r="J748" s="79">
        <v>6.9922394445786447</v>
      </c>
      <c r="K748" s="79">
        <v>20.239790236865758</v>
      </c>
      <c r="L748" s="79">
        <v>5.2847918923633346</v>
      </c>
      <c r="M748" s="79">
        <v>6.1664423581229428</v>
      </c>
      <c r="N748" s="154">
        <v>8.4504743541665288</v>
      </c>
      <c r="O748"/>
    </row>
    <row r="749" spans="2:16" s="1" customFormat="1" x14ac:dyDescent="0.3">
      <c r="B749" s="292"/>
      <c r="C749" s="9" t="s">
        <v>176</v>
      </c>
      <c r="D749" s="79">
        <v>10.213646582593952</v>
      </c>
      <c r="E749" s="79">
        <v>13.652602613848069</v>
      </c>
      <c r="F749" s="79">
        <v>67.660251904084447</v>
      </c>
      <c r="G749" s="79">
        <v>21.126284056803961</v>
      </c>
      <c r="H749" s="79">
        <v>0.6965380181993539</v>
      </c>
      <c r="I749" s="79">
        <v>7.0123119652274966</v>
      </c>
      <c r="J749" s="79">
        <v>8.5174093015637009</v>
      </c>
      <c r="K749" s="79">
        <v>29.367881013164027</v>
      </c>
      <c r="L749" s="79">
        <v>10.308231211931917</v>
      </c>
      <c r="M749" s="79">
        <v>6.5880517486580707</v>
      </c>
      <c r="N749" s="154">
        <v>4.1248324971638919</v>
      </c>
      <c r="O749"/>
    </row>
    <row r="750" spans="2:16" s="1" customFormat="1" x14ac:dyDescent="0.3">
      <c r="B750" s="292"/>
      <c r="C750" s="9" t="s">
        <v>177</v>
      </c>
      <c r="D750" s="79">
        <v>12.473035053678807</v>
      </c>
      <c r="E750" s="79">
        <v>14.473635290201534</v>
      </c>
      <c r="F750" s="79">
        <v>68.884611038021959</v>
      </c>
      <c r="G750" s="79">
        <v>25.599892593036845</v>
      </c>
      <c r="H750" s="79">
        <v>1.9577213756486727</v>
      </c>
      <c r="I750" s="79">
        <v>13.490417492095148</v>
      </c>
      <c r="J750" s="79">
        <v>10.291733745267349</v>
      </c>
      <c r="K750" s="79">
        <v>34.481261499254103</v>
      </c>
      <c r="L750" s="79">
        <v>11.275454801841684</v>
      </c>
      <c r="M750" s="79">
        <v>5.3950672437378433</v>
      </c>
      <c r="N750" s="154">
        <v>3.5326039454863323</v>
      </c>
      <c r="O750"/>
    </row>
    <row r="751" spans="2:16" s="1" customFormat="1" x14ac:dyDescent="0.3">
      <c r="B751" s="292"/>
      <c r="C751" s="9" t="s">
        <v>178</v>
      </c>
      <c r="D751" s="79">
        <v>15.199209578861838</v>
      </c>
      <c r="E751" s="79">
        <v>22.02583518383031</v>
      </c>
      <c r="F751" s="79">
        <v>71.149941335801941</v>
      </c>
      <c r="G751" s="79">
        <v>32.593043798113655</v>
      </c>
      <c r="H751" s="79">
        <v>3.3354343488767411</v>
      </c>
      <c r="I751" s="79">
        <v>18.409055424735239</v>
      </c>
      <c r="J751" s="79">
        <v>9.7380742021490967</v>
      </c>
      <c r="K751" s="79">
        <v>38.971378306163871</v>
      </c>
      <c r="L751" s="79">
        <v>11.720273998985574</v>
      </c>
      <c r="M751" s="79">
        <v>3.9102651715274113</v>
      </c>
      <c r="N751" s="154">
        <v>2.6027896106551895</v>
      </c>
      <c r="O751"/>
    </row>
    <row r="752" spans="2:16" s="1" customFormat="1" x14ac:dyDescent="0.3">
      <c r="B752" s="292"/>
      <c r="C752" s="9" t="s">
        <v>179</v>
      </c>
      <c r="D752" s="79">
        <v>16.80428250814645</v>
      </c>
      <c r="E752" s="79">
        <v>23.677512731303484</v>
      </c>
      <c r="F752" s="79">
        <v>73.664276183474172</v>
      </c>
      <c r="G752" s="79">
        <v>38.497208523213096</v>
      </c>
      <c r="H752" s="79">
        <v>7.4207663333950515</v>
      </c>
      <c r="I752" s="79">
        <v>25.767039679666414</v>
      </c>
      <c r="J752" s="79">
        <v>12.552470718672676</v>
      </c>
      <c r="K752" s="79">
        <v>46.715635993289986</v>
      </c>
      <c r="L752" s="79">
        <v>18.786135557226363</v>
      </c>
      <c r="M752" s="79">
        <v>6.1746097784106206</v>
      </c>
      <c r="N752" s="154">
        <v>2.9602152557929142</v>
      </c>
      <c r="O752"/>
    </row>
    <row r="753" spans="2:15" s="1" customFormat="1" x14ac:dyDescent="0.3">
      <c r="B753" s="298"/>
      <c r="C753" s="12" t="s">
        <v>180</v>
      </c>
      <c r="D753" s="81">
        <v>23.474456713393892</v>
      </c>
      <c r="E753" s="81">
        <v>23.354391557200273</v>
      </c>
      <c r="F753" s="81">
        <v>66.513685330510256</v>
      </c>
      <c r="G753" s="81">
        <v>34.015197076555275</v>
      </c>
      <c r="H753" s="81">
        <v>10.130754226403784</v>
      </c>
      <c r="I753" s="81">
        <v>33.613263399363909</v>
      </c>
      <c r="J753" s="81">
        <v>11.525718963399065</v>
      </c>
      <c r="K753" s="81">
        <v>48.34960535055253</v>
      </c>
      <c r="L753" s="81">
        <v>20.157738965343267</v>
      </c>
      <c r="M753" s="81">
        <v>6.6256762449658986</v>
      </c>
      <c r="N753" s="156">
        <v>3.8454888493710468</v>
      </c>
      <c r="O753"/>
    </row>
    <row r="754" spans="2:15" s="1" customFormat="1" x14ac:dyDescent="0.3">
      <c r="B754" s="292" t="s">
        <v>223</v>
      </c>
      <c r="C754" s="9" t="s">
        <v>210</v>
      </c>
      <c r="D754" s="79">
        <v>19.658240288390349</v>
      </c>
      <c r="E754" s="79">
        <v>0</v>
      </c>
      <c r="F754" s="79">
        <v>54.640804422969538</v>
      </c>
      <c r="G754" s="79">
        <v>22.527449068766522</v>
      </c>
      <c r="H754" s="79">
        <v>3.084306851596986</v>
      </c>
      <c r="I754" s="79">
        <v>6.2796984369539484</v>
      </c>
      <c r="J754" s="79">
        <v>5.6155541787864953</v>
      </c>
      <c r="K754" s="79">
        <v>26.613654268205245</v>
      </c>
      <c r="L754" s="79">
        <v>0</v>
      </c>
      <c r="M754" s="79">
        <v>4.7445653178935734</v>
      </c>
      <c r="N754" s="154">
        <v>10.361628141364372</v>
      </c>
      <c r="O754"/>
    </row>
    <row r="755" spans="2:15" s="1" customFormat="1" x14ac:dyDescent="0.3">
      <c r="B755" s="292"/>
      <c r="C755" s="9" t="s">
        <v>211</v>
      </c>
      <c r="D755" s="79">
        <v>25.186859163947222</v>
      </c>
      <c r="E755" s="79">
        <v>0</v>
      </c>
      <c r="F755" s="79">
        <v>59.358600154860177</v>
      </c>
      <c r="G755" s="79">
        <v>30.907919442598054</v>
      </c>
      <c r="H755" s="79">
        <v>1.7176632092028485</v>
      </c>
      <c r="I755" s="79">
        <v>6.470114781911267</v>
      </c>
      <c r="J755" s="79">
        <v>8.328078875065243</v>
      </c>
      <c r="K755" s="79">
        <v>39.907558535179405</v>
      </c>
      <c r="L755" s="79">
        <v>7.0688755696229277</v>
      </c>
      <c r="M755" s="79">
        <v>4.1300688222334854</v>
      </c>
      <c r="N755" s="154">
        <v>4.7306039329520404</v>
      </c>
      <c r="O755"/>
    </row>
    <row r="756" spans="2:15" s="1" customFormat="1" x14ac:dyDescent="0.3">
      <c r="B756" s="292"/>
      <c r="C756" s="9" t="s">
        <v>212</v>
      </c>
      <c r="D756" s="79">
        <v>24.369300618184774</v>
      </c>
      <c r="E756" s="79">
        <v>0</v>
      </c>
      <c r="F756" s="79">
        <v>64.361869251207295</v>
      </c>
      <c r="G756" s="79">
        <v>25.582295619104151</v>
      </c>
      <c r="H756" s="79">
        <v>0</v>
      </c>
      <c r="I756" s="79">
        <v>13.940050459215856</v>
      </c>
      <c r="J756" s="79">
        <v>9.120201486604314</v>
      </c>
      <c r="K756" s="79">
        <v>34.178739228469247</v>
      </c>
      <c r="L756" s="79">
        <v>5.6643044528620674</v>
      </c>
      <c r="M756" s="79">
        <v>4.9075337180753991</v>
      </c>
      <c r="N756" s="154">
        <v>2.7932469155608217</v>
      </c>
      <c r="O756"/>
    </row>
    <row r="757" spans="2:15" s="1" customFormat="1" x14ac:dyDescent="0.3">
      <c r="B757" s="292"/>
      <c r="C757" s="9" t="s">
        <v>213</v>
      </c>
      <c r="D757" s="79">
        <v>31.985582247987153</v>
      </c>
      <c r="E757" s="79">
        <v>0</v>
      </c>
      <c r="F757" s="79">
        <v>67.432808460680647</v>
      </c>
      <c r="G757" s="79">
        <v>41.498039188607358</v>
      </c>
      <c r="H757" s="79">
        <v>3.9172839790056058</v>
      </c>
      <c r="I757" s="79">
        <v>19.560124458301349</v>
      </c>
      <c r="J757" s="79">
        <v>6.329284436143892</v>
      </c>
      <c r="K757" s="79">
        <v>42.000844640119212</v>
      </c>
      <c r="L757" s="79">
        <v>7.399968328479825</v>
      </c>
      <c r="M757" s="79">
        <v>5.2416479299484644</v>
      </c>
      <c r="N757" s="154">
        <v>2.7129415040621234</v>
      </c>
      <c r="O757"/>
    </row>
    <row r="758" spans="2:15" s="1" customFormat="1" ht="24" customHeight="1" x14ac:dyDescent="0.3">
      <c r="B758" s="292"/>
      <c r="C758" s="9" t="s">
        <v>214</v>
      </c>
      <c r="D758" s="79">
        <v>35.707489184180965</v>
      </c>
      <c r="E758" s="79">
        <v>0</v>
      </c>
      <c r="F758" s="79">
        <v>65.667315501084019</v>
      </c>
      <c r="G758" s="79">
        <v>40.560836878298126</v>
      </c>
      <c r="H758" s="79">
        <v>7.2860926092560172</v>
      </c>
      <c r="I758" s="79">
        <v>27.119033549886183</v>
      </c>
      <c r="J758" s="79">
        <v>13.072150633632173</v>
      </c>
      <c r="K758" s="79">
        <v>45.537781128446284</v>
      </c>
      <c r="L758" s="79">
        <v>10.671822891762444</v>
      </c>
      <c r="M758" s="79">
        <v>4.4741871755454685</v>
      </c>
      <c r="N758" s="154">
        <v>3.519029168113553</v>
      </c>
      <c r="O758"/>
    </row>
    <row r="759" spans="2:15" s="1" customFormat="1" x14ac:dyDescent="0.3">
      <c r="B759" s="292"/>
      <c r="C759" s="12" t="s">
        <v>215</v>
      </c>
      <c r="D759" s="81">
        <v>47.99385624176066</v>
      </c>
      <c r="E759" s="81">
        <v>0</v>
      </c>
      <c r="F759" s="81">
        <v>60.434649034664901</v>
      </c>
      <c r="G759" s="81">
        <v>41.372262412813974</v>
      </c>
      <c r="H759" s="81">
        <v>11.393653744563323</v>
      </c>
      <c r="I759" s="81">
        <v>37.677631590422756</v>
      </c>
      <c r="J759" s="81">
        <v>13.041864254429104</v>
      </c>
      <c r="K759" s="81">
        <v>49.949459097140981</v>
      </c>
      <c r="L759" s="81">
        <v>10.738151210678019</v>
      </c>
      <c r="M759" s="81">
        <v>9.2650906393141614</v>
      </c>
      <c r="N759" s="156">
        <v>2.175189593739558</v>
      </c>
      <c r="O759"/>
    </row>
    <row r="760" spans="2:15" s="1" customFormat="1" x14ac:dyDescent="0.3">
      <c r="B760" s="292"/>
      <c r="C760" s="9" t="s">
        <v>216</v>
      </c>
      <c r="D760" s="79">
        <v>0</v>
      </c>
      <c r="E760" s="79">
        <v>19.530404333750141</v>
      </c>
      <c r="F760" s="79">
        <v>55.759450679222603</v>
      </c>
      <c r="G760" s="79">
        <v>33.206067344129806</v>
      </c>
      <c r="H760" s="79">
        <v>3.0606304236854358</v>
      </c>
      <c r="I760" s="79">
        <v>17.764050623893862</v>
      </c>
      <c r="J760" s="79">
        <v>8.428050828754257</v>
      </c>
      <c r="K760" s="79">
        <v>13.592180383847708</v>
      </c>
      <c r="L760" s="79">
        <v>10.796555946646356</v>
      </c>
      <c r="M760" s="79">
        <v>7.6493864209291482</v>
      </c>
      <c r="N760" s="154">
        <v>6.4572400015129112</v>
      </c>
      <c r="O760"/>
    </row>
    <row r="761" spans="2:15" s="1" customFormat="1" x14ac:dyDescent="0.3">
      <c r="B761" s="292"/>
      <c r="C761" s="9" t="s">
        <v>217</v>
      </c>
      <c r="D761" s="79">
        <v>0</v>
      </c>
      <c r="E761" s="79">
        <v>22.965424246000417</v>
      </c>
      <c r="F761" s="79">
        <v>73.323040471178004</v>
      </c>
      <c r="G761" s="79">
        <v>14.453957307452059</v>
      </c>
      <c r="H761" s="79">
        <v>0</v>
      </c>
      <c r="I761" s="79">
        <v>7.382159810396427</v>
      </c>
      <c r="J761" s="79">
        <v>8.6465568744763566</v>
      </c>
      <c r="K761" s="79">
        <v>22.178472546577929</v>
      </c>
      <c r="L761" s="79">
        <v>12.517886187850605</v>
      </c>
      <c r="M761" s="79">
        <v>8.2647105672081338</v>
      </c>
      <c r="N761" s="154">
        <v>3.7116188784194573</v>
      </c>
      <c r="O761"/>
    </row>
    <row r="762" spans="2:15" s="1" customFormat="1" ht="24" customHeight="1" x14ac:dyDescent="0.3">
      <c r="B762" s="292"/>
      <c r="C762" s="9" t="s">
        <v>218</v>
      </c>
      <c r="D762" s="79">
        <v>0</v>
      </c>
      <c r="E762" s="79">
        <v>29.648999302541828</v>
      </c>
      <c r="F762" s="79">
        <v>73.626629996811161</v>
      </c>
      <c r="G762" s="79">
        <v>25.618342725266285</v>
      </c>
      <c r="H762" s="79">
        <v>4.0103594250764418</v>
      </c>
      <c r="I762" s="79">
        <v>13.01898486226894</v>
      </c>
      <c r="J762" s="79">
        <v>11.520065682679562</v>
      </c>
      <c r="K762" s="79">
        <v>34.798451029662495</v>
      </c>
      <c r="L762" s="79">
        <v>17.158651895482869</v>
      </c>
      <c r="M762" s="79">
        <v>5.9062379739521154</v>
      </c>
      <c r="N762" s="154">
        <v>4.3078073991617387</v>
      </c>
      <c r="O762"/>
    </row>
    <row r="763" spans="2:15" s="1" customFormat="1" x14ac:dyDescent="0.3">
      <c r="B763" s="292"/>
      <c r="C763" s="9" t="s">
        <v>219</v>
      </c>
      <c r="D763" s="79">
        <v>0</v>
      </c>
      <c r="E763" s="79">
        <v>41.817078688409389</v>
      </c>
      <c r="F763" s="79">
        <v>74.489959149264976</v>
      </c>
      <c r="G763" s="79">
        <v>24.591488773775627</v>
      </c>
      <c r="H763" s="79">
        <v>2.8126152313804016</v>
      </c>
      <c r="I763" s="79">
        <v>17.374766039395009</v>
      </c>
      <c r="J763" s="79">
        <v>12.801031304654462</v>
      </c>
      <c r="K763" s="79">
        <v>36.249261055951571</v>
      </c>
      <c r="L763" s="79">
        <v>15.602270791641276</v>
      </c>
      <c r="M763" s="79">
        <v>2.7139554675006754</v>
      </c>
      <c r="N763" s="154">
        <v>2.5038129804065563</v>
      </c>
      <c r="O763"/>
    </row>
    <row r="764" spans="2:15" s="1" customFormat="1" x14ac:dyDescent="0.3">
      <c r="B764" s="292"/>
      <c r="C764" s="9" t="s">
        <v>220</v>
      </c>
      <c r="D764" s="79">
        <v>0</v>
      </c>
      <c r="E764" s="79">
        <v>44.72598455124583</v>
      </c>
      <c r="F764" s="79">
        <v>80.77329153819683</v>
      </c>
      <c r="G764" s="79">
        <v>36.662715864640369</v>
      </c>
      <c r="H764" s="79">
        <v>7.5404865134492516</v>
      </c>
      <c r="I764" s="79">
        <v>24.565164921916608</v>
      </c>
      <c r="J764" s="79">
        <v>12.090493644917229</v>
      </c>
      <c r="K764" s="79">
        <v>47.762707331060533</v>
      </c>
      <c r="L764" s="79">
        <v>25.999472676518309</v>
      </c>
      <c r="M764" s="79">
        <v>7.6862253625543646</v>
      </c>
      <c r="N764" s="154">
        <v>2.4634494417670965</v>
      </c>
      <c r="O764"/>
    </row>
    <row r="765" spans="2:15" s="1" customFormat="1" x14ac:dyDescent="0.3">
      <c r="B765" s="295"/>
      <c r="C765" s="9" t="s">
        <v>221</v>
      </c>
      <c r="D765" s="79">
        <v>0</v>
      </c>
      <c r="E765" s="79">
        <v>44.198086944933657</v>
      </c>
      <c r="F765" s="79">
        <v>71.939199435266318</v>
      </c>
      <c r="G765" s="79">
        <v>27.44904747505371</v>
      </c>
      <c r="H765" s="79">
        <v>9.0036217640847074</v>
      </c>
      <c r="I765" s="79">
        <v>29.985832031240811</v>
      </c>
      <c r="J765" s="79">
        <v>10.172565723145565</v>
      </c>
      <c r="K765" s="79">
        <v>46.921742668832422</v>
      </c>
      <c r="L765" s="79">
        <v>28.564681075369482</v>
      </c>
      <c r="M765" s="79">
        <v>4.2700100952806119</v>
      </c>
      <c r="N765" s="154">
        <v>5.3362238490592411</v>
      </c>
      <c r="O765"/>
    </row>
    <row r="766" spans="2:15" s="1" customFormat="1" x14ac:dyDescent="0.3">
      <c r="B766" s="291" t="s">
        <v>222</v>
      </c>
      <c r="C766" s="13" t="s">
        <v>195</v>
      </c>
      <c r="D766" s="80">
        <v>10.85047912426084</v>
      </c>
      <c r="E766" s="80">
        <v>20.717539102338854</v>
      </c>
      <c r="F766" s="80">
        <v>63.765992998571733</v>
      </c>
      <c r="G766" s="80">
        <v>27.120943606163284</v>
      </c>
      <c r="H766" s="80">
        <v>2.137766576847941</v>
      </c>
      <c r="I766" s="80">
        <v>18.205551231048645</v>
      </c>
      <c r="J766" s="80">
        <v>10.848971975745895</v>
      </c>
      <c r="K766" s="80">
        <v>37.218559770715963</v>
      </c>
      <c r="L766" s="80">
        <v>13.724646815731628</v>
      </c>
      <c r="M766" s="80">
        <v>6.2423013174328297</v>
      </c>
      <c r="N766" s="155">
        <v>6.2774333212393358</v>
      </c>
      <c r="O766"/>
    </row>
    <row r="767" spans="2:15" s="1" customFormat="1" x14ac:dyDescent="0.3">
      <c r="B767" s="294"/>
      <c r="C767" s="9" t="s">
        <v>196</v>
      </c>
      <c r="D767" s="79">
        <v>18.080022460365679</v>
      </c>
      <c r="E767" s="79">
        <v>18.858205780020661</v>
      </c>
      <c r="F767" s="79">
        <v>69.261996592738356</v>
      </c>
      <c r="G767" s="79">
        <v>30.167450697956898</v>
      </c>
      <c r="H767" s="79">
        <v>4.0764386375699413</v>
      </c>
      <c r="I767" s="79">
        <v>21.276341197809156</v>
      </c>
      <c r="J767" s="79">
        <v>9.262322990383085</v>
      </c>
      <c r="K767" s="79">
        <v>39.635894205258381</v>
      </c>
      <c r="L767" s="79">
        <v>13.388173643808315</v>
      </c>
      <c r="M767" s="79">
        <v>4.2762258293480366</v>
      </c>
      <c r="N767" s="154">
        <v>2.3238542588390652</v>
      </c>
      <c r="O767"/>
    </row>
    <row r="768" spans="2:15" s="1" customFormat="1" x14ac:dyDescent="0.3">
      <c r="B768" s="292"/>
      <c r="C768" s="9" t="s">
        <v>197</v>
      </c>
      <c r="D768" s="79">
        <v>17.738800021501973</v>
      </c>
      <c r="E768" s="79">
        <v>17.088041510436515</v>
      </c>
      <c r="F768" s="79">
        <v>72.132808484729068</v>
      </c>
      <c r="G768" s="79">
        <v>34.376478741333543</v>
      </c>
      <c r="H768" s="79">
        <v>5.9686561162256977</v>
      </c>
      <c r="I768" s="79">
        <v>23.239991377530199</v>
      </c>
      <c r="J768" s="79">
        <v>11.12115183132916</v>
      </c>
      <c r="K768" s="79">
        <v>44.761621012329229</v>
      </c>
      <c r="L768" s="79">
        <v>15.406719320428133</v>
      </c>
      <c r="M768" s="79">
        <v>5.2291253744641519</v>
      </c>
      <c r="N768" s="154">
        <v>3.3841970220397228</v>
      </c>
      <c r="O768"/>
    </row>
    <row r="769" spans="2:16" s="1" customFormat="1" x14ac:dyDescent="0.3">
      <c r="B769" s="295"/>
      <c r="C769" s="12" t="s">
        <v>198</v>
      </c>
      <c r="D769" s="81">
        <v>18.314022598164932</v>
      </c>
      <c r="E769" s="81">
        <v>23.483514326092727</v>
      </c>
      <c r="F769" s="81">
        <v>72.640415068065536</v>
      </c>
      <c r="G769" s="81">
        <v>35.70073267933644</v>
      </c>
      <c r="H769" s="81">
        <v>9.4536064842554008</v>
      </c>
      <c r="I769" s="81">
        <v>22.667631599119787</v>
      </c>
      <c r="J769" s="81">
        <v>11.72313328697542</v>
      </c>
      <c r="K769" s="81">
        <v>40.887083450406735</v>
      </c>
      <c r="L769" s="81">
        <v>17.353773562023861</v>
      </c>
      <c r="M769" s="81">
        <v>7.2914589402828449</v>
      </c>
      <c r="N769" s="156">
        <v>2.2231049750592264</v>
      </c>
      <c r="O769"/>
    </row>
    <row r="770" spans="2:16" s="1" customFormat="1" x14ac:dyDescent="0.3">
      <c r="B770" s="296" t="s">
        <v>199</v>
      </c>
      <c r="C770" s="13" t="s">
        <v>192</v>
      </c>
      <c r="D770" s="80">
        <v>15.969118578496937</v>
      </c>
      <c r="E770" s="80">
        <v>21.293514280594692</v>
      </c>
      <c r="F770" s="80">
        <v>70.137535658968886</v>
      </c>
      <c r="G770" s="80">
        <v>30.599676558701216</v>
      </c>
      <c r="H770" s="80">
        <v>5.2907482942409185</v>
      </c>
      <c r="I770" s="80">
        <v>20.400512795052371</v>
      </c>
      <c r="J770" s="80">
        <v>10.389226243486572</v>
      </c>
      <c r="K770" s="80">
        <v>40.537757798275145</v>
      </c>
      <c r="L770" s="80">
        <v>15.697877227100395</v>
      </c>
      <c r="M770" s="80">
        <v>5.627103541872696</v>
      </c>
      <c r="N770" s="155">
        <v>2.6408740158463764</v>
      </c>
      <c r="O770"/>
    </row>
    <row r="771" spans="2:16" s="1" customFormat="1" x14ac:dyDescent="0.3">
      <c r="B771" s="292"/>
      <c r="C771" s="9" t="s">
        <v>200</v>
      </c>
      <c r="D771" s="79">
        <v>14.6397238545619</v>
      </c>
      <c r="E771" s="79">
        <v>13.905149917464712</v>
      </c>
      <c r="F771" s="79">
        <v>71.416528233342746</v>
      </c>
      <c r="G771" s="79">
        <v>39.78133579931427</v>
      </c>
      <c r="H771" s="79">
        <v>6.42376097410349</v>
      </c>
      <c r="I771" s="79">
        <v>18.079375557449254</v>
      </c>
      <c r="J771" s="79">
        <v>12.266921396590561</v>
      </c>
      <c r="K771" s="79">
        <v>48.512353168179111</v>
      </c>
      <c r="L771" s="79">
        <v>14.631412064535645</v>
      </c>
      <c r="M771" s="79">
        <v>3.7674582303622528</v>
      </c>
      <c r="N771" s="154">
        <v>3.7855505065220312</v>
      </c>
      <c r="O771"/>
    </row>
    <row r="772" spans="2:16" s="1" customFormat="1" x14ac:dyDescent="0.3">
      <c r="B772" s="292"/>
      <c r="C772" s="9" t="s">
        <v>201</v>
      </c>
      <c r="D772" s="79">
        <v>17.512439210862876</v>
      </c>
      <c r="E772" s="79">
        <v>19.976933515832052</v>
      </c>
      <c r="F772" s="79">
        <v>66.054760479945784</v>
      </c>
      <c r="G772" s="79">
        <v>33.155736886461177</v>
      </c>
      <c r="H772" s="79">
        <v>3.9063396802035313</v>
      </c>
      <c r="I772" s="79">
        <v>20.47047264084857</v>
      </c>
      <c r="J772" s="79">
        <v>11.607873410012088</v>
      </c>
      <c r="K772" s="79">
        <v>43.309687361939389</v>
      </c>
      <c r="L772" s="79">
        <v>14.294070583798407</v>
      </c>
      <c r="M772" s="79">
        <v>5.6114894449650201</v>
      </c>
      <c r="N772" s="154">
        <v>4.8621991850915292</v>
      </c>
      <c r="O772"/>
    </row>
    <row r="773" spans="2:16" s="1" customFormat="1" x14ac:dyDescent="0.3">
      <c r="B773" s="292"/>
      <c r="C773" s="9" t="s">
        <v>202</v>
      </c>
      <c r="D773" s="79">
        <v>18.011609747733772</v>
      </c>
      <c r="E773" s="79">
        <v>18.605331381430233</v>
      </c>
      <c r="F773" s="79">
        <v>66.674136481271901</v>
      </c>
      <c r="G773" s="79">
        <v>30.942853411169352</v>
      </c>
      <c r="H773" s="79">
        <v>4.3062415576591846</v>
      </c>
      <c r="I773" s="79">
        <v>23.23952699566863</v>
      </c>
      <c r="J773" s="79">
        <v>13.536842553816127</v>
      </c>
      <c r="K773" s="79">
        <v>39.9500727843416</v>
      </c>
      <c r="L773" s="79">
        <v>11.893305048673732</v>
      </c>
      <c r="M773" s="79">
        <v>6.8808430138005514</v>
      </c>
      <c r="N773" s="154">
        <v>5.4203500948872492</v>
      </c>
      <c r="O773"/>
    </row>
    <row r="774" spans="2:16" s="1" customFormat="1" x14ac:dyDescent="0.3">
      <c r="B774" s="295"/>
      <c r="C774" s="12" t="s">
        <v>203</v>
      </c>
      <c r="D774" s="81">
        <v>15.951444074094331</v>
      </c>
      <c r="E774" s="81">
        <v>19.046197308897238</v>
      </c>
      <c r="F774" s="81">
        <v>69.76268346063253</v>
      </c>
      <c r="G774" s="81">
        <v>32.379696517201751</v>
      </c>
      <c r="H774" s="81">
        <v>6.2728946462510731</v>
      </c>
      <c r="I774" s="81">
        <v>23.34990453974887</v>
      </c>
      <c r="J774" s="81">
        <v>9.5183025450347944</v>
      </c>
      <c r="K774" s="81">
        <v>37.861876073221374</v>
      </c>
      <c r="L774" s="81">
        <v>14.55930476590687</v>
      </c>
      <c r="M774" s="81">
        <v>5.845935484403662</v>
      </c>
      <c r="N774" s="156">
        <v>4.0603502220497596</v>
      </c>
      <c r="O774"/>
    </row>
    <row r="775" spans="2:16" s="1" customFormat="1" x14ac:dyDescent="0.3">
      <c r="B775" s="291" t="s">
        <v>204</v>
      </c>
      <c r="C775" s="13" t="s">
        <v>192</v>
      </c>
      <c r="D775" s="80">
        <v>15.969118578496937</v>
      </c>
      <c r="E775" s="80">
        <v>21.293514280594692</v>
      </c>
      <c r="F775" s="80">
        <v>70.137535658968886</v>
      </c>
      <c r="G775" s="80">
        <v>30.599676558701216</v>
      </c>
      <c r="H775" s="80">
        <v>5.2907482942409185</v>
      </c>
      <c r="I775" s="80">
        <v>20.400512795052371</v>
      </c>
      <c r="J775" s="80">
        <v>10.389226243486572</v>
      </c>
      <c r="K775" s="80">
        <v>40.537757798275145</v>
      </c>
      <c r="L775" s="80">
        <v>15.697877227100395</v>
      </c>
      <c r="M775" s="80">
        <v>5.627103541872696</v>
      </c>
      <c r="N775" s="155">
        <v>2.6408740158463764</v>
      </c>
      <c r="O775"/>
    </row>
    <row r="776" spans="2:16" s="1" customFormat="1" x14ac:dyDescent="0.3">
      <c r="B776" s="295"/>
      <c r="C776" s="12" t="s">
        <v>193</v>
      </c>
      <c r="D776" s="81">
        <v>16.585820846096162</v>
      </c>
      <c r="E776" s="81">
        <v>18.74904701485411</v>
      </c>
      <c r="F776" s="81">
        <v>68.479118582348363</v>
      </c>
      <c r="G776" s="81">
        <v>32.888219711061183</v>
      </c>
      <c r="H776" s="81">
        <v>5.3802617993581734</v>
      </c>
      <c r="I776" s="81">
        <v>22.250158709123724</v>
      </c>
      <c r="J776" s="81">
        <v>10.977142724268234</v>
      </c>
      <c r="K776" s="81">
        <v>40.355768918618708</v>
      </c>
      <c r="L776" s="81">
        <v>13.998623260785939</v>
      </c>
      <c r="M776" s="81">
        <v>5.819530347036193</v>
      </c>
      <c r="N776" s="156">
        <v>4.4763690216323013</v>
      </c>
      <c r="O776"/>
    </row>
    <row r="777" spans="2:16" s="1" customFormat="1" x14ac:dyDescent="0.3">
      <c r="B777" s="291" t="s">
        <v>209</v>
      </c>
      <c r="C777" s="13" t="s">
        <v>205</v>
      </c>
      <c r="D777" s="80">
        <v>12.599666898164335</v>
      </c>
      <c r="E777" s="80">
        <v>13.610050623813223</v>
      </c>
      <c r="F777" s="80">
        <v>68.035362897392844</v>
      </c>
      <c r="G777" s="80">
        <v>28.294641770122293</v>
      </c>
      <c r="H777" s="80">
        <v>2.2188619284971995</v>
      </c>
      <c r="I777" s="80">
        <v>16.595616684978136</v>
      </c>
      <c r="J777" s="80">
        <v>7.7438669203417563</v>
      </c>
      <c r="K777" s="80">
        <v>43.769150631639917</v>
      </c>
      <c r="L777" s="80">
        <v>12.57990560217441</v>
      </c>
      <c r="M777" s="80">
        <v>8.3896722015683967</v>
      </c>
      <c r="N777" s="155">
        <v>4.4054313875193882</v>
      </c>
      <c r="O777"/>
    </row>
    <row r="778" spans="2:16" s="1" customFormat="1" x14ac:dyDescent="0.3">
      <c r="B778" s="292"/>
      <c r="C778" s="9" t="s">
        <v>206</v>
      </c>
      <c r="D778" s="79">
        <v>12.574382880267121</v>
      </c>
      <c r="E778" s="79">
        <v>25.409423894455578</v>
      </c>
      <c r="F778" s="79">
        <v>69.081497795121933</v>
      </c>
      <c r="G778" s="79">
        <v>30.460575672522626</v>
      </c>
      <c r="H778" s="79">
        <v>5.586243409964756</v>
      </c>
      <c r="I778" s="79">
        <v>23.376665457572781</v>
      </c>
      <c r="J778" s="79">
        <v>13.803695284831846</v>
      </c>
      <c r="K778" s="79">
        <v>40.277027717646661</v>
      </c>
      <c r="L778" s="79">
        <v>17.708802385358904</v>
      </c>
      <c r="M778" s="79">
        <v>6.3994537879968494</v>
      </c>
      <c r="N778" s="154">
        <v>3.853319496999088</v>
      </c>
      <c r="O778"/>
    </row>
    <row r="779" spans="2:16" s="1" customFormat="1" x14ac:dyDescent="0.3">
      <c r="B779" s="292"/>
      <c r="C779" s="9" t="s">
        <v>207</v>
      </c>
      <c r="D779" s="79">
        <v>18.13924754591099</v>
      </c>
      <c r="E779" s="79">
        <v>19.363225450675024</v>
      </c>
      <c r="F779" s="79">
        <v>72.372757078600671</v>
      </c>
      <c r="G779" s="79">
        <v>30.503825189146543</v>
      </c>
      <c r="H779" s="79">
        <v>6.8945651309410492</v>
      </c>
      <c r="I779" s="79">
        <v>22.571428491050341</v>
      </c>
      <c r="J779" s="79">
        <v>9.8962439495638979</v>
      </c>
      <c r="K779" s="79">
        <v>41.797483711985237</v>
      </c>
      <c r="L779" s="79">
        <v>16.278342214988779</v>
      </c>
      <c r="M779" s="79">
        <v>4.2700354366708533</v>
      </c>
      <c r="N779" s="154">
        <v>3.3160283450465635</v>
      </c>
      <c r="O779"/>
    </row>
    <row r="780" spans="2:16" s="1" customFormat="1" x14ac:dyDescent="0.3">
      <c r="B780" s="293"/>
      <c r="C780" s="25" t="s">
        <v>208</v>
      </c>
      <c r="D780" s="82">
        <v>18.512741840575313</v>
      </c>
      <c r="E780" s="82">
        <v>19.696132008063095</v>
      </c>
      <c r="F780" s="82">
        <v>67.177730900427918</v>
      </c>
      <c r="G780" s="82">
        <v>35.044991072890078</v>
      </c>
      <c r="H780" s="82">
        <v>4.9271023441963209</v>
      </c>
      <c r="I780" s="82">
        <v>20.486879323382905</v>
      </c>
      <c r="J780" s="82">
        <v>10.414601275672824</v>
      </c>
      <c r="K780" s="82">
        <v>37.942261089025251</v>
      </c>
      <c r="L780" s="82">
        <v>12.54175239206034</v>
      </c>
      <c r="M780" s="82">
        <v>5.5482768436590382</v>
      </c>
      <c r="N780" s="157">
        <v>3.1051180841336472</v>
      </c>
      <c r="O780"/>
    </row>
    <row r="781" spans="2:16" x14ac:dyDescent="0.3">
      <c r="B781" s="24"/>
      <c r="C781" s="9"/>
      <c r="D781" s="56"/>
      <c r="E781" s="56"/>
      <c r="F781" s="56"/>
      <c r="G781" s="56"/>
      <c r="H781" s="56"/>
      <c r="I781" s="58"/>
      <c r="J781" s="56"/>
      <c r="K781" s="56"/>
      <c r="L781" s="58"/>
      <c r="M781" s="56"/>
      <c r="N781" s="56"/>
      <c r="O781" s="62"/>
    </row>
    <row r="782" spans="2:16" x14ac:dyDescent="0.3">
      <c r="B782" s="24"/>
      <c r="C782" s="9"/>
      <c r="D782" s="56"/>
      <c r="E782" s="56"/>
      <c r="F782" s="56"/>
      <c r="G782" s="56"/>
      <c r="H782" s="56"/>
      <c r="I782" s="58"/>
      <c r="J782" s="56"/>
      <c r="K782" s="56"/>
      <c r="L782" s="58"/>
      <c r="M782" s="56"/>
      <c r="N782" s="56"/>
      <c r="O782" s="62"/>
    </row>
    <row r="783" spans="2:16" x14ac:dyDescent="0.3">
      <c r="B783" s="159" t="s">
        <v>427</v>
      </c>
    </row>
    <row r="784" spans="2:16" x14ac:dyDescent="0.3">
      <c r="B784" s="158"/>
      <c r="J784" s="61"/>
      <c r="K784" s="61"/>
      <c r="L784" s="30"/>
      <c r="M784" s="30" t="s">
        <v>154</v>
      </c>
      <c r="P784" s="30"/>
    </row>
    <row r="785" spans="2:15" s="1" customFormat="1" ht="24.75" customHeight="1" x14ac:dyDescent="0.3">
      <c r="B785" s="235"/>
      <c r="C785" s="209"/>
      <c r="D785" s="210" t="s">
        <v>264</v>
      </c>
      <c r="E785" s="210" t="s">
        <v>266</v>
      </c>
      <c r="F785" s="210" t="s">
        <v>22</v>
      </c>
      <c r="G785" s="210" t="s">
        <v>268</v>
      </c>
      <c r="H785" s="210" t="s">
        <v>272</v>
      </c>
      <c r="I785" s="210" t="s">
        <v>270</v>
      </c>
      <c r="J785" s="210" t="s">
        <v>273</v>
      </c>
      <c r="K785" s="210" t="s">
        <v>23</v>
      </c>
      <c r="L785" s="210" t="s">
        <v>275</v>
      </c>
      <c r="M785" s="210" t="s">
        <v>276</v>
      </c>
      <c r="O785"/>
    </row>
    <row r="786" spans="2:15" s="1" customFormat="1" ht="24.75" customHeight="1" x14ac:dyDescent="0.3">
      <c r="B786" s="292" t="s">
        <v>20</v>
      </c>
      <c r="C786" s="292"/>
      <c r="D786" s="160">
        <v>1.6657201664578161</v>
      </c>
      <c r="E786" s="160">
        <v>2.9550295574673306</v>
      </c>
      <c r="F786" s="160">
        <v>4.3905762550335545</v>
      </c>
      <c r="G786" s="160">
        <v>2.6409042947792902</v>
      </c>
      <c r="H786" s="160">
        <v>1.3390496406876695</v>
      </c>
      <c r="I786" s="160">
        <v>1.9346379581012003</v>
      </c>
      <c r="J786" s="160">
        <v>3.3955617043136654</v>
      </c>
      <c r="K786" s="160">
        <v>2.0690716697001803</v>
      </c>
      <c r="L786" s="160">
        <v>1.841140146576826</v>
      </c>
      <c r="M786" s="160">
        <v>3.0210345643425471</v>
      </c>
      <c r="O786"/>
    </row>
    <row r="787" spans="2:15" s="1" customFormat="1" x14ac:dyDescent="0.3">
      <c r="B787" s="296" t="s">
        <v>5</v>
      </c>
      <c r="C787" s="13" t="s">
        <v>0</v>
      </c>
      <c r="D787" s="161">
        <v>1.6716392236422406</v>
      </c>
      <c r="E787" s="161">
        <v>0</v>
      </c>
      <c r="F787" s="161">
        <v>2.992012366564865</v>
      </c>
      <c r="G787" s="161">
        <v>2.3438510587327595</v>
      </c>
      <c r="H787" s="161">
        <v>1.3250222101642171</v>
      </c>
      <c r="I787" s="161">
        <v>1.792305657225322</v>
      </c>
      <c r="J787" s="161">
        <v>3.0751574661997259</v>
      </c>
      <c r="K787" s="161">
        <v>1.8070459495929745</v>
      </c>
      <c r="L787" s="161">
        <v>1.2071364963228968</v>
      </c>
      <c r="M787" s="161">
        <v>3.407005321725042</v>
      </c>
      <c r="O787"/>
    </row>
    <row r="788" spans="2:15" s="1" customFormat="1" x14ac:dyDescent="0.3">
      <c r="B788" s="295"/>
      <c r="C788" s="12" t="s">
        <v>1</v>
      </c>
      <c r="D788" s="162">
        <v>1.3232351400536069</v>
      </c>
      <c r="E788" s="162">
        <v>2.9588963897063842</v>
      </c>
      <c r="F788" s="162">
        <v>5.4593802160265188</v>
      </c>
      <c r="G788" s="162">
        <v>2.9896473070275671</v>
      </c>
      <c r="H788" s="162">
        <v>1.3504553352933963</v>
      </c>
      <c r="I788" s="162">
        <v>2.0736514305368119</v>
      </c>
      <c r="J788" s="162">
        <v>3.6394649668142049</v>
      </c>
      <c r="K788" s="162">
        <v>2.3249433805431159</v>
      </c>
      <c r="L788" s="162">
        <v>2.0972670960866484</v>
      </c>
      <c r="M788" s="162">
        <v>2.7046464832364308</v>
      </c>
      <c r="O788"/>
    </row>
    <row r="789" spans="2:15" s="1" customFormat="1" x14ac:dyDescent="0.3">
      <c r="B789" s="296" t="s">
        <v>4</v>
      </c>
      <c r="C789" s="9" t="s">
        <v>175</v>
      </c>
      <c r="D789" s="160">
        <v>1.9882437016845738</v>
      </c>
      <c r="E789" s="160">
        <v>1.7188080197664044</v>
      </c>
      <c r="F789" s="160">
        <v>3.4501175439346192</v>
      </c>
      <c r="G789" s="160">
        <v>2.0439046170558544</v>
      </c>
      <c r="H789" s="160">
        <v>2.5373104414505221</v>
      </c>
      <c r="I789" s="160">
        <v>1.3320698922444003</v>
      </c>
      <c r="J789" s="160">
        <v>1.8198037024600497</v>
      </c>
      <c r="K789" s="160">
        <v>1.4710380375750784</v>
      </c>
      <c r="L789" s="160">
        <v>1</v>
      </c>
      <c r="M789" s="160">
        <v>1.7441602929110727</v>
      </c>
      <c r="O789"/>
    </row>
    <row r="790" spans="2:15" s="1" customFormat="1" x14ac:dyDescent="0.3">
      <c r="B790" s="292"/>
      <c r="C790" s="9" t="s">
        <v>176</v>
      </c>
      <c r="D790" s="160">
        <v>1.8582589352023182</v>
      </c>
      <c r="E790" s="160">
        <v>2.5247938182101741</v>
      </c>
      <c r="F790" s="160">
        <v>4.8381065487219104</v>
      </c>
      <c r="G790" s="160">
        <v>2.7866300184974593</v>
      </c>
      <c r="H790" s="160">
        <v>0.60397086662570798</v>
      </c>
      <c r="I790" s="160">
        <v>2.2534716171261295</v>
      </c>
      <c r="J790" s="160">
        <v>4.5995479145837166</v>
      </c>
      <c r="K790" s="160">
        <v>1.7724889873044896</v>
      </c>
      <c r="L790" s="160">
        <v>1.6960288334789506</v>
      </c>
      <c r="M790" s="160">
        <v>1.9557295674360091</v>
      </c>
      <c r="O790"/>
    </row>
    <row r="791" spans="2:15" s="1" customFormat="1" x14ac:dyDescent="0.3">
      <c r="B791" s="292"/>
      <c r="C791" s="9" t="s">
        <v>177</v>
      </c>
      <c r="D791" s="160">
        <v>1.3866090325414897</v>
      </c>
      <c r="E791" s="160">
        <v>2.5556031878534347</v>
      </c>
      <c r="F791" s="160">
        <v>5.1972396881459844</v>
      </c>
      <c r="G791" s="160">
        <v>2.8686064325758198</v>
      </c>
      <c r="H791" s="160">
        <v>1.5094220133124348</v>
      </c>
      <c r="I791" s="160">
        <v>1.9901980352731439</v>
      </c>
      <c r="J791" s="160">
        <v>4.4072307741187524</v>
      </c>
      <c r="K791" s="160">
        <v>2.1268072660808248</v>
      </c>
      <c r="L791" s="160">
        <v>2.0026259523700127</v>
      </c>
      <c r="M791" s="160">
        <v>2.0872594097593051</v>
      </c>
      <c r="O791"/>
    </row>
    <row r="792" spans="2:15" s="1" customFormat="1" x14ac:dyDescent="0.3">
      <c r="B792" s="292"/>
      <c r="C792" s="9" t="s">
        <v>178</v>
      </c>
      <c r="D792" s="160">
        <v>1.3271683648794768</v>
      </c>
      <c r="E792" s="160">
        <v>2.6174951268434556</v>
      </c>
      <c r="F792" s="160">
        <v>4.3440079509641194</v>
      </c>
      <c r="G792" s="160">
        <v>2.3582306962156458</v>
      </c>
      <c r="H792" s="160">
        <v>1.5608304002435012</v>
      </c>
      <c r="I792" s="160">
        <v>1.8466103000893754</v>
      </c>
      <c r="J792" s="160">
        <v>4.3832647494846899</v>
      </c>
      <c r="K792" s="160">
        <v>2.1130512139875259</v>
      </c>
      <c r="L792" s="160">
        <v>2.2366276881808607</v>
      </c>
      <c r="M792" s="160">
        <v>2.9723330860305688</v>
      </c>
      <c r="O792"/>
    </row>
    <row r="793" spans="2:15" s="1" customFormat="1" x14ac:dyDescent="0.3">
      <c r="B793" s="292"/>
      <c r="C793" s="9" t="s">
        <v>179</v>
      </c>
      <c r="D793" s="160">
        <v>1.8249362968471299</v>
      </c>
      <c r="E793" s="160">
        <v>3.9707938925280182</v>
      </c>
      <c r="F793" s="160">
        <v>4.7040158641657248</v>
      </c>
      <c r="G793" s="160">
        <v>2.885071593589255</v>
      </c>
      <c r="H793" s="160">
        <v>1.3539760626815525</v>
      </c>
      <c r="I793" s="160">
        <v>2.0919031244286028</v>
      </c>
      <c r="J793" s="160">
        <v>3.0637877562751301</v>
      </c>
      <c r="K793" s="160">
        <v>2.1491723297355914</v>
      </c>
      <c r="L793" s="160">
        <v>1.8000949586750832</v>
      </c>
      <c r="M793" s="160">
        <v>3.6894031553318074</v>
      </c>
      <c r="O793"/>
    </row>
    <row r="794" spans="2:15" s="1" customFormat="1" x14ac:dyDescent="0.3">
      <c r="B794" s="298"/>
      <c r="C794" s="12" t="s">
        <v>180</v>
      </c>
      <c r="D794" s="162">
        <v>1.7833171716520777</v>
      </c>
      <c r="E794" s="162">
        <v>2.5168198769615802</v>
      </c>
      <c r="F794" s="162">
        <v>3.3855664868879582</v>
      </c>
      <c r="G794" s="162">
        <v>2.5111938784554999</v>
      </c>
      <c r="H794" s="162">
        <v>1.2285682057243092</v>
      </c>
      <c r="I794" s="162">
        <v>1.8386745100281672</v>
      </c>
      <c r="J794" s="162">
        <v>2.4226380429944609</v>
      </c>
      <c r="K794" s="162">
        <v>2.0590676967807688</v>
      </c>
      <c r="L794" s="162">
        <v>1.6826171939535166</v>
      </c>
      <c r="M794" s="162">
        <v>3.2985741363019696</v>
      </c>
      <c r="O794"/>
    </row>
    <row r="795" spans="2:15" s="1" customFormat="1" x14ac:dyDescent="0.3">
      <c r="B795" s="292" t="s">
        <v>223</v>
      </c>
      <c r="C795" s="9" t="s">
        <v>210</v>
      </c>
      <c r="D795" s="160">
        <v>1.9882437016845738</v>
      </c>
      <c r="E795" s="160">
        <v>0</v>
      </c>
      <c r="F795" s="160">
        <v>2.331940343295881</v>
      </c>
      <c r="G795" s="160">
        <v>1.8642856768053373</v>
      </c>
      <c r="H795" s="160">
        <v>4</v>
      </c>
      <c r="I795" s="160">
        <v>1</v>
      </c>
      <c r="J795" s="160">
        <v>1.4317811659896784</v>
      </c>
      <c r="K795" s="160">
        <v>1.5914344863928935</v>
      </c>
      <c r="L795" s="160">
        <v>0</v>
      </c>
      <c r="M795" s="160">
        <v>1.5110458742869883</v>
      </c>
      <c r="O795"/>
    </row>
    <row r="796" spans="2:15" s="1" customFormat="1" x14ac:dyDescent="0.3">
      <c r="B796" s="292"/>
      <c r="C796" s="9" t="s">
        <v>211</v>
      </c>
      <c r="D796" s="160">
        <v>1.8582589352023182</v>
      </c>
      <c r="E796" s="160">
        <v>0</v>
      </c>
      <c r="F796" s="160">
        <v>3.2816309682636584</v>
      </c>
      <c r="G796" s="160">
        <v>2.7326674129071624</v>
      </c>
      <c r="H796" s="160">
        <v>0.60397086662570798</v>
      </c>
      <c r="I796" s="160">
        <v>3.015663322110818</v>
      </c>
      <c r="J796" s="160">
        <v>2.8007592093228832</v>
      </c>
      <c r="K796" s="160">
        <v>1.7154059884279182</v>
      </c>
      <c r="L796" s="160">
        <v>1.4599617849071262</v>
      </c>
      <c r="M796" s="160">
        <v>3.1279500465436003</v>
      </c>
      <c r="O796"/>
    </row>
    <row r="797" spans="2:15" s="1" customFormat="1" x14ac:dyDescent="0.3">
      <c r="B797" s="292"/>
      <c r="C797" s="9" t="s">
        <v>212</v>
      </c>
      <c r="D797" s="160">
        <v>1.3866090325414897</v>
      </c>
      <c r="E797" s="160">
        <v>0</v>
      </c>
      <c r="F797" s="160">
        <v>3.5092752990506448</v>
      </c>
      <c r="G797" s="160">
        <v>2.4029740111638227</v>
      </c>
      <c r="H797" s="160">
        <v>0</v>
      </c>
      <c r="I797" s="160">
        <v>1.5677847468245618</v>
      </c>
      <c r="J797" s="160">
        <v>3.6747411319295127</v>
      </c>
      <c r="K797" s="160">
        <v>1.8955745301958726</v>
      </c>
      <c r="L797" s="160">
        <v>1.2654166365798347</v>
      </c>
      <c r="M797" s="160">
        <v>2.2562115569860022</v>
      </c>
      <c r="O797"/>
    </row>
    <row r="798" spans="2:15" s="1" customFormat="1" x14ac:dyDescent="0.3">
      <c r="B798" s="292"/>
      <c r="C798" s="9" t="s">
        <v>213</v>
      </c>
      <c r="D798" s="160">
        <v>1.3355013549635579</v>
      </c>
      <c r="E798" s="160">
        <v>0</v>
      </c>
      <c r="F798" s="160">
        <v>3.1266542548706076</v>
      </c>
      <c r="G798" s="160">
        <v>2.2474100973567896</v>
      </c>
      <c r="H798" s="160">
        <v>1.4067578954649498</v>
      </c>
      <c r="I798" s="160">
        <v>1.932729186642473</v>
      </c>
      <c r="J798" s="160">
        <v>3.8330721909156433</v>
      </c>
      <c r="K798" s="160">
        <v>1.8170079317051835</v>
      </c>
      <c r="L798" s="160">
        <v>1.537599192366613</v>
      </c>
      <c r="M798" s="160">
        <v>2.9688218478647683</v>
      </c>
      <c r="O798"/>
    </row>
    <row r="799" spans="2:15" s="1" customFormat="1" ht="24" customHeight="1" x14ac:dyDescent="0.3">
      <c r="B799" s="292"/>
      <c r="C799" s="9" t="s">
        <v>214</v>
      </c>
      <c r="D799" s="160">
        <v>1.8249362968471299</v>
      </c>
      <c r="E799" s="160">
        <v>0</v>
      </c>
      <c r="F799" s="160">
        <v>2.8753884189446737</v>
      </c>
      <c r="G799" s="160">
        <v>2.4146254455233902</v>
      </c>
      <c r="H799" s="160">
        <v>1.3537830085261782</v>
      </c>
      <c r="I799" s="160">
        <v>1.7624801265375212</v>
      </c>
      <c r="J799" s="160">
        <v>3.0277774658891841</v>
      </c>
      <c r="K799" s="160">
        <v>1.7269286647416806</v>
      </c>
      <c r="L799" s="160">
        <v>1.2401283312438769</v>
      </c>
      <c r="M799" s="160">
        <v>5.7668579825640327</v>
      </c>
      <c r="O799"/>
    </row>
    <row r="800" spans="2:15" s="1" customFormat="1" x14ac:dyDescent="0.3">
      <c r="B800" s="292"/>
      <c r="C800" s="12" t="s">
        <v>215</v>
      </c>
      <c r="D800" s="162">
        <v>1.7982400615919871</v>
      </c>
      <c r="E800" s="162">
        <v>0</v>
      </c>
      <c r="F800" s="162">
        <v>2.5565250977423126</v>
      </c>
      <c r="G800" s="162">
        <v>2.2501245961374634</v>
      </c>
      <c r="H800" s="162">
        <v>1.288187427552463</v>
      </c>
      <c r="I800" s="162">
        <v>1.7346256460768383</v>
      </c>
      <c r="J800" s="162">
        <v>2.7405292587973498</v>
      </c>
      <c r="K800" s="162">
        <v>1.8831514646071923</v>
      </c>
      <c r="L800" s="162">
        <v>0.94724291656640291</v>
      </c>
      <c r="M800" s="162">
        <v>2.6882468085646951</v>
      </c>
      <c r="O800"/>
    </row>
    <row r="801" spans="2:15" s="1" customFormat="1" x14ac:dyDescent="0.3">
      <c r="B801" s="292"/>
      <c r="C801" s="9" t="s">
        <v>216</v>
      </c>
      <c r="D801" s="160">
        <v>0</v>
      </c>
      <c r="E801" s="160">
        <v>1.7188080197664044</v>
      </c>
      <c r="F801" s="160">
        <v>4.5929220884609032</v>
      </c>
      <c r="G801" s="160">
        <v>2.1709940464941213</v>
      </c>
      <c r="H801" s="160">
        <v>1</v>
      </c>
      <c r="I801" s="160">
        <v>1.4545002210240316</v>
      </c>
      <c r="J801" s="160">
        <v>2.0894442211632316</v>
      </c>
      <c r="K801" s="160">
        <v>1.2251758244264137</v>
      </c>
      <c r="L801" s="160">
        <v>1</v>
      </c>
      <c r="M801" s="160">
        <v>1.8949604152367336</v>
      </c>
      <c r="O801"/>
    </row>
    <row r="802" spans="2:15" s="1" customFormat="1" x14ac:dyDescent="0.3">
      <c r="B802" s="292"/>
      <c r="C802" s="9" t="s">
        <v>217</v>
      </c>
      <c r="D802" s="160">
        <v>0</v>
      </c>
      <c r="E802" s="160">
        <v>2.5247938182101741</v>
      </c>
      <c r="F802" s="160">
        <v>5.7139259427843374</v>
      </c>
      <c r="G802" s="160">
        <v>2.8653421641335419</v>
      </c>
      <c r="H802" s="160">
        <v>0</v>
      </c>
      <c r="I802" s="160">
        <v>1.7977930560618618</v>
      </c>
      <c r="J802" s="160">
        <v>5.7813577902259015</v>
      </c>
      <c r="K802" s="160">
        <v>1.8425531833844722</v>
      </c>
      <c r="L802" s="160">
        <v>1.7869616293376074</v>
      </c>
      <c r="M802" s="160">
        <v>1.5561486132476321</v>
      </c>
      <c r="O802"/>
    </row>
    <row r="803" spans="2:15" s="1" customFormat="1" ht="24" customHeight="1" x14ac:dyDescent="0.3">
      <c r="B803" s="292"/>
      <c r="C803" s="9" t="s">
        <v>218</v>
      </c>
      <c r="D803" s="160">
        <v>0</v>
      </c>
      <c r="E803" s="160">
        <v>2.5556031878534347</v>
      </c>
      <c r="F803" s="160">
        <v>6.7443400887321214</v>
      </c>
      <c r="G803" s="160">
        <v>3.3220724681178209</v>
      </c>
      <c r="H803" s="160">
        <v>1.6861329712202315</v>
      </c>
      <c r="I803" s="160">
        <v>2.4402112454321827</v>
      </c>
      <c r="J803" s="160">
        <v>4.9267565568517719</v>
      </c>
      <c r="K803" s="160">
        <v>2.3602343238951802</v>
      </c>
      <c r="L803" s="160">
        <v>2.238526290019903</v>
      </c>
      <c r="M803" s="160">
        <v>1.9659764582707839</v>
      </c>
      <c r="O803"/>
    </row>
    <row r="804" spans="2:15" s="1" customFormat="1" x14ac:dyDescent="0.3">
      <c r="B804" s="292"/>
      <c r="C804" s="9" t="s">
        <v>219</v>
      </c>
      <c r="D804" s="160">
        <v>0</v>
      </c>
      <c r="E804" s="160">
        <v>2.6174951268434556</v>
      </c>
      <c r="F804" s="160">
        <v>5.3280358160877777</v>
      </c>
      <c r="G804" s="160">
        <v>2.5202333523235438</v>
      </c>
      <c r="H804" s="160">
        <v>1.7504106099715337</v>
      </c>
      <c r="I804" s="160">
        <v>1.7649926290326219</v>
      </c>
      <c r="J804" s="160">
        <v>4.6461173642941507</v>
      </c>
      <c r="K804" s="160">
        <v>2.4146111041140066</v>
      </c>
      <c r="L804" s="160">
        <v>2.5153998691227706</v>
      </c>
      <c r="M804" s="160">
        <v>2.9762271732737955</v>
      </c>
      <c r="O804"/>
    </row>
    <row r="805" spans="2:15" s="1" customFormat="1" x14ac:dyDescent="0.3">
      <c r="B805" s="292"/>
      <c r="C805" s="9" t="s">
        <v>220</v>
      </c>
      <c r="D805" s="160">
        <v>0</v>
      </c>
      <c r="E805" s="160">
        <v>3.9707938925280182</v>
      </c>
      <c r="F805" s="160">
        <v>6.0191719916012314</v>
      </c>
      <c r="G805" s="160">
        <v>3.3395771366408353</v>
      </c>
      <c r="H805" s="160">
        <v>1.3541052526937847</v>
      </c>
      <c r="I805" s="160">
        <v>2.4016755481580878</v>
      </c>
      <c r="J805" s="160">
        <v>3.0923117530253252</v>
      </c>
      <c r="K805" s="160">
        <v>2.5054744025444236</v>
      </c>
      <c r="L805" s="160">
        <v>2.0341845319138945</v>
      </c>
      <c r="M805" s="160">
        <v>2.4583488194464325</v>
      </c>
      <c r="O805"/>
    </row>
    <row r="806" spans="2:15" s="1" customFormat="1" x14ac:dyDescent="0.3">
      <c r="B806" s="295"/>
      <c r="C806" s="9" t="s">
        <v>221</v>
      </c>
      <c r="D806" s="160">
        <v>0</v>
      </c>
      <c r="E806" s="160">
        <v>2.5289348641625593</v>
      </c>
      <c r="F806" s="160">
        <v>4.0244734539563227</v>
      </c>
      <c r="G806" s="160">
        <v>2.8608181741158303</v>
      </c>
      <c r="H806" s="160">
        <v>1.1740378793241923</v>
      </c>
      <c r="I806" s="160">
        <v>1.9532193575414443</v>
      </c>
      <c r="J806" s="160">
        <v>2.0940527573262888</v>
      </c>
      <c r="K806" s="160">
        <v>2.227882202936144</v>
      </c>
      <c r="L806" s="160">
        <v>2.0140091429990319</v>
      </c>
      <c r="M806" s="160">
        <v>4.123409000777384</v>
      </c>
      <c r="O806"/>
    </row>
    <row r="807" spans="2:15" s="1" customFormat="1" x14ac:dyDescent="0.3">
      <c r="B807" s="291" t="s">
        <v>222</v>
      </c>
      <c r="C807" s="13" t="s">
        <v>195</v>
      </c>
      <c r="D807" s="161">
        <v>1.3977213056464042</v>
      </c>
      <c r="E807" s="161">
        <v>2.2596637002952602</v>
      </c>
      <c r="F807" s="161">
        <v>4.5023198371188107</v>
      </c>
      <c r="G807" s="161">
        <v>2.7587987692607201</v>
      </c>
      <c r="H807" s="161">
        <v>0.85577329889208498</v>
      </c>
      <c r="I807" s="161">
        <v>2.0414544844809632</v>
      </c>
      <c r="J807" s="161">
        <v>3.7939179653522919</v>
      </c>
      <c r="K807" s="161">
        <v>2.0666423122812736</v>
      </c>
      <c r="L807" s="161">
        <v>1.8582565072441777</v>
      </c>
      <c r="M807" s="161">
        <v>2.2049505711387543</v>
      </c>
      <c r="O807"/>
    </row>
    <row r="808" spans="2:15" s="1" customFormat="1" x14ac:dyDescent="0.3">
      <c r="B808" s="294"/>
      <c r="C808" s="9" t="s">
        <v>196</v>
      </c>
      <c r="D808" s="160">
        <v>1.5661087218829797</v>
      </c>
      <c r="E808" s="160">
        <v>2.4085809535757594</v>
      </c>
      <c r="F808" s="160">
        <v>3.9126230644181179</v>
      </c>
      <c r="G808" s="160">
        <v>2.5353384634004503</v>
      </c>
      <c r="H808" s="160">
        <v>1.3021322029702196</v>
      </c>
      <c r="I808" s="160">
        <v>1.7799031063157322</v>
      </c>
      <c r="J808" s="160">
        <v>3.1392144693892057</v>
      </c>
      <c r="K808" s="160">
        <v>1.9081668680940296</v>
      </c>
      <c r="L808" s="160">
        <v>1.6547572385604481</v>
      </c>
      <c r="M808" s="160">
        <v>3.6000100731818279</v>
      </c>
      <c r="O808"/>
    </row>
    <row r="809" spans="2:15" s="1" customFormat="1" x14ac:dyDescent="0.3">
      <c r="B809" s="292"/>
      <c r="C809" s="9" t="s">
        <v>197</v>
      </c>
      <c r="D809" s="160">
        <v>1.6353193553852319</v>
      </c>
      <c r="E809" s="160">
        <v>5.0102758313326907</v>
      </c>
      <c r="F809" s="160">
        <v>4.6599327118187848</v>
      </c>
      <c r="G809" s="160">
        <v>2.4167167667843508</v>
      </c>
      <c r="H809" s="160">
        <v>1.1020844342391607</v>
      </c>
      <c r="I809" s="160">
        <v>1.9711448386990182</v>
      </c>
      <c r="J809" s="160">
        <v>3.291421332472273</v>
      </c>
      <c r="K809" s="160">
        <v>2.0921016546272915</v>
      </c>
      <c r="L809" s="160">
        <v>1.6549716608571818</v>
      </c>
      <c r="M809" s="160">
        <v>1.8055244109423154</v>
      </c>
      <c r="O809"/>
    </row>
    <row r="810" spans="2:15" s="1" customFormat="1" x14ac:dyDescent="0.3">
      <c r="B810" s="295"/>
      <c r="C810" s="12" t="s">
        <v>198</v>
      </c>
      <c r="D810" s="162">
        <v>1.9778472305513668</v>
      </c>
      <c r="E810" s="162">
        <v>2.7839991957572328</v>
      </c>
      <c r="F810" s="162">
        <v>4.5870846095784978</v>
      </c>
      <c r="G810" s="162">
        <v>2.8410397895705608</v>
      </c>
      <c r="H810" s="162">
        <v>1.728096096990293</v>
      </c>
      <c r="I810" s="162">
        <v>1.9829256895401812</v>
      </c>
      <c r="J810" s="162">
        <v>3.3471627892703624</v>
      </c>
      <c r="K810" s="162">
        <v>2.2304306114935599</v>
      </c>
      <c r="L810" s="162">
        <v>2.1503661228798983</v>
      </c>
      <c r="M810" s="162">
        <v>4.2300386582926066</v>
      </c>
      <c r="O810"/>
    </row>
    <row r="811" spans="2:15" s="1" customFormat="1" x14ac:dyDescent="0.3">
      <c r="B811" s="296" t="s">
        <v>199</v>
      </c>
      <c r="C811" s="13" t="s">
        <v>192</v>
      </c>
      <c r="D811" s="161">
        <v>1.5510038049617849</v>
      </c>
      <c r="E811" s="161">
        <v>3.3666717188865167</v>
      </c>
      <c r="F811" s="161">
        <v>4.3820955493986551</v>
      </c>
      <c r="G811" s="161">
        <v>2.6649620420306306</v>
      </c>
      <c r="H811" s="161">
        <v>1.2978701622875553</v>
      </c>
      <c r="I811" s="161">
        <v>1.8883220431015924</v>
      </c>
      <c r="J811" s="161">
        <v>3.0441414330414971</v>
      </c>
      <c r="K811" s="161">
        <v>2.0594141148439959</v>
      </c>
      <c r="L811" s="161">
        <v>1.8880334106951611</v>
      </c>
      <c r="M811" s="161">
        <v>3.3508639690275697</v>
      </c>
      <c r="O811"/>
    </row>
    <row r="812" spans="2:15" s="1" customFormat="1" x14ac:dyDescent="0.3">
      <c r="B812" s="292"/>
      <c r="C812" s="9" t="s">
        <v>200</v>
      </c>
      <c r="D812" s="160">
        <v>1.5075260793815244</v>
      </c>
      <c r="E812" s="160">
        <v>2.1258378704859293</v>
      </c>
      <c r="F812" s="160">
        <v>4.4292287117157434</v>
      </c>
      <c r="G812" s="160">
        <v>2.4675160560718239</v>
      </c>
      <c r="H812" s="160">
        <v>2.2640696160605396</v>
      </c>
      <c r="I812" s="160">
        <v>1.4551657191507297</v>
      </c>
      <c r="J812" s="160">
        <v>3.2594123285635561</v>
      </c>
      <c r="K812" s="160">
        <v>1.7202568360685921</v>
      </c>
      <c r="L812" s="160">
        <v>1.0929671781866024</v>
      </c>
      <c r="M812" s="160">
        <v>2.1116233148567787</v>
      </c>
      <c r="O812"/>
    </row>
    <row r="813" spans="2:15" s="1" customFormat="1" x14ac:dyDescent="0.3">
      <c r="B813" s="292"/>
      <c r="C813" s="9" t="s">
        <v>201</v>
      </c>
      <c r="D813" s="160">
        <v>1.8367295925714533</v>
      </c>
      <c r="E813" s="160">
        <v>2.3313294538481579</v>
      </c>
      <c r="F813" s="160">
        <v>4.1319041505726704</v>
      </c>
      <c r="G813" s="160">
        <v>2.9242800064459074</v>
      </c>
      <c r="H813" s="160">
        <v>1.4516632504431159</v>
      </c>
      <c r="I813" s="160">
        <v>2.1145697364336153</v>
      </c>
      <c r="J813" s="160">
        <v>4.7963488224470767</v>
      </c>
      <c r="K813" s="160">
        <v>2.2900647561033471</v>
      </c>
      <c r="L813" s="160">
        <v>1.6627714268801865</v>
      </c>
      <c r="M813" s="160">
        <v>3.0416208982505299</v>
      </c>
      <c r="O813"/>
    </row>
    <row r="814" spans="2:15" s="1" customFormat="1" x14ac:dyDescent="0.3">
      <c r="B814" s="292"/>
      <c r="C814" s="9" t="s">
        <v>202</v>
      </c>
      <c r="D814" s="160">
        <v>1.8175256120712258</v>
      </c>
      <c r="E814" s="160">
        <v>2.6896989264290814</v>
      </c>
      <c r="F814" s="160">
        <v>4.2126610556737845</v>
      </c>
      <c r="G814" s="160">
        <v>2.4186567670251207</v>
      </c>
      <c r="H814" s="160">
        <v>1.2466916133830319</v>
      </c>
      <c r="I814" s="160">
        <v>2.0331410184278824</v>
      </c>
      <c r="J814" s="160">
        <v>3.475299277153681</v>
      </c>
      <c r="K814" s="160">
        <v>2.0052318364837176</v>
      </c>
      <c r="L814" s="160">
        <v>1.8684089187992605</v>
      </c>
      <c r="M814" s="160">
        <v>2.6618972743861335</v>
      </c>
      <c r="O814"/>
    </row>
    <row r="815" spans="2:15" s="1" customFormat="1" x14ac:dyDescent="0.3">
      <c r="B815" s="295"/>
      <c r="C815" s="12" t="s">
        <v>203</v>
      </c>
      <c r="D815" s="162">
        <v>1.7881270462691632</v>
      </c>
      <c r="E815" s="162">
        <v>2.4625539515052428</v>
      </c>
      <c r="F815" s="162">
        <v>4.5778753893202682</v>
      </c>
      <c r="G815" s="162">
        <v>2.5819155507145983</v>
      </c>
      <c r="H815" s="162">
        <v>1.2224405490492758</v>
      </c>
      <c r="I815" s="162">
        <v>1.9826032475320758</v>
      </c>
      <c r="J815" s="162">
        <v>3.4527075421053497</v>
      </c>
      <c r="K815" s="162">
        <v>2.0776570067371978</v>
      </c>
      <c r="L815" s="162">
        <v>1.9530526680874793</v>
      </c>
      <c r="M815" s="162">
        <v>2.5987922190701105</v>
      </c>
      <c r="O815"/>
    </row>
    <row r="816" spans="2:15" s="1" customFormat="1" x14ac:dyDescent="0.3">
      <c r="B816" s="291" t="s">
        <v>204</v>
      </c>
      <c r="C816" s="13" t="s">
        <v>192</v>
      </c>
      <c r="D816" s="161">
        <v>1.5510038049617849</v>
      </c>
      <c r="E816" s="161">
        <v>3.3666717188865167</v>
      </c>
      <c r="F816" s="161">
        <v>4.3820955493986551</v>
      </c>
      <c r="G816" s="161">
        <v>2.6649620420306306</v>
      </c>
      <c r="H816" s="161">
        <v>1.2978701622875553</v>
      </c>
      <c r="I816" s="161">
        <v>1.8883220431015924</v>
      </c>
      <c r="J816" s="161">
        <v>3.0441414330414971</v>
      </c>
      <c r="K816" s="161">
        <v>2.0594141148439959</v>
      </c>
      <c r="L816" s="161">
        <v>1.8880334106951611</v>
      </c>
      <c r="M816" s="161">
        <v>3.3508639690275697</v>
      </c>
      <c r="O816"/>
    </row>
    <row r="817" spans="2:16" s="1" customFormat="1" x14ac:dyDescent="0.3">
      <c r="B817" s="295"/>
      <c r="C817" s="12" t="s">
        <v>193</v>
      </c>
      <c r="D817" s="162">
        <v>1.7863507442236992</v>
      </c>
      <c r="E817" s="162">
        <v>2.4524765483480979</v>
      </c>
      <c r="F817" s="162">
        <v>4.4002021847580846</v>
      </c>
      <c r="G817" s="162">
        <v>2.6161849758924736</v>
      </c>
      <c r="H817" s="162">
        <v>1.3840636860651518</v>
      </c>
      <c r="I817" s="162">
        <v>1.9814266063795447</v>
      </c>
      <c r="J817" s="162">
        <v>3.7434861655933291</v>
      </c>
      <c r="K817" s="162">
        <v>2.0798680384933075</v>
      </c>
      <c r="L817" s="162">
        <v>1.7855720611440147</v>
      </c>
      <c r="M817" s="162">
        <v>2.664810441890372</v>
      </c>
      <c r="O817"/>
    </row>
    <row r="818" spans="2:16" s="1" customFormat="1" x14ac:dyDescent="0.3">
      <c r="B818" s="291" t="s">
        <v>209</v>
      </c>
      <c r="C818" s="13" t="s">
        <v>205</v>
      </c>
      <c r="D818" s="161">
        <v>1.3692993462774046</v>
      </c>
      <c r="E818" s="161">
        <v>2.2457626714891057</v>
      </c>
      <c r="F818" s="161">
        <v>4.4464915596025776</v>
      </c>
      <c r="G818" s="161">
        <v>3.0599764558994451</v>
      </c>
      <c r="H818" s="161">
        <v>0.94113835714328598</v>
      </c>
      <c r="I818" s="161">
        <v>2.1627489857614282</v>
      </c>
      <c r="J818" s="161">
        <v>4.3520532821857199</v>
      </c>
      <c r="K818" s="161">
        <v>1.9530940783052455</v>
      </c>
      <c r="L818" s="161">
        <v>1.7377406405696088</v>
      </c>
      <c r="M818" s="161">
        <v>2.1558746761609475</v>
      </c>
      <c r="O818"/>
    </row>
    <row r="819" spans="2:16" s="1" customFormat="1" x14ac:dyDescent="0.3">
      <c r="B819" s="292"/>
      <c r="C819" s="9" t="s">
        <v>206</v>
      </c>
      <c r="D819" s="160">
        <v>1.7730288909025878</v>
      </c>
      <c r="E819" s="160">
        <v>2.4969949177151873</v>
      </c>
      <c r="F819" s="160">
        <v>4.5544559389477479</v>
      </c>
      <c r="G819" s="160">
        <v>2.7273324710148885</v>
      </c>
      <c r="H819" s="160">
        <v>1.3472803133826632</v>
      </c>
      <c r="I819" s="160">
        <v>1.7943400848489539</v>
      </c>
      <c r="J819" s="160">
        <v>3.5005917975351104</v>
      </c>
      <c r="K819" s="160">
        <v>2.1633514302512289</v>
      </c>
      <c r="L819" s="160">
        <v>1.6945511191226619</v>
      </c>
      <c r="M819" s="160">
        <v>3.2179525892242653</v>
      </c>
      <c r="O819"/>
    </row>
    <row r="820" spans="2:16" s="1" customFormat="1" x14ac:dyDescent="0.3">
      <c r="B820" s="292"/>
      <c r="C820" s="9" t="s">
        <v>207</v>
      </c>
      <c r="D820" s="160">
        <v>1.5702773760969293</v>
      </c>
      <c r="E820" s="160">
        <v>2.5146025779043368</v>
      </c>
      <c r="F820" s="160">
        <v>3.8450049882074624</v>
      </c>
      <c r="G820" s="160">
        <v>2.474388890886448</v>
      </c>
      <c r="H820" s="160">
        <v>1.4503190789455638</v>
      </c>
      <c r="I820" s="160">
        <v>2.0016759557787722</v>
      </c>
      <c r="J820" s="160">
        <v>3.5666021329265338</v>
      </c>
      <c r="K820" s="160">
        <v>2.0675828348081042</v>
      </c>
      <c r="L820" s="160">
        <v>1.9291670196435593</v>
      </c>
      <c r="M820" s="160">
        <v>2.5761181008508895</v>
      </c>
      <c r="O820"/>
    </row>
    <row r="821" spans="2:16" s="1" customFormat="1" x14ac:dyDescent="0.3">
      <c r="B821" s="293"/>
      <c r="C821" s="25" t="s">
        <v>208</v>
      </c>
      <c r="D821" s="163">
        <v>1.7864420381822694</v>
      </c>
      <c r="E821" s="163">
        <v>4.0008558091000257</v>
      </c>
      <c r="F821" s="163">
        <v>4.8110300729201407</v>
      </c>
      <c r="G821" s="163">
        <v>2.5916441944472219</v>
      </c>
      <c r="H821" s="163">
        <v>1.2729140493014586</v>
      </c>
      <c r="I821" s="163">
        <v>1.9049436355395422</v>
      </c>
      <c r="J821" s="163">
        <v>2.8536165746068196</v>
      </c>
      <c r="K821" s="163">
        <v>2.0548530519831569</v>
      </c>
      <c r="L821" s="163">
        <v>1.9123481566069189</v>
      </c>
      <c r="M821" s="163">
        <v>3.6588897372456821</v>
      </c>
      <c r="O821"/>
    </row>
    <row r="822" spans="2:16" s="1" customFormat="1" x14ac:dyDescent="0.3">
      <c r="B822" s="60"/>
      <c r="C822" s="9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O822"/>
    </row>
    <row r="823" spans="2:16" x14ac:dyDescent="0.3">
      <c r="B823" s="24"/>
      <c r="C823" s="9"/>
      <c r="D823" s="56"/>
      <c r="E823" s="56"/>
      <c r="F823" s="56"/>
      <c r="G823" s="56"/>
      <c r="H823" s="56"/>
      <c r="I823" s="58"/>
      <c r="J823" s="56"/>
      <c r="K823" s="56"/>
      <c r="L823" s="58"/>
      <c r="M823" s="56"/>
      <c r="N823" s="56"/>
      <c r="O823" s="62"/>
    </row>
    <row r="824" spans="2:16" x14ac:dyDescent="0.3">
      <c r="B824" s="159" t="s">
        <v>428</v>
      </c>
    </row>
    <row r="825" spans="2:16" x14ac:dyDescent="0.3">
      <c r="B825" s="158"/>
      <c r="J825" s="61"/>
      <c r="M825" s="61"/>
      <c r="N825" s="30"/>
      <c r="O825" s="30" t="s">
        <v>156</v>
      </c>
      <c r="P825" s="30"/>
    </row>
    <row r="826" spans="2:16" s="1" customFormat="1" ht="24.75" customHeight="1" x14ac:dyDescent="0.3">
      <c r="B826" s="235"/>
      <c r="C826" s="209"/>
      <c r="D826" s="210" t="s">
        <v>264</v>
      </c>
      <c r="E826" s="210" t="s">
        <v>266</v>
      </c>
      <c r="F826" s="210" t="s">
        <v>22</v>
      </c>
      <c r="G826" s="210" t="s">
        <v>268</v>
      </c>
      <c r="H826" s="210" t="s">
        <v>272</v>
      </c>
      <c r="I826" s="210" t="s">
        <v>270</v>
      </c>
      <c r="J826" s="210" t="s">
        <v>273</v>
      </c>
      <c r="K826" s="210" t="s">
        <v>109</v>
      </c>
      <c r="L826" s="210" t="s">
        <v>23</v>
      </c>
      <c r="M826" s="210" t="s">
        <v>275</v>
      </c>
      <c r="N826" s="210" t="s">
        <v>276</v>
      </c>
      <c r="O826" s="236" t="s">
        <v>155</v>
      </c>
    </row>
    <row r="827" spans="2:16" s="1" customFormat="1" ht="24.75" customHeight="1" x14ac:dyDescent="0.3">
      <c r="B827" s="292" t="s">
        <v>20</v>
      </c>
      <c r="C827" s="292"/>
      <c r="D827" s="79">
        <v>17.327567069953652</v>
      </c>
      <c r="E827" s="79">
        <v>15.999157552959137</v>
      </c>
      <c r="F827" s="79">
        <v>37.379435345927433</v>
      </c>
      <c r="G827" s="79">
        <v>16.86772137912887</v>
      </c>
      <c r="H827" s="79">
        <v>3.7825752910215011</v>
      </c>
      <c r="I827" s="79">
        <v>12.051038437026056</v>
      </c>
      <c r="J827" s="79">
        <v>5.9933852408346873</v>
      </c>
      <c r="K827" s="79">
        <v>6.1029311409005285</v>
      </c>
      <c r="L827" s="79">
        <v>24.323534886985364</v>
      </c>
      <c r="M827" s="79">
        <v>8.4082597512411841</v>
      </c>
      <c r="N827" s="79">
        <v>3.3022861894235729</v>
      </c>
      <c r="O827" s="154">
        <v>34.06214244421156</v>
      </c>
    </row>
    <row r="828" spans="2:16" s="1" customFormat="1" x14ac:dyDescent="0.3">
      <c r="B828" s="296" t="s">
        <v>5</v>
      </c>
      <c r="C828" s="13" t="s">
        <v>0</v>
      </c>
      <c r="D828" s="80">
        <v>16.73363844813073</v>
      </c>
      <c r="E828" s="80">
        <v>14.773648111057044</v>
      </c>
      <c r="F828" s="80">
        <v>34.045083950413165</v>
      </c>
      <c r="G828" s="80">
        <v>17.202997162180171</v>
      </c>
      <c r="H828" s="80">
        <v>3.2129149051477164</v>
      </c>
      <c r="I828" s="80">
        <v>12.220046549006568</v>
      </c>
      <c r="J828" s="80">
        <v>5.2431846932077635</v>
      </c>
      <c r="K828" s="80">
        <v>5.8833007509523538</v>
      </c>
      <c r="L828" s="80">
        <v>23.44142827670246</v>
      </c>
      <c r="M828" s="80">
        <v>7.0352037866059316</v>
      </c>
      <c r="N828" s="80">
        <v>3.5971010907956171</v>
      </c>
      <c r="O828" s="155">
        <v>35.325243369991881</v>
      </c>
    </row>
    <row r="829" spans="2:16" s="1" customFormat="1" x14ac:dyDescent="0.3">
      <c r="B829" s="295"/>
      <c r="C829" s="12" t="s">
        <v>1</v>
      </c>
      <c r="D829" s="81">
        <v>17.857167286804678</v>
      </c>
      <c r="E829" s="81">
        <v>17.091932075581457</v>
      </c>
      <c r="F829" s="81">
        <v>40.352643164573728</v>
      </c>
      <c r="G829" s="81">
        <v>16.568759313849348</v>
      </c>
      <c r="H829" s="81">
        <v>4.290535764393181</v>
      </c>
      <c r="I829" s="81">
        <v>11.900335592499552</v>
      </c>
      <c r="J829" s="81">
        <v>6.6623315722734802</v>
      </c>
      <c r="K829" s="81">
        <v>6.2987733648139459</v>
      </c>
      <c r="L829" s="81">
        <v>25.110100536335146</v>
      </c>
      <c r="M829" s="81">
        <v>9.6326000337274316</v>
      </c>
      <c r="N829" s="81">
        <v>3.0394026880050071</v>
      </c>
      <c r="O829" s="156">
        <v>32.935847971073251</v>
      </c>
    </row>
    <row r="830" spans="2:16" s="1" customFormat="1" x14ac:dyDescent="0.3">
      <c r="B830" s="296" t="s">
        <v>4</v>
      </c>
      <c r="C830" s="9" t="s">
        <v>175</v>
      </c>
      <c r="D830" s="79">
        <v>8.2604886598881304</v>
      </c>
      <c r="E830" s="79">
        <v>6.7197596477366952</v>
      </c>
      <c r="F830" s="79">
        <v>20.569969577335982</v>
      </c>
      <c r="G830" s="79">
        <v>6.7702421502269932</v>
      </c>
      <c r="H830" s="79">
        <v>3.127115959151594</v>
      </c>
      <c r="I830" s="79">
        <v>4.1714070707103286</v>
      </c>
      <c r="J830" s="79">
        <v>1.4981439385434383</v>
      </c>
      <c r="K830" s="79">
        <v>1.4981439385434383</v>
      </c>
      <c r="L830" s="79">
        <v>9.9482582615972177</v>
      </c>
      <c r="M830" s="79">
        <v>3.1057558895977539</v>
      </c>
      <c r="N830" s="79">
        <v>2.758895915056176</v>
      </c>
      <c r="O830" s="154">
        <v>57.95854886056722</v>
      </c>
    </row>
    <row r="831" spans="2:16" s="1" customFormat="1" x14ac:dyDescent="0.3">
      <c r="B831" s="292"/>
      <c r="C831" s="9" t="s">
        <v>176</v>
      </c>
      <c r="D831" s="79">
        <v>13.913366837079231</v>
      </c>
      <c r="E831" s="79">
        <v>6.3396095896720626</v>
      </c>
      <c r="F831" s="79">
        <v>18.928647645030932</v>
      </c>
      <c r="G831" s="79">
        <v>9.745851955580175</v>
      </c>
      <c r="H831" s="79">
        <v>1.2419302890862376</v>
      </c>
      <c r="I831" s="79">
        <v>6.0528060840981643</v>
      </c>
      <c r="J831" s="79">
        <v>0.85976631817647997</v>
      </c>
      <c r="K831" s="79">
        <v>1.618026831027201</v>
      </c>
      <c r="L831" s="79">
        <v>10.281089355329081</v>
      </c>
      <c r="M831" s="79">
        <v>4.471418068669224</v>
      </c>
      <c r="N831" s="79">
        <v>1.8979476150840398</v>
      </c>
      <c r="O831" s="154">
        <v>54.340615412043</v>
      </c>
    </row>
    <row r="832" spans="2:16" s="1" customFormat="1" x14ac:dyDescent="0.3">
      <c r="B832" s="292"/>
      <c r="C832" s="9" t="s">
        <v>177</v>
      </c>
      <c r="D832" s="79">
        <v>12.495799173047944</v>
      </c>
      <c r="E832" s="79">
        <v>6.6674599562886243</v>
      </c>
      <c r="F832" s="79">
        <v>30.387436691786867</v>
      </c>
      <c r="G832" s="79">
        <v>10.035364039731281</v>
      </c>
      <c r="H832" s="79">
        <v>2.2021595486319794</v>
      </c>
      <c r="I832" s="79">
        <v>6.3761205581545939</v>
      </c>
      <c r="J832" s="79">
        <v>4.0486344896925885</v>
      </c>
      <c r="K832" s="79">
        <v>9.1266478763587866</v>
      </c>
      <c r="L832" s="79">
        <v>11.62849187623852</v>
      </c>
      <c r="M832" s="79">
        <v>4.6318507388759054</v>
      </c>
      <c r="N832" s="79">
        <v>1.9023150881309032</v>
      </c>
      <c r="O832" s="154">
        <v>43.685507359928799</v>
      </c>
    </row>
    <row r="833" spans="2:15" s="1" customFormat="1" x14ac:dyDescent="0.3">
      <c r="B833" s="292"/>
      <c r="C833" s="9" t="s">
        <v>178</v>
      </c>
      <c r="D833" s="79">
        <v>12.20355162582516</v>
      </c>
      <c r="E833" s="79">
        <v>14.635222091017056</v>
      </c>
      <c r="F833" s="79">
        <v>42.475778156069296</v>
      </c>
      <c r="G833" s="79">
        <v>16.000105665736303</v>
      </c>
      <c r="H833" s="79">
        <v>2.6846032141951985</v>
      </c>
      <c r="I833" s="79">
        <v>10.294713732504933</v>
      </c>
      <c r="J833" s="79">
        <v>6.5027031655959213</v>
      </c>
      <c r="K833" s="79">
        <v>16.558076191879891</v>
      </c>
      <c r="L833" s="79">
        <v>25.889356404300017</v>
      </c>
      <c r="M833" s="79">
        <v>6.7555236871555877</v>
      </c>
      <c r="N833" s="79">
        <v>3.6202805025910849</v>
      </c>
      <c r="O833" s="154">
        <v>29.037329052216649</v>
      </c>
    </row>
    <row r="834" spans="2:15" s="1" customFormat="1" x14ac:dyDescent="0.3">
      <c r="B834" s="292"/>
      <c r="C834" s="9" t="s">
        <v>179</v>
      </c>
      <c r="D834" s="79">
        <v>20.685230743058408</v>
      </c>
      <c r="E834" s="79">
        <v>22.387134554693013</v>
      </c>
      <c r="F834" s="79">
        <v>45.785975231547397</v>
      </c>
      <c r="G834" s="79">
        <v>22.738424561086166</v>
      </c>
      <c r="H834" s="79">
        <v>4.7933020413557612</v>
      </c>
      <c r="I834" s="79">
        <v>14.950785920358742</v>
      </c>
      <c r="J834" s="79">
        <v>8.0214472685476998</v>
      </c>
      <c r="K834" s="79">
        <v>1.9466696480891987</v>
      </c>
      <c r="L834" s="79">
        <v>31.346631815033792</v>
      </c>
      <c r="M834" s="79">
        <v>11.658365257674236</v>
      </c>
      <c r="N834" s="79">
        <v>3.6346388165987382</v>
      </c>
      <c r="O834" s="154">
        <v>24.836529338557682</v>
      </c>
    </row>
    <row r="835" spans="2:15" s="1" customFormat="1" x14ac:dyDescent="0.3">
      <c r="B835" s="298"/>
      <c r="C835" s="12" t="s">
        <v>180</v>
      </c>
      <c r="D835" s="81">
        <v>25.133109092990424</v>
      </c>
      <c r="E835" s="81">
        <v>23.487100936735704</v>
      </c>
      <c r="F835" s="81">
        <v>40.902227274194196</v>
      </c>
      <c r="G835" s="81">
        <v>21.505117708124146</v>
      </c>
      <c r="H835" s="81">
        <v>6.2798556304987638</v>
      </c>
      <c r="I835" s="81">
        <v>18.937957025544307</v>
      </c>
      <c r="J835" s="81">
        <v>8.1295214674545129</v>
      </c>
      <c r="K835" s="81">
        <v>1.7083030910972439</v>
      </c>
      <c r="L835" s="81">
        <v>33.812045951912552</v>
      </c>
      <c r="M835" s="81">
        <v>12.026661888264929</v>
      </c>
      <c r="N835" s="81">
        <v>4.4407167639687968</v>
      </c>
      <c r="O835" s="156">
        <v>27.457172278796016</v>
      </c>
    </row>
    <row r="836" spans="2:15" s="1" customFormat="1" x14ac:dyDescent="0.3">
      <c r="B836" s="292" t="s">
        <v>223</v>
      </c>
      <c r="C836" s="9" t="s">
        <v>210</v>
      </c>
      <c r="D836" s="79">
        <v>10.254233877071181</v>
      </c>
      <c r="E836" s="79">
        <v>0</v>
      </c>
      <c r="F836" s="79">
        <v>11.481697645606699</v>
      </c>
      <c r="G836" s="79">
        <v>6.2796984369539484</v>
      </c>
      <c r="H836" s="79">
        <v>3.1908636477918515</v>
      </c>
      <c r="I836" s="79">
        <v>3.088834789162096</v>
      </c>
      <c r="J836" s="79">
        <v>0</v>
      </c>
      <c r="K836" s="79">
        <v>0</v>
      </c>
      <c r="L836" s="79">
        <v>13.560271427016987</v>
      </c>
      <c r="M836" s="79">
        <v>3.084306851596986</v>
      </c>
      <c r="N836" s="79">
        <v>5.4041816384959152</v>
      </c>
      <c r="O836" s="154">
        <v>61.315278910235207</v>
      </c>
    </row>
    <row r="837" spans="2:15" s="1" customFormat="1" x14ac:dyDescent="0.3">
      <c r="B837" s="292"/>
      <c r="C837" s="9" t="s">
        <v>211</v>
      </c>
      <c r="D837" s="79">
        <v>19.833334421269715</v>
      </c>
      <c r="E837" s="79">
        <v>4.5661134493394799</v>
      </c>
      <c r="F837" s="79">
        <v>18.867320265035989</v>
      </c>
      <c r="G837" s="79">
        <v>13.758819876620324</v>
      </c>
      <c r="H837" s="79">
        <v>0</v>
      </c>
      <c r="I837" s="79">
        <v>8.8230519573933286</v>
      </c>
      <c r="J837" s="79">
        <v>0</v>
      </c>
      <c r="K837" s="79">
        <v>2.1388954922284258</v>
      </c>
      <c r="L837" s="79">
        <v>13.435917241509307</v>
      </c>
      <c r="M837" s="79">
        <v>3.1335478274565953</v>
      </c>
      <c r="N837" s="79">
        <v>2.4875766974152542</v>
      </c>
      <c r="O837" s="154">
        <v>51.396814736151541</v>
      </c>
    </row>
    <row r="838" spans="2:15" s="1" customFormat="1" x14ac:dyDescent="0.3">
      <c r="B838" s="292"/>
      <c r="C838" s="9" t="s">
        <v>212</v>
      </c>
      <c r="D838" s="79">
        <v>10.873050544964226</v>
      </c>
      <c r="E838" s="79">
        <v>4.1042131082494313</v>
      </c>
      <c r="F838" s="79">
        <v>26.652095835475642</v>
      </c>
      <c r="G838" s="79">
        <v>5.8146692657350822</v>
      </c>
      <c r="H838" s="79">
        <v>1.2893642711691027</v>
      </c>
      <c r="I838" s="79">
        <v>5.1532078003053403</v>
      </c>
      <c r="J838" s="79">
        <v>1.6312859743068751</v>
      </c>
      <c r="K838" s="79">
        <v>7.0992663795758348</v>
      </c>
      <c r="L838" s="79">
        <v>10.322465905319762</v>
      </c>
      <c r="M838" s="79">
        <v>2.1481129626779198</v>
      </c>
      <c r="N838" s="79">
        <v>1.7389036679012153</v>
      </c>
      <c r="O838" s="154">
        <v>49.879053427253602</v>
      </c>
    </row>
    <row r="839" spans="2:15" s="1" customFormat="1" x14ac:dyDescent="0.3">
      <c r="B839" s="292"/>
      <c r="C839" s="9" t="s">
        <v>213</v>
      </c>
      <c r="D839" s="79">
        <v>11.415023229608657</v>
      </c>
      <c r="E839" s="79">
        <v>13.376367767341524</v>
      </c>
      <c r="F839" s="79">
        <v>42.763761432870751</v>
      </c>
      <c r="G839" s="79">
        <v>21.23082503701745</v>
      </c>
      <c r="H839" s="79">
        <v>3.5720633498158803</v>
      </c>
      <c r="I839" s="79">
        <v>13.120496761310823</v>
      </c>
      <c r="J839" s="79">
        <v>7.2298535536421404</v>
      </c>
      <c r="K839" s="79">
        <v>17.44362821101252</v>
      </c>
      <c r="L839" s="79">
        <v>24.477547866472001</v>
      </c>
      <c r="M839" s="79">
        <v>6.2985073652422079</v>
      </c>
      <c r="N839" s="79">
        <v>5.2082492996010714</v>
      </c>
      <c r="O839" s="154">
        <v>26.931175628039934</v>
      </c>
    </row>
    <row r="840" spans="2:15" s="1" customFormat="1" ht="24" customHeight="1" x14ac:dyDescent="0.3">
      <c r="B840" s="292"/>
      <c r="C840" s="9" t="s">
        <v>214</v>
      </c>
      <c r="D840" s="79">
        <v>18.714387844975729</v>
      </c>
      <c r="E840" s="79">
        <v>24.060372330892086</v>
      </c>
      <c r="F840" s="79">
        <v>39.594630815944917</v>
      </c>
      <c r="G840" s="79">
        <v>22.734085891754631</v>
      </c>
      <c r="H840" s="79">
        <v>3.5240540049087783</v>
      </c>
      <c r="I840" s="79">
        <v>12.026954046955659</v>
      </c>
      <c r="J840" s="79">
        <v>7.1624067679182719</v>
      </c>
      <c r="K840" s="79">
        <v>2.3900176078470219</v>
      </c>
      <c r="L840" s="79">
        <v>30.167953425259114</v>
      </c>
      <c r="M840" s="79">
        <v>10.152076851454146</v>
      </c>
      <c r="N840" s="79">
        <v>2.7120676764317753</v>
      </c>
      <c r="O840" s="154">
        <v>27.49206348317102</v>
      </c>
    </row>
    <row r="841" spans="2:15" s="1" customFormat="1" x14ac:dyDescent="0.3">
      <c r="B841" s="292"/>
      <c r="C841" s="12" t="s">
        <v>215</v>
      </c>
      <c r="D841" s="81">
        <v>23.695013850954741</v>
      </c>
      <c r="E841" s="81">
        <v>21.36544817541694</v>
      </c>
      <c r="F841" s="81">
        <v>36.198126344210266</v>
      </c>
      <c r="G841" s="81">
        <v>19.431630007526962</v>
      </c>
      <c r="H841" s="81">
        <v>5.4463300838925921</v>
      </c>
      <c r="I841" s="81">
        <v>19.924851338044192</v>
      </c>
      <c r="J841" s="81">
        <v>7.3059513216146579</v>
      </c>
      <c r="K841" s="81">
        <v>0.46825950406293188</v>
      </c>
      <c r="L841" s="81">
        <v>31.340609835821404</v>
      </c>
      <c r="M841" s="81">
        <v>10.517156128564235</v>
      </c>
      <c r="N841" s="81">
        <v>4.5927327808799792</v>
      </c>
      <c r="O841" s="156">
        <v>28.973985962809028</v>
      </c>
    </row>
    <row r="842" spans="2:15" s="1" customFormat="1" x14ac:dyDescent="0.3">
      <c r="B842" s="292"/>
      <c r="C842" s="9" t="s">
        <v>216</v>
      </c>
      <c r="D842" s="79">
        <v>6.1811157261406935</v>
      </c>
      <c r="E842" s="79">
        <v>13.728120702282126</v>
      </c>
      <c r="F842" s="79">
        <v>30.048566193645449</v>
      </c>
      <c r="G842" s="79">
        <v>7.2818538202683243</v>
      </c>
      <c r="H842" s="79">
        <v>3.0606304236854358</v>
      </c>
      <c r="I842" s="79">
        <v>5.3004738550094448</v>
      </c>
      <c r="J842" s="79">
        <v>3.0606304236854358</v>
      </c>
      <c r="K842" s="79">
        <v>3.0606304236854358</v>
      </c>
      <c r="L842" s="79">
        <v>6.1811157261406935</v>
      </c>
      <c r="M842" s="79">
        <v>3.1281261246154131</v>
      </c>
      <c r="N842" s="79">
        <v>0</v>
      </c>
      <c r="O842" s="154">
        <v>54.457653384545388</v>
      </c>
    </row>
    <row r="843" spans="2:15" s="1" customFormat="1" x14ac:dyDescent="0.3">
      <c r="B843" s="292"/>
      <c r="C843" s="9" t="s">
        <v>217</v>
      </c>
      <c r="D843" s="79">
        <v>9.8751915719639189</v>
      </c>
      <c r="E843" s="79">
        <v>7.5493608501002551</v>
      </c>
      <c r="F843" s="79">
        <v>18.970480764122875</v>
      </c>
      <c r="G843" s="79">
        <v>7.0084944332650476</v>
      </c>
      <c r="H843" s="79">
        <v>2.0890856329395824</v>
      </c>
      <c r="I843" s="79">
        <v>4.1631439863355109</v>
      </c>
      <c r="J843" s="79">
        <v>1.44623694161559</v>
      </c>
      <c r="K843" s="79">
        <v>1.2627277666111012</v>
      </c>
      <c r="L843" s="79">
        <v>8.1290931231721668</v>
      </c>
      <c r="M843" s="79">
        <v>5.3840167339771936</v>
      </c>
      <c r="N843" s="79">
        <v>1.4957451465737104</v>
      </c>
      <c r="O843" s="154">
        <v>56.348664088958159</v>
      </c>
    </row>
    <row r="844" spans="2:15" s="1" customFormat="1" ht="24" customHeight="1" x14ac:dyDescent="0.3">
      <c r="B844" s="292"/>
      <c r="C844" s="9" t="s">
        <v>218</v>
      </c>
      <c r="D844" s="79">
        <v>14.197223911058845</v>
      </c>
      <c r="E844" s="79">
        <v>9.3549813144378344</v>
      </c>
      <c r="F844" s="79">
        <v>34.30387897239801</v>
      </c>
      <c r="G844" s="79">
        <v>14.460691768124176</v>
      </c>
      <c r="H844" s="79">
        <v>3.1592100978897717</v>
      </c>
      <c r="I844" s="79">
        <v>7.6583240877862346</v>
      </c>
      <c r="J844" s="79">
        <v>6.5831838914246683</v>
      </c>
      <c r="K844" s="79">
        <v>11.2523233952378</v>
      </c>
      <c r="L844" s="79">
        <v>12.997838216731164</v>
      </c>
      <c r="M844" s="79">
        <v>7.2360081678337727</v>
      </c>
      <c r="N844" s="79">
        <v>2.0736492233386539</v>
      </c>
      <c r="O844" s="154">
        <v>37.191678117010085</v>
      </c>
    </row>
    <row r="845" spans="2:15" s="1" customFormat="1" x14ac:dyDescent="0.3">
      <c r="B845" s="292"/>
      <c r="C845" s="9" t="s">
        <v>219</v>
      </c>
      <c r="D845" s="79">
        <v>12.912081285179546</v>
      </c>
      <c r="E845" s="79">
        <v>15.766361602809262</v>
      </c>
      <c r="F845" s="79">
        <v>42.217011707085248</v>
      </c>
      <c r="G845" s="79">
        <v>11.300059564549432</v>
      </c>
      <c r="H845" s="79">
        <v>1.8871787579561861</v>
      </c>
      <c r="I845" s="79">
        <v>7.7556154623398124</v>
      </c>
      <c r="J845" s="79">
        <v>5.8493245184680491</v>
      </c>
      <c r="K845" s="79">
        <v>15.762366267586355</v>
      </c>
      <c r="L845" s="79">
        <v>27.157932434257265</v>
      </c>
      <c r="M845" s="79">
        <v>7.1661742362523304</v>
      </c>
      <c r="N845" s="79">
        <v>2.1934162371955757</v>
      </c>
      <c r="O845" s="154">
        <v>30.929806451052517</v>
      </c>
    </row>
    <row r="846" spans="2:15" s="1" customFormat="1" x14ac:dyDescent="0.3">
      <c r="B846" s="292"/>
      <c r="C846" s="9" t="s">
        <v>220</v>
      </c>
      <c r="D846" s="79">
        <v>22.437240410314686</v>
      </c>
      <c r="E846" s="79">
        <v>20.899685320474024</v>
      </c>
      <c r="F846" s="79">
        <v>51.28986155348678</v>
      </c>
      <c r="G846" s="79">
        <v>22.74228148475035</v>
      </c>
      <c r="H846" s="79">
        <v>5.9216186779402831</v>
      </c>
      <c r="I846" s="79">
        <v>17.54996909859058</v>
      </c>
      <c r="J846" s="79">
        <v>8.7851039065940881</v>
      </c>
      <c r="K846" s="79">
        <v>1.5525489841795097</v>
      </c>
      <c r="L846" s="79">
        <v>32.394435237356554</v>
      </c>
      <c r="M846" s="79">
        <v>12.997402403628906</v>
      </c>
      <c r="N846" s="79">
        <v>4.4547719473909506</v>
      </c>
      <c r="O846" s="154">
        <v>22.475853356916698</v>
      </c>
    </row>
    <row r="847" spans="2:15" s="1" customFormat="1" x14ac:dyDescent="0.3">
      <c r="B847" s="295"/>
      <c r="C847" s="9" t="s">
        <v>221</v>
      </c>
      <c r="D847" s="79">
        <v>26.416602995630896</v>
      </c>
      <c r="E847" s="79">
        <v>25.380667025458774</v>
      </c>
      <c r="F847" s="79">
        <v>45.100617397850193</v>
      </c>
      <c r="G847" s="79">
        <v>23.355696684485348</v>
      </c>
      <c r="H847" s="79">
        <v>7.0237736447532422</v>
      </c>
      <c r="I847" s="79">
        <v>18.057158038371</v>
      </c>
      <c r="J847" s="79">
        <v>8.8645543287591728</v>
      </c>
      <c r="K847" s="79">
        <v>2.815036731849565</v>
      </c>
      <c r="L847" s="79">
        <v>36.017792200873146</v>
      </c>
      <c r="M847" s="79">
        <v>13.373889374974238</v>
      </c>
      <c r="N847" s="79">
        <v>4.3050431137779146</v>
      </c>
      <c r="O847" s="154">
        <v>26.103422500640921</v>
      </c>
    </row>
    <row r="848" spans="2:15" s="1" customFormat="1" x14ac:dyDescent="0.3">
      <c r="B848" s="291" t="s">
        <v>222</v>
      </c>
      <c r="C848" s="13" t="s">
        <v>195</v>
      </c>
      <c r="D848" s="80">
        <v>14.844356581373386</v>
      </c>
      <c r="E848" s="80">
        <v>16.499003490813081</v>
      </c>
      <c r="F848" s="80">
        <v>32.830192083486693</v>
      </c>
      <c r="G848" s="80">
        <v>14.184129256159093</v>
      </c>
      <c r="H848" s="80">
        <v>1.4781826743863811</v>
      </c>
      <c r="I848" s="80">
        <v>11.423428456189665</v>
      </c>
      <c r="J848" s="80">
        <v>4.378289181162355</v>
      </c>
      <c r="K848" s="80">
        <v>2.0529490082222357</v>
      </c>
      <c r="L848" s="80">
        <v>22.543181520196633</v>
      </c>
      <c r="M848" s="80">
        <v>7.0750368912511545</v>
      </c>
      <c r="N848" s="80">
        <v>3.6138239580412859</v>
      </c>
      <c r="O848" s="155">
        <v>38.338676008292367</v>
      </c>
    </row>
    <row r="849" spans="2:15" s="1" customFormat="1" x14ac:dyDescent="0.3">
      <c r="B849" s="294"/>
      <c r="C849" s="9" t="s">
        <v>196</v>
      </c>
      <c r="D849" s="79">
        <v>18.544158415068953</v>
      </c>
      <c r="E849" s="79">
        <v>15.02286400689048</v>
      </c>
      <c r="F849" s="79">
        <v>36.146861856238729</v>
      </c>
      <c r="G849" s="79">
        <v>16.858436841196777</v>
      </c>
      <c r="H849" s="79">
        <v>3.6506534022232806</v>
      </c>
      <c r="I849" s="79">
        <v>10.948001144846167</v>
      </c>
      <c r="J849" s="79">
        <v>7.1201650454901637</v>
      </c>
      <c r="K849" s="79">
        <v>5.7127253691065913</v>
      </c>
      <c r="L849" s="79">
        <v>23.965416904556836</v>
      </c>
      <c r="M849" s="79">
        <v>7.411203633664833</v>
      </c>
      <c r="N849" s="79">
        <v>2.820450398308409</v>
      </c>
      <c r="O849" s="154">
        <v>32.910512579317597</v>
      </c>
    </row>
    <row r="850" spans="2:15" s="1" customFormat="1" x14ac:dyDescent="0.3">
      <c r="B850" s="292"/>
      <c r="C850" s="9" t="s">
        <v>197</v>
      </c>
      <c r="D850" s="79">
        <v>16.938133849163737</v>
      </c>
      <c r="E850" s="79">
        <v>14.229172848588783</v>
      </c>
      <c r="F850" s="79">
        <v>42.831106250190992</v>
      </c>
      <c r="G850" s="79">
        <v>16.614434904517253</v>
      </c>
      <c r="H850" s="79">
        <v>4.5084139943989188</v>
      </c>
      <c r="I850" s="79">
        <v>11.353701753533072</v>
      </c>
      <c r="J850" s="79">
        <v>6.6605277244606329</v>
      </c>
      <c r="K850" s="79">
        <v>8.0253136513115901</v>
      </c>
      <c r="L850" s="79">
        <v>27.282662161378756</v>
      </c>
      <c r="M850" s="79">
        <v>8.731265034755225</v>
      </c>
      <c r="N850" s="79">
        <v>4.2990723172036036</v>
      </c>
      <c r="O850" s="154">
        <v>31.874395292520447</v>
      </c>
    </row>
    <row r="851" spans="2:15" s="1" customFormat="1" x14ac:dyDescent="0.3">
      <c r="B851" s="295"/>
      <c r="C851" s="12" t="s">
        <v>198</v>
      </c>
      <c r="D851" s="81">
        <v>18.757209163067046</v>
      </c>
      <c r="E851" s="81">
        <v>18.173978796566114</v>
      </c>
      <c r="F851" s="81">
        <v>38.628011656947777</v>
      </c>
      <c r="G851" s="81">
        <v>19.801862140430632</v>
      </c>
      <c r="H851" s="81">
        <v>5.6219394795325215</v>
      </c>
      <c r="I851" s="81">
        <v>14.571236486492205</v>
      </c>
      <c r="J851" s="81">
        <v>5.7302407494541772</v>
      </c>
      <c r="K851" s="81">
        <v>8.9544153670463054</v>
      </c>
      <c r="L851" s="81">
        <v>23.946980223153819</v>
      </c>
      <c r="M851" s="81">
        <v>10.624868729775462</v>
      </c>
      <c r="N851" s="81">
        <v>2.676774951532662</v>
      </c>
      <c r="O851" s="156">
        <v>33.002372126166861</v>
      </c>
    </row>
    <row r="852" spans="2:15" s="1" customFormat="1" x14ac:dyDescent="0.3">
      <c r="B852" s="296" t="s">
        <v>199</v>
      </c>
      <c r="C852" s="13" t="s">
        <v>192</v>
      </c>
      <c r="D852" s="80">
        <v>17.097654082494021</v>
      </c>
      <c r="E852" s="80">
        <v>15.316987963882376</v>
      </c>
      <c r="F852" s="80">
        <v>37.642862100787418</v>
      </c>
      <c r="G852" s="80">
        <v>16.532808142654339</v>
      </c>
      <c r="H852" s="80">
        <v>3.9955068679270305</v>
      </c>
      <c r="I852" s="80">
        <v>11.930290925022698</v>
      </c>
      <c r="J852" s="80">
        <v>5.8382053360106596</v>
      </c>
      <c r="K852" s="80">
        <v>6.6228599041068135</v>
      </c>
      <c r="L852" s="80">
        <v>22.954561231541717</v>
      </c>
      <c r="M852" s="80">
        <v>8.6860905302297695</v>
      </c>
      <c r="N852" s="80">
        <v>3.3511688825520221</v>
      </c>
      <c r="O852" s="155">
        <v>35.230302378727629</v>
      </c>
    </row>
    <row r="853" spans="2:15" s="1" customFormat="1" x14ac:dyDescent="0.3">
      <c r="B853" s="292"/>
      <c r="C853" s="9" t="s">
        <v>200</v>
      </c>
      <c r="D853" s="79">
        <v>14.227062206957264</v>
      </c>
      <c r="E853" s="79">
        <v>11.38156449048912</v>
      </c>
      <c r="F853" s="79">
        <v>39.879263908154194</v>
      </c>
      <c r="G853" s="79">
        <v>17.596294442812635</v>
      </c>
      <c r="H853" s="79">
        <v>3.2591413056974341</v>
      </c>
      <c r="I853" s="79">
        <v>12.118358035297101</v>
      </c>
      <c r="J853" s="79">
        <v>10.748470013556483</v>
      </c>
      <c r="K853" s="79">
        <v>3.3843967081546196</v>
      </c>
      <c r="L853" s="79">
        <v>34.54921706821068</v>
      </c>
      <c r="M853" s="79">
        <v>10.48344590161016</v>
      </c>
      <c r="N853" s="79">
        <v>1.8228659893485024</v>
      </c>
      <c r="O853" s="154">
        <v>32.620405300928631</v>
      </c>
    </row>
    <row r="854" spans="2:15" s="1" customFormat="1" x14ac:dyDescent="0.3">
      <c r="B854" s="292"/>
      <c r="C854" s="9" t="s">
        <v>201</v>
      </c>
      <c r="D854" s="79">
        <v>18.088046201987808</v>
      </c>
      <c r="E854" s="79">
        <v>17.479171598110508</v>
      </c>
      <c r="F854" s="79">
        <v>34.668509018185624</v>
      </c>
      <c r="G854" s="79">
        <v>18.152008742385988</v>
      </c>
      <c r="H854" s="79">
        <v>3.8668199493631858</v>
      </c>
      <c r="I854" s="79">
        <v>12.601500533890132</v>
      </c>
      <c r="J854" s="79">
        <v>5.8927636235202447</v>
      </c>
      <c r="K854" s="79">
        <v>5.2248131507161499</v>
      </c>
      <c r="L854" s="79">
        <v>26.987408578019451</v>
      </c>
      <c r="M854" s="79">
        <v>7.2899701905756569</v>
      </c>
      <c r="N854" s="79">
        <v>4.0429733960025951</v>
      </c>
      <c r="O854" s="154">
        <v>32.898166922090759</v>
      </c>
    </row>
    <row r="855" spans="2:15" s="1" customFormat="1" x14ac:dyDescent="0.3">
      <c r="B855" s="292"/>
      <c r="C855" s="9" t="s">
        <v>202</v>
      </c>
      <c r="D855" s="79">
        <v>20.679169903957046</v>
      </c>
      <c r="E855" s="79">
        <v>17.714195906638327</v>
      </c>
      <c r="F855" s="79">
        <v>37.713139837283897</v>
      </c>
      <c r="G855" s="79">
        <v>19.196407946889732</v>
      </c>
      <c r="H855" s="79">
        <v>3.6845850406098184</v>
      </c>
      <c r="I855" s="79">
        <v>12.912877170538339</v>
      </c>
      <c r="J855" s="79">
        <v>8.8062578493945942</v>
      </c>
      <c r="K855" s="79">
        <v>5.6247366983597082</v>
      </c>
      <c r="L855" s="79">
        <v>26.60093416740612</v>
      </c>
      <c r="M855" s="79">
        <v>7.200898008054704</v>
      </c>
      <c r="N855" s="79">
        <v>2.3136430702905795</v>
      </c>
      <c r="O855" s="154">
        <v>26.884138185207835</v>
      </c>
    </row>
    <row r="856" spans="2:15" s="1" customFormat="1" x14ac:dyDescent="0.3">
      <c r="B856" s="295"/>
      <c r="C856" s="12" t="s">
        <v>203</v>
      </c>
      <c r="D856" s="81">
        <v>16.731789509740512</v>
      </c>
      <c r="E856" s="81">
        <v>16.939982409481487</v>
      </c>
      <c r="F856" s="81">
        <v>37.476446853451989</v>
      </c>
      <c r="G856" s="81">
        <v>16.030579896681648</v>
      </c>
      <c r="H856" s="81">
        <v>3.4006691367757802</v>
      </c>
      <c r="I856" s="81">
        <v>11.73370031082324</v>
      </c>
      <c r="J856" s="81">
        <v>4.5397602762177751</v>
      </c>
      <c r="K856" s="81">
        <v>5.97876505424275</v>
      </c>
      <c r="L856" s="81">
        <v>23.608414246690192</v>
      </c>
      <c r="M856" s="81">
        <v>8.4154342410128606</v>
      </c>
      <c r="N856" s="81">
        <v>3.4799132705237388</v>
      </c>
      <c r="O856" s="156">
        <v>34.967968783913705</v>
      </c>
    </row>
    <row r="857" spans="2:15" s="1" customFormat="1" x14ac:dyDescent="0.3">
      <c r="B857" s="291" t="s">
        <v>204</v>
      </c>
      <c r="C857" s="13" t="s">
        <v>192</v>
      </c>
      <c r="D857" s="80">
        <v>17.097654082494021</v>
      </c>
      <c r="E857" s="80">
        <v>15.316987963882376</v>
      </c>
      <c r="F857" s="80">
        <v>37.642862100787418</v>
      </c>
      <c r="G857" s="80">
        <v>16.532808142654339</v>
      </c>
      <c r="H857" s="80">
        <v>3.9955068679270305</v>
      </c>
      <c r="I857" s="80">
        <v>11.930290925022698</v>
      </c>
      <c r="J857" s="80">
        <v>5.8382053360106596</v>
      </c>
      <c r="K857" s="80">
        <v>6.6228599041068135</v>
      </c>
      <c r="L857" s="80">
        <v>22.954561231541717</v>
      </c>
      <c r="M857" s="80">
        <v>8.6860905302297695</v>
      </c>
      <c r="N857" s="80">
        <v>3.3511688825520221</v>
      </c>
      <c r="O857" s="155">
        <v>35.230302378727629</v>
      </c>
    </row>
    <row r="858" spans="2:15" s="1" customFormat="1" x14ac:dyDescent="0.3">
      <c r="B858" s="295"/>
      <c r="C858" s="12" t="s">
        <v>193</v>
      </c>
      <c r="D858" s="81">
        <v>17.581244117046744</v>
      </c>
      <c r="E858" s="81">
        <v>16.751836942173917</v>
      </c>
      <c r="F858" s="81">
        <v>37.088780511520305</v>
      </c>
      <c r="G858" s="81">
        <v>17.237251616632967</v>
      </c>
      <c r="H858" s="81">
        <v>3.5476348717825457</v>
      </c>
      <c r="I858" s="81">
        <v>12.184266544873726</v>
      </c>
      <c r="J858" s="81">
        <v>6.1646047115522995</v>
      </c>
      <c r="K858" s="81">
        <v>5.5292619680268746</v>
      </c>
      <c r="L858" s="81">
        <v>25.834007167382616</v>
      </c>
      <c r="M858" s="81">
        <v>8.1017120769053257</v>
      </c>
      <c r="N858" s="81">
        <v>3.2483509272890232</v>
      </c>
      <c r="O858" s="156">
        <v>32.773240212133921</v>
      </c>
    </row>
    <row r="859" spans="2:15" s="1" customFormat="1" x14ac:dyDescent="0.3">
      <c r="B859" s="291" t="s">
        <v>209</v>
      </c>
      <c r="C859" s="13" t="s">
        <v>205</v>
      </c>
      <c r="D859" s="80">
        <v>9.7024241261307829</v>
      </c>
      <c r="E859" s="80">
        <v>8.2423315346146406</v>
      </c>
      <c r="F859" s="80">
        <v>22.071776876948316</v>
      </c>
      <c r="G859" s="80">
        <v>12.471591404132358</v>
      </c>
      <c r="H859" s="80">
        <v>1.3238144134345651</v>
      </c>
      <c r="I859" s="80">
        <v>7.268993583509646</v>
      </c>
      <c r="J859" s="80">
        <v>1.8355067733009611</v>
      </c>
      <c r="K859" s="80">
        <v>0</v>
      </c>
      <c r="L859" s="80">
        <v>15.246924917432075</v>
      </c>
      <c r="M859" s="80">
        <v>4.7528646702224986</v>
      </c>
      <c r="N859" s="80">
        <v>2.592261791059383</v>
      </c>
      <c r="O859" s="155">
        <v>54.756453860759258</v>
      </c>
    </row>
    <row r="860" spans="2:15" s="1" customFormat="1" x14ac:dyDescent="0.3">
      <c r="B860" s="292"/>
      <c r="C860" s="9" t="s">
        <v>206</v>
      </c>
      <c r="D860" s="79">
        <v>19.225325923673083</v>
      </c>
      <c r="E860" s="79">
        <v>17.849551750604316</v>
      </c>
      <c r="F860" s="79">
        <v>39.454250866252309</v>
      </c>
      <c r="G860" s="79">
        <v>14.746175725146587</v>
      </c>
      <c r="H860" s="79">
        <v>4.9591039928377132</v>
      </c>
      <c r="I860" s="79">
        <v>14.047369638863355</v>
      </c>
      <c r="J860" s="79">
        <v>7.7131421222725454</v>
      </c>
      <c r="K860" s="79">
        <v>0.43987394371435667</v>
      </c>
      <c r="L860" s="79">
        <v>26.709151931986252</v>
      </c>
      <c r="M860" s="79">
        <v>7.9605273959909182</v>
      </c>
      <c r="N860" s="79">
        <v>4.2112725685134356</v>
      </c>
      <c r="O860" s="154">
        <v>32.60970483728525</v>
      </c>
    </row>
    <row r="861" spans="2:15" s="1" customFormat="1" x14ac:dyDescent="0.3">
      <c r="B861" s="292"/>
      <c r="C861" s="9" t="s">
        <v>207</v>
      </c>
      <c r="D861" s="79">
        <v>20.080866154353171</v>
      </c>
      <c r="E861" s="79">
        <v>16.640316591212105</v>
      </c>
      <c r="F861" s="79">
        <v>40.633025636582239</v>
      </c>
      <c r="G861" s="79">
        <v>17.877815696890703</v>
      </c>
      <c r="H861" s="79">
        <v>4.5479486132765183</v>
      </c>
      <c r="I861" s="79">
        <v>11.54358505939757</v>
      </c>
      <c r="J861" s="79">
        <v>7.0312716003735396</v>
      </c>
      <c r="K861" s="79">
        <v>8.098010567533489</v>
      </c>
      <c r="L861" s="79">
        <v>24.927679693408567</v>
      </c>
      <c r="M861" s="79">
        <v>9.0678806611322322</v>
      </c>
      <c r="N861" s="79">
        <v>3.6508179453057816</v>
      </c>
      <c r="O861" s="154">
        <v>30.723074585415873</v>
      </c>
    </row>
    <row r="862" spans="2:15" s="1" customFormat="1" x14ac:dyDescent="0.3">
      <c r="B862" s="293"/>
      <c r="C862" s="25" t="s">
        <v>208</v>
      </c>
      <c r="D862" s="82">
        <v>16.466941861826268</v>
      </c>
      <c r="E862" s="82">
        <v>17.242888124737789</v>
      </c>
      <c r="F862" s="82">
        <v>39.028890989322704</v>
      </c>
      <c r="G862" s="82">
        <v>19.155843223283725</v>
      </c>
      <c r="H862" s="82">
        <v>3.2300453159252189</v>
      </c>
      <c r="I862" s="82">
        <v>13.086296155615107</v>
      </c>
      <c r="J862" s="82">
        <v>5.4913512736202863</v>
      </c>
      <c r="K862" s="82">
        <v>10.600040776463977</v>
      </c>
      <c r="L862" s="82">
        <v>25.765460674234632</v>
      </c>
      <c r="M862" s="82">
        <v>9.5691226721666567</v>
      </c>
      <c r="N862" s="82">
        <v>2.6256563397680526</v>
      </c>
      <c r="O862" s="157">
        <v>29.880895608770132</v>
      </c>
    </row>
    <row r="863" spans="2:15" x14ac:dyDescent="0.3">
      <c r="B863" s="24"/>
      <c r="C863" s="9"/>
      <c r="D863" s="56"/>
      <c r="E863" s="56"/>
      <c r="F863" s="56"/>
      <c r="G863" s="56"/>
      <c r="H863" s="56"/>
      <c r="I863" s="58"/>
      <c r="J863" s="56"/>
      <c r="K863" s="56"/>
      <c r="L863" s="58"/>
      <c r="M863" s="56"/>
      <c r="N863" s="56"/>
      <c r="O863" s="62"/>
    </row>
    <row r="864" spans="2:15" x14ac:dyDescent="0.3">
      <c r="B864" s="24"/>
      <c r="C864" s="9"/>
      <c r="D864" s="56"/>
      <c r="E864" s="56"/>
      <c r="F864" s="56"/>
      <c r="G864" s="56"/>
      <c r="H864" s="56"/>
      <c r="I864" s="58"/>
      <c r="J864" s="56"/>
      <c r="K864" s="56"/>
      <c r="L864" s="58"/>
      <c r="M864" s="56"/>
      <c r="N864" s="56"/>
      <c r="O864" s="62"/>
    </row>
    <row r="865" spans="2:16" x14ac:dyDescent="0.3">
      <c r="B865" s="159" t="s">
        <v>429</v>
      </c>
    </row>
    <row r="866" spans="2:16" x14ac:dyDescent="0.3">
      <c r="B866" s="158"/>
      <c r="J866" s="61"/>
      <c r="K866" s="61"/>
      <c r="L866" s="61"/>
      <c r="M866" s="30"/>
      <c r="N866" s="30" t="s">
        <v>154</v>
      </c>
      <c r="P866" s="30"/>
    </row>
    <row r="867" spans="2:16" s="1" customFormat="1" ht="24.75" customHeight="1" x14ac:dyDescent="0.3">
      <c r="B867" s="235"/>
      <c r="C867" s="209"/>
      <c r="D867" s="210" t="s">
        <v>264</v>
      </c>
      <c r="E867" s="210" t="s">
        <v>266</v>
      </c>
      <c r="F867" s="210" t="s">
        <v>22</v>
      </c>
      <c r="G867" s="210" t="s">
        <v>268</v>
      </c>
      <c r="H867" s="210" t="s">
        <v>272</v>
      </c>
      <c r="I867" s="210" t="s">
        <v>270</v>
      </c>
      <c r="J867" s="210" t="s">
        <v>273</v>
      </c>
      <c r="K867" s="210" t="s">
        <v>109</v>
      </c>
      <c r="L867" s="210" t="s">
        <v>23</v>
      </c>
      <c r="M867" s="210" t="s">
        <v>275</v>
      </c>
      <c r="N867" s="210" t="s">
        <v>276</v>
      </c>
      <c r="O867"/>
    </row>
    <row r="868" spans="2:16" s="1" customFormat="1" ht="24.75" customHeight="1" x14ac:dyDescent="0.3">
      <c r="B868" s="292" t="s">
        <v>20</v>
      </c>
      <c r="C868" s="292"/>
      <c r="D868" s="160">
        <v>1.7490525639845296</v>
      </c>
      <c r="E868" s="160">
        <v>2.8257547210792229</v>
      </c>
      <c r="F868" s="160">
        <v>4.4744937523926236</v>
      </c>
      <c r="G868" s="160">
        <v>2.8336375115770949</v>
      </c>
      <c r="H868" s="160">
        <v>1.565993002720705</v>
      </c>
      <c r="I868" s="160">
        <v>2.0812708854032933</v>
      </c>
      <c r="J868" s="160">
        <v>2.7917734759980126</v>
      </c>
      <c r="K868" s="160">
        <v>6.0957037749718799</v>
      </c>
      <c r="L868" s="160">
        <v>2.425534841850931</v>
      </c>
      <c r="M868" s="160">
        <v>1.7324281840307101</v>
      </c>
      <c r="N868" s="160">
        <v>2.9805915089059574</v>
      </c>
      <c r="O868"/>
    </row>
    <row r="869" spans="2:16" s="1" customFormat="1" x14ac:dyDescent="0.3">
      <c r="B869" s="296" t="s">
        <v>5</v>
      </c>
      <c r="C869" s="13" t="s">
        <v>0</v>
      </c>
      <c r="D869" s="161">
        <v>1.5441655175354416</v>
      </c>
      <c r="E869" s="161">
        <v>2.0939429990717917</v>
      </c>
      <c r="F869" s="161">
        <v>3.4408634293543972</v>
      </c>
      <c r="G869" s="161">
        <v>2.3815665400887287</v>
      </c>
      <c r="H869" s="161">
        <v>1.2592721535136893</v>
      </c>
      <c r="I869" s="161">
        <v>1.9350412052041117</v>
      </c>
      <c r="J869" s="161">
        <v>3.0943103327045987</v>
      </c>
      <c r="K869" s="161">
        <v>5.17024621704312</v>
      </c>
      <c r="L869" s="161">
        <v>2.2628031745323822</v>
      </c>
      <c r="M869" s="161">
        <v>1.4559728629710675</v>
      </c>
      <c r="N869" s="161">
        <v>1.8787752502419823</v>
      </c>
      <c r="O869"/>
    </row>
    <row r="870" spans="2:16" s="1" customFormat="1" x14ac:dyDescent="0.3">
      <c r="B870" s="295"/>
      <c r="C870" s="12" t="s">
        <v>1</v>
      </c>
      <c r="D870" s="162">
        <v>1.9101246681799264</v>
      </c>
      <c r="E870" s="162">
        <v>3.4037090382057165</v>
      </c>
      <c r="F870" s="162">
        <v>5.2559019043836273</v>
      </c>
      <c r="G870" s="162">
        <v>3.2414037201470696</v>
      </c>
      <c r="H870" s="162">
        <v>1.7339722893793272</v>
      </c>
      <c r="I870" s="162">
        <v>2.2100818245800746</v>
      </c>
      <c r="J870" s="162">
        <v>2.5849162512080195</v>
      </c>
      <c r="K870" s="162">
        <v>6.7495532804538731</v>
      </c>
      <c r="L870" s="162">
        <v>2.5587636352647136</v>
      </c>
      <c r="M870" s="162">
        <v>1.9058866845602782</v>
      </c>
      <c r="N870" s="162">
        <v>3.9535183535288949</v>
      </c>
      <c r="O870"/>
    </row>
    <row r="871" spans="2:16" s="1" customFormat="1" x14ac:dyDescent="0.3">
      <c r="B871" s="296" t="s">
        <v>4</v>
      </c>
      <c r="C871" s="9" t="s">
        <v>175</v>
      </c>
      <c r="D871" s="160">
        <v>1.8210276296321142</v>
      </c>
      <c r="E871" s="160">
        <v>1.2229460601389266</v>
      </c>
      <c r="F871" s="160">
        <v>3.9265085722406012</v>
      </c>
      <c r="G871" s="160">
        <v>2.4865021667164879</v>
      </c>
      <c r="H871" s="160">
        <v>1.479081670815269</v>
      </c>
      <c r="I871" s="160">
        <v>3.2562813289993437</v>
      </c>
      <c r="J871" s="160">
        <v>3</v>
      </c>
      <c r="K871" s="160">
        <v>3</v>
      </c>
      <c r="L871" s="160">
        <v>2.3353875118127347</v>
      </c>
      <c r="M871" s="160">
        <v>1.493014381799959</v>
      </c>
      <c r="N871" s="160">
        <v>1.5707259781252294</v>
      </c>
      <c r="O871"/>
    </row>
    <row r="872" spans="2:16" s="1" customFormat="1" x14ac:dyDescent="0.3">
      <c r="B872" s="292"/>
      <c r="C872" s="9" t="s">
        <v>176</v>
      </c>
      <c r="D872" s="160">
        <v>1.9031721555872956</v>
      </c>
      <c r="E872" s="160">
        <v>3.3812596701787943</v>
      </c>
      <c r="F872" s="160">
        <v>5.4779071015676397</v>
      </c>
      <c r="G872" s="160">
        <v>3.6563280402235283</v>
      </c>
      <c r="H872" s="160">
        <v>1.3939118439680782</v>
      </c>
      <c r="I872" s="160">
        <v>2.4961699416354155</v>
      </c>
      <c r="J872" s="160">
        <v>1.1354859333221698</v>
      </c>
      <c r="K872" s="160">
        <v>4.5311700352515345</v>
      </c>
      <c r="L872" s="160">
        <v>2.5777364341069022</v>
      </c>
      <c r="M872" s="160">
        <v>1.4887373844798364</v>
      </c>
      <c r="N872" s="160">
        <v>1.85017973864314</v>
      </c>
      <c r="O872"/>
    </row>
    <row r="873" spans="2:16" s="1" customFormat="1" x14ac:dyDescent="0.3">
      <c r="B873" s="292"/>
      <c r="C873" s="9" t="s">
        <v>177</v>
      </c>
      <c r="D873" s="160">
        <v>1.4659567637063686</v>
      </c>
      <c r="E873" s="160">
        <v>3.0053160751266814</v>
      </c>
      <c r="F873" s="160">
        <v>4.853386805731299</v>
      </c>
      <c r="G873" s="160">
        <v>2.2456750893064856</v>
      </c>
      <c r="H873" s="160">
        <v>2.5081598056985563</v>
      </c>
      <c r="I873" s="160">
        <v>1.6799539091775524</v>
      </c>
      <c r="J873" s="160">
        <v>2.9210290643219801</v>
      </c>
      <c r="K873" s="160">
        <v>8.3504123669875927</v>
      </c>
      <c r="L873" s="160">
        <v>2.7547023222824079</v>
      </c>
      <c r="M873" s="160">
        <v>1.9980525812045615</v>
      </c>
      <c r="N873" s="160">
        <v>2.6550176034660522</v>
      </c>
      <c r="O873"/>
    </row>
    <row r="874" spans="2:16" s="1" customFormat="1" x14ac:dyDescent="0.3">
      <c r="B874" s="292"/>
      <c r="C874" s="9" t="s">
        <v>178</v>
      </c>
      <c r="D874" s="160">
        <v>1.6803720877938528</v>
      </c>
      <c r="E874" s="160">
        <v>2.101921016119574</v>
      </c>
      <c r="F874" s="160">
        <v>4.4993928920227111</v>
      </c>
      <c r="G874" s="160">
        <v>2.9463007522810933</v>
      </c>
      <c r="H874" s="160">
        <v>1.2982093860871526</v>
      </c>
      <c r="I874" s="160">
        <v>2.2605812978770499</v>
      </c>
      <c r="J874" s="160">
        <v>2.6817843439666054</v>
      </c>
      <c r="K874" s="160">
        <v>7.8691580773915586</v>
      </c>
      <c r="L874" s="160">
        <v>2.8656248514280804</v>
      </c>
      <c r="M874" s="160">
        <v>2.303616148625343</v>
      </c>
      <c r="N874" s="160">
        <v>2.2965503381468144</v>
      </c>
      <c r="O874"/>
    </row>
    <row r="875" spans="2:16" s="1" customFormat="1" x14ac:dyDescent="0.3">
      <c r="B875" s="292"/>
      <c r="C875" s="9" t="s">
        <v>179</v>
      </c>
      <c r="D875" s="160">
        <v>1.9057462244816556</v>
      </c>
      <c r="E875" s="160">
        <v>4.0045891314393414</v>
      </c>
      <c r="F875" s="160">
        <v>5.4028403336962221</v>
      </c>
      <c r="G875" s="160">
        <v>3.1359952684576853</v>
      </c>
      <c r="H875" s="160">
        <v>1.758262271713791</v>
      </c>
      <c r="I875" s="160">
        <v>2.2539685705846786</v>
      </c>
      <c r="J875" s="160">
        <v>3.3923127708964711</v>
      </c>
      <c r="K875" s="160">
        <v>3.3608586476926274</v>
      </c>
      <c r="L875" s="160">
        <v>2.2586101301692132</v>
      </c>
      <c r="M875" s="160">
        <v>1.5475367993624309</v>
      </c>
      <c r="N875" s="160">
        <v>3.6515455901566107</v>
      </c>
      <c r="O875"/>
    </row>
    <row r="876" spans="2:16" s="1" customFormat="1" x14ac:dyDescent="0.3">
      <c r="B876" s="298"/>
      <c r="C876" s="12" t="s">
        <v>180</v>
      </c>
      <c r="D876" s="162">
        <v>1.6928446270058737</v>
      </c>
      <c r="E876" s="162">
        <v>2.0182892843088753</v>
      </c>
      <c r="F876" s="162">
        <v>2.9845500787552357</v>
      </c>
      <c r="G876" s="162">
        <v>2.4550432341574084</v>
      </c>
      <c r="H876" s="162">
        <v>1.367689271826714</v>
      </c>
      <c r="I876" s="162">
        <v>1.8325837069591511</v>
      </c>
      <c r="J876" s="162">
        <v>2.3395895800658755</v>
      </c>
      <c r="K876" s="162">
        <v>2.4330817281350137</v>
      </c>
      <c r="L876" s="162">
        <v>2.1760965849220071</v>
      </c>
      <c r="M876" s="162">
        <v>1.605914078145771</v>
      </c>
      <c r="N876" s="162">
        <v>3.1829308455283907</v>
      </c>
      <c r="O876"/>
    </row>
    <row r="877" spans="2:16" s="1" customFormat="1" x14ac:dyDescent="0.3">
      <c r="B877" s="292" t="s">
        <v>223</v>
      </c>
      <c r="C877" s="9" t="s">
        <v>210</v>
      </c>
      <c r="D877" s="160">
        <v>2.0093684625768518</v>
      </c>
      <c r="E877" s="160">
        <v>0</v>
      </c>
      <c r="F877" s="160">
        <v>2.6533180009370443</v>
      </c>
      <c r="G877" s="160">
        <v>2.9675051725320598</v>
      </c>
      <c r="H877" s="160">
        <v>1</v>
      </c>
      <c r="I877" s="160">
        <v>6</v>
      </c>
      <c r="J877" s="160">
        <v>0</v>
      </c>
      <c r="K877" s="160">
        <v>0</v>
      </c>
      <c r="L877" s="160">
        <v>2.4777379677169136</v>
      </c>
      <c r="M877" s="160">
        <v>1</v>
      </c>
      <c r="N877" s="160">
        <v>1.5707259781252294</v>
      </c>
      <c r="O877"/>
    </row>
    <row r="878" spans="2:16" s="1" customFormat="1" x14ac:dyDescent="0.3">
      <c r="B878" s="292"/>
      <c r="C878" s="9" t="s">
        <v>211</v>
      </c>
      <c r="D878" s="160">
        <v>1.8697974149956331</v>
      </c>
      <c r="E878" s="160">
        <v>1.9783799371099497</v>
      </c>
      <c r="F878" s="160">
        <v>3.5163812666910834</v>
      </c>
      <c r="G878" s="160">
        <v>2.5333113427922265</v>
      </c>
      <c r="H878" s="160">
        <v>0</v>
      </c>
      <c r="I878" s="160">
        <v>2.590965378853856</v>
      </c>
      <c r="J878" s="160">
        <v>0</v>
      </c>
      <c r="K878" s="160">
        <v>2.6256452606675844</v>
      </c>
      <c r="L878" s="160">
        <v>2.043669034830077</v>
      </c>
      <c r="M878" s="160">
        <v>0.81306266094131319</v>
      </c>
      <c r="N878" s="160">
        <v>2.599601047468068</v>
      </c>
      <c r="O878"/>
    </row>
    <row r="879" spans="2:16" s="1" customFormat="1" x14ac:dyDescent="0.3">
      <c r="B879" s="292"/>
      <c r="C879" s="9" t="s">
        <v>212</v>
      </c>
      <c r="D879" s="160">
        <v>1.3740791058101964</v>
      </c>
      <c r="E879" s="160">
        <v>2.1257571476995736</v>
      </c>
      <c r="F879" s="160">
        <v>4.3806834947168278</v>
      </c>
      <c r="G879" s="160">
        <v>1.4767252106119289</v>
      </c>
      <c r="H879" s="160">
        <v>1.5</v>
      </c>
      <c r="I879" s="160">
        <v>1.1116116855345013</v>
      </c>
      <c r="J879" s="160">
        <v>3.3099605399559247</v>
      </c>
      <c r="K879" s="160">
        <v>7.5057254932147721</v>
      </c>
      <c r="L879" s="160">
        <v>2.027885132257834</v>
      </c>
      <c r="M879" s="160">
        <v>2.1169236559070139</v>
      </c>
      <c r="N879" s="160">
        <v>1.6692409021163255</v>
      </c>
      <c r="O879"/>
    </row>
    <row r="880" spans="2:16" s="1" customFormat="1" x14ac:dyDescent="0.3">
      <c r="B880" s="292"/>
      <c r="C880" s="9" t="s">
        <v>213</v>
      </c>
      <c r="D880" s="160">
        <v>1.2973830978554846</v>
      </c>
      <c r="E880" s="160">
        <v>1.7922920743853359</v>
      </c>
      <c r="F880" s="160">
        <v>3.6564554522830743</v>
      </c>
      <c r="G880" s="160">
        <v>2.4170625314084915</v>
      </c>
      <c r="H880" s="160">
        <v>1.312411801906018</v>
      </c>
      <c r="I880" s="160">
        <v>2.0737589581075011</v>
      </c>
      <c r="J880" s="160">
        <v>2.3869819662281526</v>
      </c>
      <c r="K880" s="160">
        <v>6.2466539939692707</v>
      </c>
      <c r="L880" s="160">
        <v>2.8065838041672877</v>
      </c>
      <c r="M880" s="160">
        <v>1.8367067312267982</v>
      </c>
      <c r="N880" s="160">
        <v>2.4494057980602313</v>
      </c>
      <c r="O880"/>
    </row>
    <row r="881" spans="2:15" s="1" customFormat="1" ht="24" customHeight="1" x14ac:dyDescent="0.3">
      <c r="B881" s="292"/>
      <c r="C881" s="9" t="s">
        <v>214</v>
      </c>
      <c r="D881" s="160">
        <v>1.5393492491674592</v>
      </c>
      <c r="E881" s="160">
        <v>2.6683501733743618</v>
      </c>
      <c r="F881" s="160">
        <v>3.9629098724102563</v>
      </c>
      <c r="G881" s="160">
        <v>2.578559381095701</v>
      </c>
      <c r="H881" s="160">
        <v>1.1652529947746437</v>
      </c>
      <c r="I881" s="160">
        <v>2.0720679349585507</v>
      </c>
      <c r="J881" s="160">
        <v>4.1388448422103856</v>
      </c>
      <c r="K881" s="160">
        <v>4.7273076925362139</v>
      </c>
      <c r="L881" s="160">
        <v>2.0391303887722518</v>
      </c>
      <c r="M881" s="160">
        <v>1.3826652238853068</v>
      </c>
      <c r="N881" s="160">
        <v>1.470634268170643</v>
      </c>
      <c r="O881"/>
    </row>
    <row r="882" spans="2:15" s="1" customFormat="1" x14ac:dyDescent="0.3">
      <c r="B882" s="292"/>
      <c r="C882" s="12" t="s">
        <v>215</v>
      </c>
      <c r="D882" s="162">
        <v>1.5666010046845402</v>
      </c>
      <c r="E882" s="162">
        <v>1.634211054370984</v>
      </c>
      <c r="F882" s="162">
        <v>2.1581198907288983</v>
      </c>
      <c r="G882" s="162">
        <v>2.2358057418300863</v>
      </c>
      <c r="H882" s="162">
        <v>1.3329049147494894</v>
      </c>
      <c r="I882" s="162">
        <v>1.6853476768415909</v>
      </c>
      <c r="J882" s="162">
        <v>2.7752914704924558</v>
      </c>
      <c r="K882" s="162">
        <v>9.2430187671286232E-2</v>
      </c>
      <c r="L882" s="162">
        <v>2.1715414226519916</v>
      </c>
      <c r="M882" s="162">
        <v>1.3619600411114132</v>
      </c>
      <c r="N882" s="162">
        <v>1.7026482544295467</v>
      </c>
      <c r="O882"/>
    </row>
    <row r="883" spans="2:15" s="1" customFormat="1" x14ac:dyDescent="0.3">
      <c r="B883" s="292"/>
      <c r="C883" s="9" t="s">
        <v>216</v>
      </c>
      <c r="D883" s="160">
        <v>1.495158246389346</v>
      </c>
      <c r="E883" s="160">
        <v>1.2229460601389266</v>
      </c>
      <c r="F883" s="160">
        <v>4.4338945889138772</v>
      </c>
      <c r="G883" s="160">
        <v>2.0538814120508428</v>
      </c>
      <c r="H883" s="160">
        <v>2</v>
      </c>
      <c r="I883" s="160">
        <v>1.5887181764902218</v>
      </c>
      <c r="J883" s="160">
        <v>3</v>
      </c>
      <c r="K883" s="160">
        <v>3</v>
      </c>
      <c r="L883" s="160">
        <v>2.0096835072213075</v>
      </c>
      <c r="M883" s="160">
        <v>2</v>
      </c>
      <c r="N883" s="160">
        <v>0</v>
      </c>
      <c r="O883"/>
    </row>
    <row r="884" spans="2:15" s="1" customFormat="1" x14ac:dyDescent="0.3">
      <c r="B884" s="292"/>
      <c r="C884" s="9" t="s">
        <v>217</v>
      </c>
      <c r="D884" s="160">
        <v>1.9488950736829573</v>
      </c>
      <c r="E884" s="160">
        <v>3.9600520302699262</v>
      </c>
      <c r="F884" s="160">
        <v>6.8086426311903825</v>
      </c>
      <c r="G884" s="160">
        <v>5.160191826968048</v>
      </c>
      <c r="H884" s="160">
        <v>1.7218207926249978</v>
      </c>
      <c r="I884" s="160">
        <v>2.3479386318105329</v>
      </c>
      <c r="J884" s="160">
        <v>1.5213341617955836</v>
      </c>
      <c r="K884" s="160">
        <v>7.4744967887570626</v>
      </c>
      <c r="L884" s="160">
        <v>3.179862080471366</v>
      </c>
      <c r="M884" s="160">
        <v>1.8186579727101426</v>
      </c>
      <c r="N884" s="160">
        <v>1</v>
      </c>
      <c r="O884"/>
    </row>
    <row r="885" spans="2:15" s="1" customFormat="1" ht="24" customHeight="1" x14ac:dyDescent="0.3">
      <c r="B885" s="292"/>
      <c r="C885" s="9" t="s">
        <v>218</v>
      </c>
      <c r="D885" s="160">
        <v>1.5309289138196895</v>
      </c>
      <c r="E885" s="160">
        <v>3.4099044613093383</v>
      </c>
      <c r="F885" s="160">
        <v>5.2384555524081797</v>
      </c>
      <c r="G885" s="160">
        <v>2.541941155059388</v>
      </c>
      <c r="H885" s="160">
        <v>2.8095533192521174</v>
      </c>
      <c r="I885" s="160">
        <v>2.0473235995012007</v>
      </c>
      <c r="J885" s="160">
        <v>2.8199808369768831</v>
      </c>
      <c r="K885" s="160">
        <v>8.8488132719553114</v>
      </c>
      <c r="L885" s="160">
        <v>3.3289535227542664</v>
      </c>
      <c r="M885" s="160">
        <v>1.9643188222278885</v>
      </c>
      <c r="N885" s="160">
        <v>3.3028819090375174</v>
      </c>
      <c r="O885"/>
    </row>
    <row r="886" spans="2:15" s="1" customFormat="1" x14ac:dyDescent="0.3">
      <c r="B886" s="292"/>
      <c r="C886" s="9" t="s">
        <v>219</v>
      </c>
      <c r="D886" s="160">
        <v>1.9724284065112754</v>
      </c>
      <c r="E886" s="160">
        <v>2.3431418283925485</v>
      </c>
      <c r="F886" s="160">
        <v>5.2730049065817504</v>
      </c>
      <c r="G886" s="160">
        <v>3.7789875247844957</v>
      </c>
      <c r="H886" s="160">
        <v>1.2845385391155792</v>
      </c>
      <c r="I886" s="160">
        <v>2.5025370643813285</v>
      </c>
      <c r="J886" s="160">
        <v>2.9851697786980584</v>
      </c>
      <c r="K886" s="160">
        <v>9.4017592815257416</v>
      </c>
      <c r="L886" s="160">
        <v>2.9136825491614915</v>
      </c>
      <c r="M886" s="160">
        <v>2.6047783970689542</v>
      </c>
      <c r="N886" s="160">
        <v>2.1122873055909515</v>
      </c>
      <c r="O886"/>
    </row>
    <row r="887" spans="2:15" s="1" customFormat="1" x14ac:dyDescent="0.3">
      <c r="B887" s="292"/>
      <c r="C887" s="9" t="s">
        <v>220</v>
      </c>
      <c r="D887" s="160">
        <v>2.1596300162305311</v>
      </c>
      <c r="E887" s="160">
        <v>5.3102867377377683</v>
      </c>
      <c r="F887" s="160">
        <v>6.3803375620861713</v>
      </c>
      <c r="G887" s="160">
        <v>3.6120358966428663</v>
      </c>
      <c r="H887" s="160">
        <v>2.0310923735086375</v>
      </c>
      <c r="I887" s="160">
        <v>2.3623354585884533</v>
      </c>
      <c r="J887" s="160">
        <v>2.9175832802977859</v>
      </c>
      <c r="K887" s="160">
        <v>2.6402702737344179</v>
      </c>
      <c r="L887" s="160">
        <v>2.4373097572449707</v>
      </c>
      <c r="M887" s="160">
        <v>1.6547998476019508</v>
      </c>
      <c r="N887" s="160">
        <v>4.9677761565090872</v>
      </c>
      <c r="O887"/>
    </row>
    <row r="888" spans="2:15" s="1" customFormat="1" x14ac:dyDescent="0.3">
      <c r="B888" s="295"/>
      <c r="C888" s="9" t="s">
        <v>221</v>
      </c>
      <c r="D888" s="160">
        <v>1.7893978979551879</v>
      </c>
      <c r="E888" s="160">
        <v>2.3322612517678802</v>
      </c>
      <c r="F888" s="160">
        <v>3.591466431825074</v>
      </c>
      <c r="G888" s="160">
        <v>2.6243828450042002</v>
      </c>
      <c r="H888" s="160">
        <v>1.3873414837299665</v>
      </c>
      <c r="I888" s="160">
        <v>1.9757703076622222</v>
      </c>
      <c r="J888" s="160">
        <v>2.0164914973318782</v>
      </c>
      <c r="K888" s="160">
        <v>3.5823667237606611</v>
      </c>
      <c r="L888" s="160">
        <v>2.1795435988776508</v>
      </c>
      <c r="M888" s="160">
        <v>1.7815785745855592</v>
      </c>
      <c r="N888" s="160">
        <v>4.4837459237805906</v>
      </c>
      <c r="O888"/>
    </row>
    <row r="889" spans="2:15" s="1" customFormat="1" x14ac:dyDescent="0.3">
      <c r="B889" s="291" t="s">
        <v>222</v>
      </c>
      <c r="C889" s="13" t="s">
        <v>195</v>
      </c>
      <c r="D889" s="161">
        <v>1.7078611812621667</v>
      </c>
      <c r="E889" s="161">
        <v>1.819117047629726</v>
      </c>
      <c r="F889" s="161">
        <v>3.8951841116626591</v>
      </c>
      <c r="G889" s="161">
        <v>2.3601723562057217</v>
      </c>
      <c r="H889" s="161">
        <v>0.8723658973685916</v>
      </c>
      <c r="I889" s="161">
        <v>2.0102284319891943</v>
      </c>
      <c r="J889" s="161">
        <v>1.8487946578620456</v>
      </c>
      <c r="K889" s="161">
        <v>3.8940903829062972</v>
      </c>
      <c r="L889" s="161">
        <v>2.2997728242533406</v>
      </c>
      <c r="M889" s="161">
        <v>1.4801353529808174</v>
      </c>
      <c r="N889" s="161">
        <v>1.3375347046844757</v>
      </c>
      <c r="O889"/>
    </row>
    <row r="890" spans="2:15" s="1" customFormat="1" x14ac:dyDescent="0.3">
      <c r="B890" s="294"/>
      <c r="C890" s="9" t="s">
        <v>196</v>
      </c>
      <c r="D890" s="160">
        <v>1.8599530427878919</v>
      </c>
      <c r="E890" s="160">
        <v>2.0802715440275406</v>
      </c>
      <c r="F890" s="160">
        <v>3.9480487725113251</v>
      </c>
      <c r="G890" s="160">
        <v>2.7843476418581661</v>
      </c>
      <c r="H890" s="160">
        <v>1.3618988671761425</v>
      </c>
      <c r="I890" s="160">
        <v>2.0032818436457722</v>
      </c>
      <c r="J890" s="160">
        <v>2.9935054387694007</v>
      </c>
      <c r="K890" s="160">
        <v>5.3958845871065444</v>
      </c>
      <c r="L890" s="160">
        <v>2.3801632313806462</v>
      </c>
      <c r="M890" s="160">
        <v>1.8951939707584029</v>
      </c>
      <c r="N890" s="160">
        <v>3.9739328842089274</v>
      </c>
      <c r="O890"/>
    </row>
    <row r="891" spans="2:15" s="1" customFormat="1" x14ac:dyDescent="0.3">
      <c r="B891" s="292"/>
      <c r="C891" s="9" t="s">
        <v>197</v>
      </c>
      <c r="D891" s="160">
        <v>1.4739563945594865</v>
      </c>
      <c r="E891" s="160">
        <v>5.3477366492819378</v>
      </c>
      <c r="F891" s="160">
        <v>4.7159441995790266</v>
      </c>
      <c r="G891" s="160">
        <v>2.4944749515309863</v>
      </c>
      <c r="H891" s="160">
        <v>1.1789395292379279</v>
      </c>
      <c r="I891" s="160">
        <v>1.8914142204564803</v>
      </c>
      <c r="J891" s="160">
        <v>2.8358190748336876</v>
      </c>
      <c r="K891" s="160">
        <v>5.4395373531313043</v>
      </c>
      <c r="L891" s="160">
        <v>2.1456168521613632</v>
      </c>
      <c r="M891" s="160">
        <v>1.243725692439277</v>
      </c>
      <c r="N891" s="160">
        <v>3.2609514688087153</v>
      </c>
      <c r="O891"/>
    </row>
    <row r="892" spans="2:15" s="1" customFormat="1" x14ac:dyDescent="0.3">
      <c r="B892" s="295"/>
      <c r="C892" s="12" t="s">
        <v>198</v>
      </c>
      <c r="D892" s="162">
        <v>1.8787373393529332</v>
      </c>
      <c r="E892" s="162">
        <v>2.7367565674171779</v>
      </c>
      <c r="F892" s="162">
        <v>5.3027963509821978</v>
      </c>
      <c r="G892" s="162">
        <v>3.5147465832938507</v>
      </c>
      <c r="H892" s="162">
        <v>2.5091597394232577</v>
      </c>
      <c r="I892" s="162">
        <v>2.3470183346781148</v>
      </c>
      <c r="J892" s="162">
        <v>3.4301660409485493</v>
      </c>
      <c r="K892" s="162">
        <v>8.2786822117893948</v>
      </c>
      <c r="L892" s="162">
        <v>2.8871771519095644</v>
      </c>
      <c r="M892" s="162">
        <v>2.2042535628044599</v>
      </c>
      <c r="N892" s="162">
        <v>3.5185334545382769</v>
      </c>
      <c r="O892"/>
    </row>
    <row r="893" spans="2:15" s="1" customFormat="1" x14ac:dyDescent="0.3">
      <c r="B893" s="296" t="s">
        <v>199</v>
      </c>
      <c r="C893" s="13" t="s">
        <v>192</v>
      </c>
      <c r="D893" s="161">
        <v>1.6607422045339189</v>
      </c>
      <c r="E893" s="161">
        <v>3.5430746474857293</v>
      </c>
      <c r="F893" s="161">
        <v>4.6793267221370476</v>
      </c>
      <c r="G893" s="161">
        <v>2.9258192841326705</v>
      </c>
      <c r="H893" s="161">
        <v>1.5830309975118664</v>
      </c>
      <c r="I893" s="161">
        <v>1.9627122298241868</v>
      </c>
      <c r="J893" s="161">
        <v>2.8664811160347452</v>
      </c>
      <c r="K893" s="161">
        <v>6.1434904616910853</v>
      </c>
      <c r="L893" s="161">
        <v>2.5139014524204</v>
      </c>
      <c r="M893" s="161">
        <v>1.7877566947017833</v>
      </c>
      <c r="N893" s="161">
        <v>3.8870613476152123</v>
      </c>
      <c r="O893"/>
    </row>
    <row r="894" spans="2:15" s="1" customFormat="1" x14ac:dyDescent="0.3">
      <c r="B894" s="292"/>
      <c r="C894" s="9" t="s">
        <v>200</v>
      </c>
      <c r="D894" s="160">
        <v>1.3897708677045131</v>
      </c>
      <c r="E894" s="160">
        <v>2.3551015143408884</v>
      </c>
      <c r="F894" s="160">
        <v>3.1990722605490438</v>
      </c>
      <c r="G894" s="160">
        <v>2.2016190667246645</v>
      </c>
      <c r="H894" s="160">
        <v>0.6741795187473052</v>
      </c>
      <c r="I894" s="160">
        <v>1.4609970812793056</v>
      </c>
      <c r="J894" s="160">
        <v>3.5526519346063741</v>
      </c>
      <c r="K894" s="160">
        <v>1.8821978810746065</v>
      </c>
      <c r="L894" s="160">
        <v>2.0556193287062765</v>
      </c>
      <c r="M894" s="160">
        <v>1.4607271543757261</v>
      </c>
      <c r="N894" s="160">
        <v>0.77108690431575544</v>
      </c>
      <c r="O894"/>
    </row>
    <row r="895" spans="2:15" s="1" customFormat="1" x14ac:dyDescent="0.3">
      <c r="B895" s="292"/>
      <c r="C895" s="9" t="s">
        <v>201</v>
      </c>
      <c r="D895" s="160">
        <v>1.5768732205993516</v>
      </c>
      <c r="E895" s="160">
        <v>1.958693714291263</v>
      </c>
      <c r="F895" s="160">
        <v>4.1464677820352076</v>
      </c>
      <c r="G895" s="160">
        <v>2.7799148571445467</v>
      </c>
      <c r="H895" s="160">
        <v>1.263346884776102</v>
      </c>
      <c r="I895" s="160">
        <v>2.0037015098331281</v>
      </c>
      <c r="J895" s="160">
        <v>2.9317791843590872</v>
      </c>
      <c r="K895" s="160">
        <v>4.3817938180491911</v>
      </c>
      <c r="L895" s="160">
        <v>2.5063598302350951</v>
      </c>
      <c r="M895" s="160">
        <v>1.5693027140676981</v>
      </c>
      <c r="N895" s="160">
        <v>1.1480565275469581</v>
      </c>
      <c r="O895"/>
    </row>
    <row r="896" spans="2:15" s="1" customFormat="1" x14ac:dyDescent="0.3">
      <c r="B896" s="292"/>
      <c r="C896" s="9" t="s">
        <v>202</v>
      </c>
      <c r="D896" s="160">
        <v>1.9896471539345641</v>
      </c>
      <c r="E896" s="160">
        <v>1.8780493937415106</v>
      </c>
      <c r="F896" s="160">
        <v>3.5743713869920541</v>
      </c>
      <c r="G896" s="160">
        <v>2.4951833039398119</v>
      </c>
      <c r="H896" s="160">
        <v>0.89691749822406663</v>
      </c>
      <c r="I896" s="160">
        <v>2.0809153963909912</v>
      </c>
      <c r="J896" s="160">
        <v>2.2508782920557326</v>
      </c>
      <c r="K896" s="160">
        <v>7.1017274248190203</v>
      </c>
      <c r="L896" s="160">
        <v>2.2137291093078142</v>
      </c>
      <c r="M896" s="160">
        <v>1.1786425020701679</v>
      </c>
      <c r="N896" s="160">
        <v>2.2089931858183056</v>
      </c>
      <c r="O896"/>
    </row>
    <row r="897" spans="2:15" s="1" customFormat="1" x14ac:dyDescent="0.3">
      <c r="B897" s="295"/>
      <c r="C897" s="12" t="s">
        <v>203</v>
      </c>
      <c r="D897" s="162">
        <v>1.9768081475597585</v>
      </c>
      <c r="E897" s="162">
        <v>2.2640453995987131</v>
      </c>
      <c r="F897" s="162">
        <v>4.723938901381751</v>
      </c>
      <c r="G897" s="162">
        <v>2.9193508389645375</v>
      </c>
      <c r="H897" s="162">
        <v>2.2402358630989143</v>
      </c>
      <c r="I897" s="162">
        <v>2.5113435304387202</v>
      </c>
      <c r="J897" s="162">
        <v>2.6048727821875568</v>
      </c>
      <c r="K897" s="162">
        <v>6.9781904237809442</v>
      </c>
      <c r="L897" s="162">
        <v>2.3744639613332508</v>
      </c>
      <c r="M897" s="162">
        <v>1.9504867905010417</v>
      </c>
      <c r="N897" s="162">
        <v>2.4305066351886473</v>
      </c>
      <c r="O897"/>
    </row>
    <row r="898" spans="2:15" s="1" customFormat="1" x14ac:dyDescent="0.3">
      <c r="B898" s="291" t="s">
        <v>204</v>
      </c>
      <c r="C898" s="13" t="s">
        <v>192</v>
      </c>
      <c r="D898" s="161">
        <v>1.6607422045339189</v>
      </c>
      <c r="E898" s="161">
        <v>3.5430746474857293</v>
      </c>
      <c r="F898" s="161">
        <v>4.6793267221370476</v>
      </c>
      <c r="G898" s="161">
        <v>2.9258192841326705</v>
      </c>
      <c r="H898" s="161">
        <v>1.5830309975118664</v>
      </c>
      <c r="I898" s="161">
        <v>1.9627122298241868</v>
      </c>
      <c r="J898" s="161">
        <v>2.8664811160347452</v>
      </c>
      <c r="K898" s="161">
        <v>6.1434904616910853</v>
      </c>
      <c r="L898" s="161">
        <v>2.5139014524204</v>
      </c>
      <c r="M898" s="161">
        <v>1.7877566947017833</v>
      </c>
      <c r="N898" s="161">
        <v>3.8870613476152123</v>
      </c>
      <c r="O898"/>
    </row>
    <row r="899" spans="2:15" s="1" customFormat="1" x14ac:dyDescent="0.3">
      <c r="B899" s="295"/>
      <c r="C899" s="12" t="s">
        <v>193</v>
      </c>
      <c r="D899" s="162">
        <v>1.843303050439518</v>
      </c>
      <c r="E899" s="162">
        <v>2.1193715270411317</v>
      </c>
      <c r="F899" s="162">
        <v>4.24386553388171</v>
      </c>
      <c r="G899" s="162">
        <v>2.7363281056745365</v>
      </c>
      <c r="H899" s="162">
        <v>1.5475005407487534</v>
      </c>
      <c r="I899" s="162">
        <v>2.2066484215333788</v>
      </c>
      <c r="J899" s="162">
        <v>2.7206443369406679</v>
      </c>
      <c r="K899" s="162">
        <v>6.0401069513274459</v>
      </c>
      <c r="L899" s="162">
        <v>2.3395956746167506</v>
      </c>
      <c r="M899" s="162">
        <v>1.6727916524342641</v>
      </c>
      <c r="N899" s="162">
        <v>1.9363667986813142</v>
      </c>
      <c r="O899"/>
    </row>
    <row r="900" spans="2:15" s="1" customFormat="1" x14ac:dyDescent="0.3">
      <c r="B900" s="291" t="s">
        <v>209</v>
      </c>
      <c r="C900" s="13" t="s">
        <v>205</v>
      </c>
      <c r="D900" s="161">
        <v>1.3133760565727264</v>
      </c>
      <c r="E900" s="161">
        <v>2.1637479888898712</v>
      </c>
      <c r="F900" s="161">
        <v>3.5795875688776211</v>
      </c>
      <c r="G900" s="161">
        <v>2.1985559283067913</v>
      </c>
      <c r="H900" s="161">
        <v>1.0222745436978147</v>
      </c>
      <c r="I900" s="161">
        <v>1.7804518919089878</v>
      </c>
      <c r="J900" s="161">
        <v>1.6565480570720681</v>
      </c>
      <c r="K900" s="161">
        <v>0</v>
      </c>
      <c r="L900" s="161">
        <v>1.8595870671085741</v>
      </c>
      <c r="M900" s="161">
        <v>1.7049644280178673</v>
      </c>
      <c r="N900" s="161">
        <v>1.7893250162682428</v>
      </c>
      <c r="O900"/>
    </row>
    <row r="901" spans="2:15" s="1" customFormat="1" x14ac:dyDescent="0.3">
      <c r="B901" s="292"/>
      <c r="C901" s="9" t="s">
        <v>206</v>
      </c>
      <c r="D901" s="160">
        <v>1.8440591541140912</v>
      </c>
      <c r="E901" s="160">
        <v>1.8789786351691529</v>
      </c>
      <c r="F901" s="160">
        <v>3.6076398695594811</v>
      </c>
      <c r="G901" s="160">
        <v>2.7952614621330665</v>
      </c>
      <c r="H901" s="160">
        <v>1.6226440270764471</v>
      </c>
      <c r="I901" s="160">
        <v>1.8836559806038713</v>
      </c>
      <c r="J901" s="160">
        <v>2.8156349540879906</v>
      </c>
      <c r="K901" s="160">
        <v>1.0681931316514706</v>
      </c>
      <c r="L901" s="160">
        <v>2.2071317636117853</v>
      </c>
      <c r="M901" s="160">
        <v>1.2744663678060566</v>
      </c>
      <c r="N901" s="160">
        <v>3.8202867553807622</v>
      </c>
      <c r="O901"/>
    </row>
    <row r="902" spans="2:15" s="1" customFormat="1" x14ac:dyDescent="0.3">
      <c r="B902" s="292"/>
      <c r="C902" s="9" t="s">
        <v>207</v>
      </c>
      <c r="D902" s="160">
        <v>1.5577160510579982</v>
      </c>
      <c r="E902" s="160">
        <v>2.2811164336869743</v>
      </c>
      <c r="F902" s="160">
        <v>3.9866234051021285</v>
      </c>
      <c r="G902" s="160">
        <v>2.7997361087093768</v>
      </c>
      <c r="H902" s="160">
        <v>1.6171985990711473</v>
      </c>
      <c r="I902" s="160">
        <v>2.2581546155806134</v>
      </c>
      <c r="J902" s="160">
        <v>2.8479324841928482</v>
      </c>
      <c r="K902" s="160">
        <v>6.2747580369075484</v>
      </c>
      <c r="L902" s="160">
        <v>2.4445799010632028</v>
      </c>
      <c r="M902" s="160">
        <v>2.1927283387555252</v>
      </c>
      <c r="N902" s="160">
        <v>1.9577964991190979</v>
      </c>
      <c r="O902"/>
    </row>
    <row r="903" spans="2:15" s="1" customFormat="1" x14ac:dyDescent="0.3">
      <c r="B903" s="293"/>
      <c r="C903" s="25" t="s">
        <v>208</v>
      </c>
      <c r="D903" s="163">
        <v>2.005285610424147</v>
      </c>
      <c r="E903" s="163">
        <v>4.1637625587101743</v>
      </c>
      <c r="F903" s="163">
        <v>5.7504876848671653</v>
      </c>
      <c r="G903" s="163">
        <v>3.0466624195432681</v>
      </c>
      <c r="H903" s="163">
        <v>1.5639320549146682</v>
      </c>
      <c r="I903" s="163">
        <v>2.1490304281230181</v>
      </c>
      <c r="J903" s="163">
        <v>2.8890026568404683</v>
      </c>
      <c r="K903" s="163">
        <v>7.543168761043102</v>
      </c>
      <c r="L903" s="163">
        <v>2.7045778354735486</v>
      </c>
      <c r="M903" s="163">
        <v>1.6176908442157483</v>
      </c>
      <c r="N903" s="163">
        <v>3.739580680946136</v>
      </c>
      <c r="O903"/>
    </row>
    <row r="904" spans="2:15" x14ac:dyDescent="0.3">
      <c r="B904" s="24"/>
      <c r="C904" s="9"/>
      <c r="D904" s="56"/>
      <c r="E904" s="56"/>
      <c r="F904" s="56"/>
      <c r="G904" s="56"/>
      <c r="H904" s="56"/>
      <c r="I904" s="58"/>
      <c r="J904" s="56"/>
      <c r="K904" s="56"/>
      <c r="L904" s="58"/>
      <c r="M904" s="56"/>
      <c r="N904" s="56"/>
      <c r="O904" s="62"/>
    </row>
    <row r="905" spans="2:15" x14ac:dyDescent="0.3">
      <c r="B905" s="24"/>
      <c r="C905" s="9"/>
      <c r="D905" s="56"/>
      <c r="E905" s="56"/>
      <c r="F905" s="56"/>
      <c r="G905" s="56"/>
      <c r="H905" s="56"/>
      <c r="I905" s="58"/>
      <c r="J905" s="56"/>
      <c r="K905" s="56"/>
      <c r="L905" s="58"/>
      <c r="M905" s="56"/>
      <c r="N905" s="56"/>
      <c r="O905" s="62"/>
    </row>
    <row r="906" spans="2:15" x14ac:dyDescent="0.3">
      <c r="B906" s="24"/>
      <c r="C906" s="9"/>
      <c r="D906" s="56"/>
      <c r="E906" s="56"/>
      <c r="F906" s="56"/>
      <c r="G906" s="56"/>
      <c r="H906" s="56"/>
      <c r="I906" s="58"/>
      <c r="J906" s="56"/>
      <c r="K906" s="56"/>
      <c r="L906" s="58"/>
      <c r="M906" s="56"/>
      <c r="N906" s="56"/>
      <c r="O906" s="62"/>
    </row>
    <row r="907" spans="2:15" x14ac:dyDescent="0.3">
      <c r="B907" s="24"/>
      <c r="C907" s="9"/>
      <c r="D907" s="56"/>
      <c r="E907" s="56"/>
      <c r="F907" s="56"/>
      <c r="G907" s="56"/>
      <c r="H907" s="56"/>
      <c r="I907" s="58"/>
      <c r="J907" s="56"/>
      <c r="K907" s="56"/>
      <c r="L907" s="58"/>
      <c r="M907" s="56"/>
      <c r="N907" s="56"/>
      <c r="O907" s="62"/>
    </row>
    <row r="908" spans="2:15" x14ac:dyDescent="0.3">
      <c r="B908" s="24"/>
      <c r="C908" s="9"/>
      <c r="D908" s="56"/>
      <c r="E908" s="56"/>
      <c r="F908" s="56"/>
      <c r="G908" s="56"/>
      <c r="H908" s="56"/>
      <c r="I908" s="58"/>
      <c r="J908" s="56"/>
      <c r="K908" s="56"/>
      <c r="L908" s="58"/>
      <c r="M908" s="56"/>
      <c r="N908" s="56"/>
      <c r="O908" s="62"/>
    </row>
    <row r="909" spans="2:15" x14ac:dyDescent="0.3">
      <c r="B909" s="24"/>
      <c r="C909" s="9"/>
      <c r="D909" s="56"/>
      <c r="E909" s="56"/>
      <c r="F909" s="56"/>
      <c r="G909" s="56"/>
      <c r="H909" s="56"/>
      <c r="I909" s="58"/>
      <c r="J909" s="56"/>
      <c r="K909" s="56"/>
      <c r="L909" s="58"/>
      <c r="M909" s="56"/>
      <c r="N909" s="56"/>
      <c r="O909" s="62"/>
    </row>
    <row r="910" spans="2:15" x14ac:dyDescent="0.3">
      <c r="B910" s="24"/>
      <c r="C910" s="9"/>
      <c r="D910" s="56"/>
      <c r="E910" s="56"/>
      <c r="F910" s="56"/>
      <c r="G910" s="56"/>
      <c r="H910" s="56"/>
      <c r="I910" s="58"/>
      <c r="J910" s="56"/>
      <c r="K910" s="56"/>
      <c r="L910" s="58"/>
      <c r="M910" s="56"/>
      <c r="N910" s="56"/>
      <c r="O910" s="62"/>
    </row>
    <row r="911" spans="2:15" x14ac:dyDescent="0.3">
      <c r="B911" s="24"/>
      <c r="C911" s="9"/>
      <c r="D911" s="56"/>
      <c r="E911" s="56"/>
      <c r="F911" s="56"/>
      <c r="G911" s="56"/>
      <c r="H911" s="56"/>
      <c r="I911" s="58"/>
      <c r="J911" s="56"/>
      <c r="K911" s="56"/>
      <c r="L911" s="58"/>
      <c r="M911" s="56"/>
      <c r="N911" s="56"/>
      <c r="O911" s="62"/>
    </row>
    <row r="912" spans="2:15" x14ac:dyDescent="0.3">
      <c r="B912" s="24"/>
      <c r="C912" s="9"/>
      <c r="D912" s="56"/>
      <c r="E912" s="56"/>
      <c r="F912" s="56"/>
      <c r="G912" s="56"/>
      <c r="H912" s="56"/>
      <c r="I912" s="58"/>
      <c r="J912" s="56"/>
      <c r="K912" s="56"/>
      <c r="L912" s="58"/>
      <c r="M912" s="56"/>
      <c r="N912" s="56"/>
      <c r="O912" s="62"/>
    </row>
    <row r="913" spans="2:15" x14ac:dyDescent="0.3">
      <c r="B913" s="24"/>
      <c r="C913" s="9"/>
      <c r="D913" s="56"/>
      <c r="E913" s="56"/>
      <c r="F913" s="56"/>
      <c r="G913" s="56"/>
      <c r="H913" s="56"/>
      <c r="I913" s="58"/>
      <c r="J913" s="56"/>
      <c r="K913" s="56"/>
      <c r="L913" s="58"/>
      <c r="M913" s="56"/>
      <c r="N913" s="56"/>
      <c r="O913" s="62"/>
    </row>
    <row r="914" spans="2:15" x14ac:dyDescent="0.3">
      <c r="B914" s="24"/>
      <c r="C914" s="9"/>
      <c r="D914" s="56"/>
      <c r="E914" s="56"/>
      <c r="F914" s="56"/>
      <c r="G914" s="56"/>
      <c r="H914" s="56"/>
      <c r="I914" s="58"/>
      <c r="J914" s="56"/>
      <c r="K914" s="56"/>
      <c r="L914" s="58"/>
      <c r="M914" s="56"/>
      <c r="N914" s="56"/>
      <c r="O914" s="62"/>
    </row>
    <row r="915" spans="2:15" x14ac:dyDescent="0.3">
      <c r="B915" s="24"/>
      <c r="C915" s="9"/>
      <c r="D915" s="56"/>
      <c r="E915" s="56"/>
      <c r="F915" s="56"/>
      <c r="G915" s="56"/>
      <c r="H915" s="56"/>
      <c r="I915" s="58"/>
      <c r="J915" s="56"/>
      <c r="K915" s="56"/>
      <c r="L915" s="58"/>
      <c r="M915" s="56"/>
      <c r="N915" s="56"/>
      <c r="O915" s="62"/>
    </row>
    <row r="916" spans="2:15" x14ac:dyDescent="0.3">
      <c r="B916" s="24"/>
      <c r="C916" s="9"/>
      <c r="D916" s="56"/>
      <c r="E916" s="56"/>
      <c r="F916" s="56"/>
      <c r="G916" s="56"/>
      <c r="H916" s="56"/>
      <c r="I916" s="58"/>
      <c r="J916" s="56"/>
      <c r="K916" s="56"/>
      <c r="L916" s="58"/>
      <c r="M916" s="56"/>
      <c r="N916" s="56"/>
      <c r="O916" s="62"/>
    </row>
    <row r="917" spans="2:15" x14ac:dyDescent="0.3">
      <c r="B917" s="24"/>
      <c r="C917" s="9"/>
      <c r="D917" s="56"/>
      <c r="E917" s="56"/>
      <c r="F917" s="56"/>
      <c r="G917" s="56"/>
      <c r="H917" s="56"/>
      <c r="I917" s="58"/>
      <c r="J917" s="56"/>
      <c r="K917" s="56"/>
      <c r="L917" s="58"/>
      <c r="M917" s="56"/>
      <c r="N917" s="56"/>
      <c r="O917" s="62"/>
    </row>
    <row r="918" spans="2:15" x14ac:dyDescent="0.3">
      <c r="B918" s="24"/>
      <c r="C918" s="9"/>
      <c r="D918" s="56"/>
      <c r="E918" s="56"/>
      <c r="F918" s="56"/>
      <c r="G918" s="56"/>
      <c r="H918" s="56"/>
      <c r="I918" s="58"/>
      <c r="J918" s="56"/>
      <c r="K918" s="56"/>
      <c r="L918" s="58"/>
      <c r="M918" s="56"/>
      <c r="N918" s="56"/>
      <c r="O918" s="62"/>
    </row>
    <row r="919" spans="2:15" x14ac:dyDescent="0.3">
      <c r="B919" s="24"/>
      <c r="C919" s="9"/>
      <c r="D919" s="56"/>
      <c r="E919" s="56"/>
      <c r="F919" s="56"/>
      <c r="G919" s="56"/>
      <c r="H919" s="56"/>
      <c r="I919" s="58"/>
      <c r="J919" s="56"/>
      <c r="K919" s="56"/>
      <c r="L919" s="58"/>
      <c r="M919" s="56"/>
      <c r="N919" s="56"/>
      <c r="O919" s="62"/>
    </row>
    <row r="920" spans="2:15" x14ac:dyDescent="0.3">
      <c r="B920" s="24"/>
      <c r="C920" s="9"/>
      <c r="D920" s="56"/>
      <c r="E920" s="56"/>
      <c r="F920" s="56"/>
      <c r="G920" s="56"/>
      <c r="H920" s="56"/>
      <c r="I920" s="58"/>
      <c r="J920" s="56"/>
      <c r="K920" s="56"/>
      <c r="L920" s="58"/>
      <c r="M920" s="56"/>
      <c r="N920" s="56"/>
      <c r="O920" s="62"/>
    </row>
    <row r="921" spans="2:15" x14ac:dyDescent="0.3">
      <c r="B921" s="24"/>
      <c r="C921" s="9"/>
      <c r="D921" s="56"/>
      <c r="E921" s="56"/>
      <c r="F921" s="56"/>
      <c r="G921" s="56"/>
      <c r="H921" s="56"/>
      <c r="I921" s="58"/>
      <c r="J921" s="56"/>
      <c r="K921" s="56"/>
      <c r="L921" s="58"/>
      <c r="M921" s="56"/>
      <c r="N921" s="56"/>
      <c r="O921" s="62"/>
    </row>
  </sheetData>
  <mergeCells count="175">
    <mergeCell ref="B290:B293"/>
    <mergeCell ref="B206:B207"/>
    <mergeCell ref="B208:B211"/>
    <mergeCell ref="B258:C258"/>
    <mergeCell ref="B259:B260"/>
    <mergeCell ref="B261:B266"/>
    <mergeCell ref="B267:B278"/>
    <mergeCell ref="B279:B282"/>
    <mergeCell ref="B283:B287"/>
    <mergeCell ref="B288:B289"/>
    <mergeCell ref="B112:B115"/>
    <mergeCell ref="B116:B120"/>
    <mergeCell ref="B121:B122"/>
    <mergeCell ref="B123:B126"/>
    <mergeCell ref="B176:C176"/>
    <mergeCell ref="B177:B178"/>
    <mergeCell ref="B179:B184"/>
    <mergeCell ref="B185:B196"/>
    <mergeCell ref="B197:B200"/>
    <mergeCell ref="B141:B152"/>
    <mergeCell ref="B153:B156"/>
    <mergeCell ref="B157:B161"/>
    <mergeCell ref="B162:B163"/>
    <mergeCell ref="B889:B892"/>
    <mergeCell ref="B893:B897"/>
    <mergeCell ref="B898:B899"/>
    <mergeCell ref="B900:B903"/>
    <mergeCell ref="B836:B847"/>
    <mergeCell ref="B848:B851"/>
    <mergeCell ref="B852:B856"/>
    <mergeCell ref="B857:B858"/>
    <mergeCell ref="B859:B862"/>
    <mergeCell ref="B868:C868"/>
    <mergeCell ref="B869:B870"/>
    <mergeCell ref="B871:B876"/>
    <mergeCell ref="B877:B888"/>
    <mergeCell ref="B828:B829"/>
    <mergeCell ref="B830:B835"/>
    <mergeCell ref="B775:B776"/>
    <mergeCell ref="B777:B780"/>
    <mergeCell ref="B745:C745"/>
    <mergeCell ref="B746:B747"/>
    <mergeCell ref="B748:B753"/>
    <mergeCell ref="B754:B765"/>
    <mergeCell ref="B766:B769"/>
    <mergeCell ref="B770:B774"/>
    <mergeCell ref="B786:C786"/>
    <mergeCell ref="B787:B788"/>
    <mergeCell ref="B789:B794"/>
    <mergeCell ref="B795:B806"/>
    <mergeCell ref="B807:B810"/>
    <mergeCell ref="B811:B815"/>
    <mergeCell ref="B816:B817"/>
    <mergeCell ref="B818:B821"/>
    <mergeCell ref="B827:C827"/>
    <mergeCell ref="B711:B722"/>
    <mergeCell ref="B723:B726"/>
    <mergeCell ref="B727:B731"/>
    <mergeCell ref="B732:B733"/>
    <mergeCell ref="B734:B737"/>
    <mergeCell ref="C341:E341"/>
    <mergeCell ref="G341:J341"/>
    <mergeCell ref="K341:N341"/>
    <mergeCell ref="C411:E411"/>
    <mergeCell ref="G411:J411"/>
    <mergeCell ref="K411:N411"/>
    <mergeCell ref="C376:E376"/>
    <mergeCell ref="G376:J376"/>
    <mergeCell ref="K376:N376"/>
    <mergeCell ref="B670:B681"/>
    <mergeCell ref="B682:B685"/>
    <mergeCell ref="B686:B690"/>
    <mergeCell ref="B691:B692"/>
    <mergeCell ref="B693:B696"/>
    <mergeCell ref="B541:B552"/>
    <mergeCell ref="B553:B556"/>
    <mergeCell ref="B557:B561"/>
    <mergeCell ref="B562:B563"/>
    <mergeCell ref="B564:B567"/>
    <mergeCell ref="B523:B526"/>
    <mergeCell ref="B164:B167"/>
    <mergeCell ref="B226:B237"/>
    <mergeCell ref="B238:B241"/>
    <mergeCell ref="B242:B246"/>
    <mergeCell ref="B247:B248"/>
    <mergeCell ref="B249:B252"/>
    <mergeCell ref="B308:B319"/>
    <mergeCell ref="B320:B323"/>
    <mergeCell ref="B324:B328"/>
    <mergeCell ref="B217:C217"/>
    <mergeCell ref="B218:B219"/>
    <mergeCell ref="B220:B225"/>
    <mergeCell ref="B450:C450"/>
    <mergeCell ref="B451:B452"/>
    <mergeCell ref="B453:B458"/>
    <mergeCell ref="B299:C299"/>
    <mergeCell ref="B300:B301"/>
    <mergeCell ref="B302:B307"/>
    <mergeCell ref="B500:B511"/>
    <mergeCell ref="B512:B515"/>
    <mergeCell ref="B516:B520"/>
    <mergeCell ref="B521:B522"/>
    <mergeCell ref="B201:B205"/>
    <mergeCell ref="B2:C2"/>
    <mergeCell ref="B132:C132"/>
    <mergeCell ref="B133:B134"/>
    <mergeCell ref="B135:B140"/>
    <mergeCell ref="B18:B29"/>
    <mergeCell ref="B30:B33"/>
    <mergeCell ref="B34:B38"/>
    <mergeCell ref="B39:B40"/>
    <mergeCell ref="B41:B44"/>
    <mergeCell ref="B9:C9"/>
    <mergeCell ref="B10:B11"/>
    <mergeCell ref="B12:B17"/>
    <mergeCell ref="B50:C50"/>
    <mergeCell ref="B51:B52"/>
    <mergeCell ref="B53:B58"/>
    <mergeCell ref="B59:B70"/>
    <mergeCell ref="B71:B74"/>
    <mergeCell ref="B75:B79"/>
    <mergeCell ref="B80:B81"/>
    <mergeCell ref="B82:B85"/>
    <mergeCell ref="B91:C91"/>
    <mergeCell ref="B92:B93"/>
    <mergeCell ref="B94:B99"/>
    <mergeCell ref="B100:B111"/>
    <mergeCell ref="B703:B704"/>
    <mergeCell ref="B705:B710"/>
    <mergeCell ref="B661:C661"/>
    <mergeCell ref="B329:B330"/>
    <mergeCell ref="B331:B334"/>
    <mergeCell ref="B459:B470"/>
    <mergeCell ref="B471:B474"/>
    <mergeCell ref="B475:B479"/>
    <mergeCell ref="B480:B481"/>
    <mergeCell ref="B482:B485"/>
    <mergeCell ref="B701:C701"/>
    <mergeCell ref="B574:C574"/>
    <mergeCell ref="B619:B620"/>
    <mergeCell ref="B621:B626"/>
    <mergeCell ref="B702:C702"/>
    <mergeCell ref="B490:C490"/>
    <mergeCell ref="B491:C491"/>
    <mergeCell ref="B492:B493"/>
    <mergeCell ref="B494:B499"/>
    <mergeCell ref="B650:B653"/>
    <mergeCell ref="B664:B669"/>
    <mergeCell ref="B627:B638"/>
    <mergeCell ref="B639:B642"/>
    <mergeCell ref="B643:B647"/>
    <mergeCell ref="I574:K574"/>
    <mergeCell ref="L574:L575"/>
    <mergeCell ref="M574:M575"/>
    <mergeCell ref="B616:C616"/>
    <mergeCell ref="I616:K616"/>
    <mergeCell ref="L616:L617"/>
    <mergeCell ref="M616:M617"/>
    <mergeCell ref="B617:C617"/>
    <mergeCell ref="B618:C618"/>
    <mergeCell ref="B585:B596"/>
    <mergeCell ref="B597:B600"/>
    <mergeCell ref="B601:B605"/>
    <mergeCell ref="B606:B607"/>
    <mergeCell ref="B608:B611"/>
    <mergeCell ref="B662:B663"/>
    <mergeCell ref="B648:B649"/>
    <mergeCell ref="B531:C531"/>
    <mergeCell ref="B532:C532"/>
    <mergeCell ref="B533:B534"/>
    <mergeCell ref="B535:B540"/>
    <mergeCell ref="B575:C575"/>
    <mergeCell ref="B576:C576"/>
    <mergeCell ref="B577:B578"/>
    <mergeCell ref="B579:B584"/>
  </mergeCells>
  <phoneticPr fontId="2" type="noConversion"/>
  <conditionalFormatting sqref="D9:P45">
    <cfRule type="cellIs" dxfId="3" priority="5" operator="greaterThan">
      <formula>100</formula>
    </cfRule>
  </conditionalFormatting>
  <conditionalFormatting sqref="D50:P86">
    <cfRule type="cellIs" dxfId="2" priority="2" operator="greaterThan">
      <formula>100</formula>
    </cfRule>
  </conditionalFormatting>
  <conditionalFormatting sqref="D91:P126">
    <cfRule type="cellIs" dxfId="1" priority="1" operator="greaterThan">
      <formula>100</formula>
    </cfRule>
  </conditionalFormatting>
  <conditionalFormatting sqref="D132:P167">
    <cfRule type="cellIs" dxfId="0" priority="3" operator="greaterThan">
      <formula>100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/>
  <dimension ref="A1:P37"/>
  <sheetViews>
    <sheetView showGridLines="0" zoomScaleNormal="100" workbookViewId="0">
      <selection activeCell="E4" sqref="E4"/>
    </sheetView>
  </sheetViews>
  <sheetFormatPr defaultRowHeight="16.5" x14ac:dyDescent="0.3"/>
  <cols>
    <col min="1" max="1" width="4.75" customWidth="1"/>
    <col min="3" max="3" width="11.5" customWidth="1"/>
    <col min="7" max="7" width="9.375" customWidth="1"/>
    <col min="8" max="8" width="10.625" bestFit="1" customWidth="1"/>
    <col min="11" max="11" width="16.375" bestFit="1" customWidth="1"/>
    <col min="15" max="15" width="15.5" customWidth="1"/>
  </cols>
  <sheetData>
    <row r="1" spans="1:16" x14ac:dyDescent="0.3">
      <c r="A1" s="44"/>
    </row>
    <row r="2" spans="1:16" ht="20.25" x14ac:dyDescent="0.3">
      <c r="B2" s="32" t="s">
        <v>508</v>
      </c>
      <c r="D2" s="32" t="s">
        <v>42</v>
      </c>
    </row>
    <row r="3" spans="1:16" ht="20.25" x14ac:dyDescent="0.3">
      <c r="B3" s="16"/>
      <c r="C3" s="7"/>
    </row>
    <row r="4" spans="1:16" ht="17.25" x14ac:dyDescent="0.3">
      <c r="B4" s="33" t="s">
        <v>43</v>
      </c>
    </row>
    <row r="6" spans="1:16" x14ac:dyDescent="0.3">
      <c r="B6" s="232"/>
      <c r="C6" s="232"/>
      <c r="D6" s="202" t="s">
        <v>528</v>
      </c>
      <c r="F6" s="232"/>
      <c r="G6" s="232"/>
      <c r="H6" s="202" t="s">
        <v>528</v>
      </c>
      <c r="I6" s="164"/>
      <c r="J6" s="232"/>
      <c r="K6" s="232"/>
      <c r="L6" s="202" t="s">
        <v>528</v>
      </c>
      <c r="N6" s="232"/>
      <c r="O6" s="232"/>
      <c r="P6" s="202" t="s">
        <v>528</v>
      </c>
    </row>
    <row r="7" spans="1:16" x14ac:dyDescent="0.3">
      <c r="B7" s="292" t="s">
        <v>20</v>
      </c>
      <c r="C7" s="292"/>
      <c r="D7" s="86">
        <v>100</v>
      </c>
      <c r="F7" s="296" t="s">
        <v>3</v>
      </c>
      <c r="G7" s="13" t="s">
        <v>2</v>
      </c>
      <c r="H7" s="84">
        <v>18.801450143766452</v>
      </c>
      <c r="I7" s="165"/>
      <c r="J7" s="317" t="s">
        <v>474</v>
      </c>
      <c r="K7" s="170" t="s">
        <v>433</v>
      </c>
      <c r="L7" s="171">
        <v>40.472713057232326</v>
      </c>
      <c r="N7" s="314" t="s">
        <v>485</v>
      </c>
      <c r="O7" s="9" t="s">
        <v>226</v>
      </c>
      <c r="P7" s="86">
        <v>27.697622792637056</v>
      </c>
    </row>
    <row r="8" spans="1:16" ht="16.5" customHeight="1" x14ac:dyDescent="0.3">
      <c r="B8" s="296" t="s">
        <v>5</v>
      </c>
      <c r="C8" s="13" t="s">
        <v>0</v>
      </c>
      <c r="D8" s="84">
        <v>50.88771415429413</v>
      </c>
      <c r="F8" s="292"/>
      <c r="G8" s="9" t="s">
        <v>6</v>
      </c>
      <c r="H8" s="86">
        <v>6.2927148349676258</v>
      </c>
      <c r="I8" s="165"/>
      <c r="J8" s="316"/>
      <c r="K8" s="168" t="s">
        <v>434</v>
      </c>
      <c r="L8" s="173">
        <v>59.527286942767901</v>
      </c>
      <c r="N8" s="315"/>
      <c r="O8" s="9" t="s">
        <v>227</v>
      </c>
      <c r="P8" s="86">
        <v>29.62562322616904</v>
      </c>
    </row>
    <row r="9" spans="1:16" x14ac:dyDescent="0.3">
      <c r="B9" s="295"/>
      <c r="C9" s="12" t="s">
        <v>1</v>
      </c>
      <c r="D9" s="90">
        <v>49.112285845706069</v>
      </c>
      <c r="F9" s="292"/>
      <c r="G9" s="9" t="s">
        <v>7</v>
      </c>
      <c r="H9" s="86">
        <v>4.5926350105401168</v>
      </c>
      <c r="I9" s="165"/>
      <c r="J9" s="314" t="s">
        <v>481</v>
      </c>
      <c r="K9" s="170" t="s">
        <v>435</v>
      </c>
      <c r="L9" s="171">
        <v>21.691592242907333</v>
      </c>
      <c r="N9" s="315"/>
      <c r="O9" s="9" t="s">
        <v>228</v>
      </c>
      <c r="P9" s="86">
        <v>19.985300087540089</v>
      </c>
    </row>
    <row r="10" spans="1:16" x14ac:dyDescent="0.3">
      <c r="B10" s="296" t="s">
        <v>4</v>
      </c>
      <c r="C10" s="9" t="s">
        <v>175</v>
      </c>
      <c r="D10" s="86">
        <v>4.759183418795649</v>
      </c>
      <c r="F10" s="292"/>
      <c r="G10" s="9" t="s">
        <v>8</v>
      </c>
      <c r="H10" s="86">
        <v>6.008363516730113</v>
      </c>
      <c r="I10" s="165"/>
      <c r="J10" s="315"/>
      <c r="K10" s="9" t="s">
        <v>436</v>
      </c>
      <c r="L10" s="86">
        <v>29.1961219113868</v>
      </c>
      <c r="N10" s="315"/>
      <c r="O10" s="9" t="s">
        <v>229</v>
      </c>
      <c r="P10" s="86">
        <v>22.691453893653648</v>
      </c>
    </row>
    <row r="11" spans="1:16" x14ac:dyDescent="0.3">
      <c r="B11" s="292"/>
      <c r="C11" s="9" t="s">
        <v>176</v>
      </c>
      <c r="D11" s="86">
        <v>15.656558494597908</v>
      </c>
      <c r="F11" s="292"/>
      <c r="G11" s="9" t="s">
        <v>10</v>
      </c>
      <c r="H11" s="86">
        <v>2.7668291344721854</v>
      </c>
      <c r="I11" s="165"/>
      <c r="J11" s="315"/>
      <c r="K11" s="9" t="s">
        <v>437</v>
      </c>
      <c r="L11" s="86">
        <v>18.781120814324844</v>
      </c>
      <c r="N11" s="314" t="s">
        <v>486</v>
      </c>
      <c r="O11" s="170" t="s">
        <v>455</v>
      </c>
      <c r="P11" s="171">
        <v>12.140459934375063</v>
      </c>
    </row>
    <row r="12" spans="1:16" x14ac:dyDescent="0.3">
      <c r="B12" s="292"/>
      <c r="C12" s="9" t="s">
        <v>177</v>
      </c>
      <c r="D12" s="86">
        <v>16.999591595952225</v>
      </c>
      <c r="F12" s="292"/>
      <c r="G12" s="9" t="s">
        <v>9</v>
      </c>
      <c r="H12" s="86">
        <v>2.8532720796016555</v>
      </c>
      <c r="I12" s="165"/>
      <c r="J12" s="316"/>
      <c r="K12" s="168" t="s">
        <v>438</v>
      </c>
      <c r="L12" s="173">
        <v>30.331165031380898</v>
      </c>
      <c r="N12" s="315"/>
      <c r="O12" s="9" t="s">
        <v>456</v>
      </c>
      <c r="P12" s="86">
        <v>15.557162858261913</v>
      </c>
    </row>
    <row r="13" spans="1:16" x14ac:dyDescent="0.3">
      <c r="B13" s="292"/>
      <c r="C13" s="9" t="s">
        <v>178</v>
      </c>
      <c r="D13" s="86">
        <v>20.140437879269001</v>
      </c>
      <c r="F13" s="292"/>
      <c r="G13" s="9" t="s">
        <v>11</v>
      </c>
      <c r="H13" s="86">
        <v>2.1922092802600561</v>
      </c>
      <c r="I13" s="165"/>
      <c r="J13" s="317" t="s">
        <v>475</v>
      </c>
      <c r="K13" s="170" t="s">
        <v>439</v>
      </c>
      <c r="L13" s="171">
        <v>37.948334628806357</v>
      </c>
      <c r="N13" s="315"/>
      <c r="O13" s="9" t="s">
        <v>457</v>
      </c>
      <c r="P13" s="86">
        <v>16.079185244371981</v>
      </c>
    </row>
    <row r="14" spans="1:16" x14ac:dyDescent="0.3">
      <c r="B14" s="292"/>
      <c r="C14" s="9" t="s">
        <v>179</v>
      </c>
      <c r="D14" s="86">
        <v>22.509067910580097</v>
      </c>
      <c r="F14" s="292"/>
      <c r="G14" s="9" t="s">
        <v>181</v>
      </c>
      <c r="H14" s="86">
        <v>0.73499063558395472</v>
      </c>
      <c r="I14" s="165"/>
      <c r="J14" s="316"/>
      <c r="K14" s="168" t="s">
        <v>440</v>
      </c>
      <c r="L14" s="173">
        <v>62.051665371193806</v>
      </c>
      <c r="N14" s="315"/>
      <c r="O14" s="9" t="s">
        <v>458</v>
      </c>
      <c r="P14" s="86">
        <v>13.546437981797018</v>
      </c>
    </row>
    <row r="15" spans="1:16" x14ac:dyDescent="0.3">
      <c r="B15" s="298"/>
      <c r="C15" s="12" t="s">
        <v>180</v>
      </c>
      <c r="D15" s="90">
        <v>19.935160700804904</v>
      </c>
      <c r="F15" s="292"/>
      <c r="G15" s="9" t="s">
        <v>182</v>
      </c>
      <c r="H15" s="86">
        <v>27.131000239266957</v>
      </c>
      <c r="I15" s="165"/>
      <c r="J15" s="314" t="s">
        <v>482</v>
      </c>
      <c r="K15" s="170" t="s">
        <v>441</v>
      </c>
      <c r="L15" s="171">
        <v>18.727765531145682</v>
      </c>
      <c r="N15" s="315"/>
      <c r="O15" s="9" t="s">
        <v>459</v>
      </c>
      <c r="P15" s="86">
        <v>12.201566010043461</v>
      </c>
    </row>
    <row r="16" spans="1:16" x14ac:dyDescent="0.3">
      <c r="B16" s="303" t="s">
        <v>223</v>
      </c>
      <c r="C16" s="9" t="s">
        <v>210</v>
      </c>
      <c r="D16" s="86">
        <v>2.4525307643756116</v>
      </c>
      <c r="F16" s="292"/>
      <c r="G16" s="9" t="s">
        <v>183</v>
      </c>
      <c r="H16" s="86">
        <v>2.8737154867639898</v>
      </c>
      <c r="I16" s="165"/>
      <c r="J16" s="315"/>
      <c r="K16" s="9" t="s">
        <v>442</v>
      </c>
      <c r="L16" s="86">
        <v>32.159948623148424</v>
      </c>
      <c r="N16" s="315"/>
      <c r="O16" s="9" t="s">
        <v>460</v>
      </c>
      <c r="P16" s="86">
        <v>7.7837340774966322</v>
      </c>
    </row>
    <row r="17" spans="2:16" x14ac:dyDescent="0.3">
      <c r="B17" s="292"/>
      <c r="C17" s="9" t="s">
        <v>211</v>
      </c>
      <c r="D17" s="86">
        <v>8.1648168163460486</v>
      </c>
      <c r="F17" s="292"/>
      <c r="G17" s="9" t="s">
        <v>184</v>
      </c>
      <c r="H17" s="86">
        <v>3.0542254349090521</v>
      </c>
      <c r="I17" s="165"/>
      <c r="J17" s="315"/>
      <c r="K17" s="9" t="s">
        <v>443</v>
      </c>
      <c r="L17" s="86">
        <v>19.220569097660565</v>
      </c>
      <c r="N17" s="315"/>
      <c r="O17" s="9" t="s">
        <v>461</v>
      </c>
      <c r="P17" s="86">
        <v>7.5384529273639407</v>
      </c>
    </row>
    <row r="18" spans="2:16" x14ac:dyDescent="0.3">
      <c r="B18" s="292"/>
      <c r="C18" s="9" t="s">
        <v>212</v>
      </c>
      <c r="D18" s="86">
        <v>8.859222299686035</v>
      </c>
      <c r="F18" s="292"/>
      <c r="G18" s="9" t="s">
        <v>185</v>
      </c>
      <c r="H18" s="86">
        <v>4.018963973812629</v>
      </c>
      <c r="I18" s="165"/>
      <c r="J18" s="316"/>
      <c r="K18" s="168" t="s">
        <v>444</v>
      </c>
      <c r="L18" s="173">
        <v>29.891716748045255</v>
      </c>
      <c r="N18" s="315"/>
      <c r="O18" s="9" t="s">
        <v>462</v>
      </c>
      <c r="P18" s="86">
        <v>5.5791568257127828</v>
      </c>
    </row>
    <row r="19" spans="2:16" x14ac:dyDescent="0.3">
      <c r="B19" s="292"/>
      <c r="C19" s="9" t="s">
        <v>213</v>
      </c>
      <c r="D19" s="86">
        <v>10.239965739438203</v>
      </c>
      <c r="F19" s="292"/>
      <c r="G19" s="9" t="s">
        <v>186</v>
      </c>
      <c r="H19" s="86">
        <v>3.2313861604656573</v>
      </c>
      <c r="I19" s="165"/>
      <c r="J19" s="314" t="s">
        <v>483</v>
      </c>
      <c r="K19" s="170" t="s">
        <v>445</v>
      </c>
      <c r="L19" s="171">
        <v>20.715579524265731</v>
      </c>
      <c r="N19" s="315"/>
      <c r="O19" s="9" t="s">
        <v>463</v>
      </c>
      <c r="P19" s="86">
        <v>3.4664698683093671</v>
      </c>
    </row>
    <row r="20" spans="2:16" x14ac:dyDescent="0.3">
      <c r="B20" s="292"/>
      <c r="C20" s="9" t="s">
        <v>214</v>
      </c>
      <c r="D20" s="86">
        <v>11.355078958115849</v>
      </c>
      <c r="F20" s="292"/>
      <c r="G20" s="9" t="s">
        <v>187</v>
      </c>
      <c r="H20" s="86">
        <v>3.2491120305931656</v>
      </c>
      <c r="I20" s="165"/>
      <c r="J20" s="316"/>
      <c r="K20" s="168" t="s">
        <v>446</v>
      </c>
      <c r="L20" s="173">
        <v>79.284420475734294</v>
      </c>
      <c r="N20" s="316"/>
      <c r="O20" s="168" t="s">
        <v>464</v>
      </c>
      <c r="P20" s="173">
        <v>6.1073742722675721</v>
      </c>
    </row>
    <row r="21" spans="2:16" x14ac:dyDescent="0.3">
      <c r="B21" s="292"/>
      <c r="C21" s="12" t="s">
        <v>215</v>
      </c>
      <c r="D21" s="90">
        <v>9.8160995763323466</v>
      </c>
      <c r="F21" s="292"/>
      <c r="G21" s="9" t="s">
        <v>188</v>
      </c>
      <c r="H21" s="86">
        <v>4.7287722714277969</v>
      </c>
      <c r="I21" s="165"/>
      <c r="J21" s="314" t="s">
        <v>484</v>
      </c>
      <c r="K21" s="170" t="s">
        <v>447</v>
      </c>
      <c r="L21" s="171">
        <v>11.137941833923632</v>
      </c>
      <c r="N21" s="317" t="s">
        <v>476</v>
      </c>
      <c r="O21" s="170" t="s">
        <v>465</v>
      </c>
      <c r="P21" s="171">
        <v>24.551171724742535</v>
      </c>
    </row>
    <row r="22" spans="2:16" x14ac:dyDescent="0.3">
      <c r="B22" s="292"/>
      <c r="C22" s="9" t="s">
        <v>216</v>
      </c>
      <c r="D22" s="86">
        <v>2.306652654420041</v>
      </c>
      <c r="F22" s="292"/>
      <c r="G22" s="9" t="s">
        <v>189</v>
      </c>
      <c r="H22" s="86">
        <v>6.1861224098313867</v>
      </c>
      <c r="I22" s="165"/>
      <c r="J22" s="315"/>
      <c r="K22" s="9" t="s">
        <v>448</v>
      </c>
      <c r="L22" s="86">
        <v>39.749772320370468</v>
      </c>
      <c r="N22" s="315"/>
      <c r="O22" s="9" t="s">
        <v>466</v>
      </c>
      <c r="P22" s="86">
        <v>63.735024072835913</v>
      </c>
    </row>
    <row r="23" spans="2:16" x14ac:dyDescent="0.3">
      <c r="B23" s="292"/>
      <c r="C23" s="9" t="s">
        <v>217</v>
      </c>
      <c r="D23" s="86">
        <v>7.4917416782518416</v>
      </c>
      <c r="F23" s="292"/>
      <c r="G23" s="9" t="s">
        <v>190</v>
      </c>
      <c r="H23" s="86">
        <v>1.2842373570070145</v>
      </c>
      <c r="I23" s="165"/>
      <c r="J23" s="315"/>
      <c r="K23" s="9" t="s">
        <v>449</v>
      </c>
      <c r="L23" s="86">
        <v>9.5776376903421614</v>
      </c>
      <c r="N23" s="316"/>
      <c r="O23" s="168" t="s">
        <v>467</v>
      </c>
      <c r="P23" s="173">
        <v>11.713804202421711</v>
      </c>
    </row>
    <row r="24" spans="2:16" x14ac:dyDescent="0.3">
      <c r="B24" s="292"/>
      <c r="C24" s="9" t="s">
        <v>218</v>
      </c>
      <c r="D24" s="86">
        <v>8.1403692962661935</v>
      </c>
      <c r="F24" s="303" t="s">
        <v>199</v>
      </c>
      <c r="G24" s="170" t="s">
        <v>192</v>
      </c>
      <c r="H24" s="171">
        <v>51.940813899763846</v>
      </c>
      <c r="I24" s="165"/>
      <c r="J24" s="316"/>
      <c r="K24" s="168" t="s">
        <v>450</v>
      </c>
      <c r="L24" s="173">
        <v>39.53464815536374</v>
      </c>
      <c r="N24" s="315" t="s">
        <v>477</v>
      </c>
      <c r="O24" s="9" t="s">
        <v>468</v>
      </c>
      <c r="P24" s="86">
        <v>6.8390431093575774</v>
      </c>
    </row>
    <row r="25" spans="2:16" x14ac:dyDescent="0.3">
      <c r="B25" s="292"/>
      <c r="C25" s="9" t="s">
        <v>219</v>
      </c>
      <c r="D25" s="86">
        <v>9.9004721398309403</v>
      </c>
      <c r="F25" s="292"/>
      <c r="G25" s="9" t="s">
        <v>200</v>
      </c>
      <c r="H25" s="86">
        <v>4.1579528437710023</v>
      </c>
      <c r="I25" s="165"/>
      <c r="J25" s="317" t="s">
        <v>478</v>
      </c>
      <c r="K25" s="170" t="s">
        <v>205</v>
      </c>
      <c r="L25" s="171">
        <v>14.771879299844898</v>
      </c>
      <c r="N25" s="315"/>
      <c r="O25" s="9" t="s">
        <v>469</v>
      </c>
      <c r="P25" s="86">
        <v>49.245330402425338</v>
      </c>
    </row>
    <row r="26" spans="2:16" x14ac:dyDescent="0.3">
      <c r="B26" s="292"/>
      <c r="C26" s="9" t="s">
        <v>220</v>
      </c>
      <c r="D26" s="86">
        <v>11.153988952464211</v>
      </c>
      <c r="F26" s="292"/>
      <c r="G26" s="9" t="s">
        <v>201</v>
      </c>
      <c r="H26" s="86">
        <v>10.661452123907287</v>
      </c>
      <c r="I26" s="9"/>
      <c r="J26" s="315"/>
      <c r="K26" s="9" t="s">
        <v>206</v>
      </c>
      <c r="L26" s="86">
        <v>21.970192497963062</v>
      </c>
      <c r="N26" s="315"/>
      <c r="O26" s="9" t="s">
        <v>470</v>
      </c>
      <c r="P26" s="86">
        <v>9.678477778353038</v>
      </c>
    </row>
    <row r="27" spans="2:16" x14ac:dyDescent="0.3">
      <c r="B27" s="318"/>
      <c r="C27" s="166" t="s">
        <v>221</v>
      </c>
      <c r="D27" s="167">
        <v>10.119061124472454</v>
      </c>
      <c r="F27" s="292"/>
      <c r="G27" s="9" t="s">
        <v>202</v>
      </c>
      <c r="H27" s="83">
        <v>9.2473273255310087</v>
      </c>
      <c r="I27" s="9"/>
      <c r="J27" s="315"/>
      <c r="K27" s="9" t="s">
        <v>207</v>
      </c>
      <c r="L27" s="86">
        <v>31.241877538733377</v>
      </c>
      <c r="N27" s="315"/>
      <c r="O27" s="9" t="s">
        <v>471</v>
      </c>
      <c r="P27" s="86">
        <v>12.795572016774544</v>
      </c>
    </row>
    <row r="28" spans="2:16" ht="16.5" customHeight="1" x14ac:dyDescent="0.3">
      <c r="F28" s="298"/>
      <c r="G28" s="168" t="s">
        <v>203</v>
      </c>
      <c r="H28" s="169">
        <v>23.99245380702699</v>
      </c>
      <c r="I28" s="9"/>
      <c r="J28" s="316"/>
      <c r="K28" s="168" t="s">
        <v>208</v>
      </c>
      <c r="L28" s="173">
        <v>32.016050663458579</v>
      </c>
      <c r="N28" s="315"/>
      <c r="O28" s="9" t="s">
        <v>472</v>
      </c>
      <c r="P28" s="86">
        <v>8.11873557360882</v>
      </c>
    </row>
    <row r="29" spans="2:16" x14ac:dyDescent="0.3">
      <c r="F29" s="313" t="s">
        <v>204</v>
      </c>
      <c r="G29" s="170" t="s">
        <v>192</v>
      </c>
      <c r="H29" s="172">
        <v>51.940813899763846</v>
      </c>
      <c r="I29" s="9"/>
      <c r="J29" s="292" t="s">
        <v>479</v>
      </c>
      <c r="K29" s="9" t="s">
        <v>451</v>
      </c>
      <c r="L29" s="86">
        <v>33.242174265464577</v>
      </c>
      <c r="N29" s="315"/>
      <c r="O29" s="9" t="s">
        <v>473</v>
      </c>
      <c r="P29" s="86">
        <v>11.782277791620915</v>
      </c>
    </row>
    <row r="30" spans="2:16" x14ac:dyDescent="0.3">
      <c r="F30" s="298"/>
      <c r="G30" s="168" t="s">
        <v>193</v>
      </c>
      <c r="H30" s="169">
        <v>48.059186100236346</v>
      </c>
      <c r="I30" s="9"/>
      <c r="J30" s="292"/>
      <c r="K30" s="9" t="s">
        <v>452</v>
      </c>
      <c r="L30" s="86">
        <v>60.62771004798352</v>
      </c>
      <c r="N30" s="319"/>
      <c r="O30" s="166" t="s">
        <v>12</v>
      </c>
      <c r="P30" s="167">
        <v>1.5405633278597293</v>
      </c>
    </row>
    <row r="31" spans="2:16" x14ac:dyDescent="0.3">
      <c r="F31" s="292" t="s">
        <v>480</v>
      </c>
      <c r="G31" s="9" t="s">
        <v>430</v>
      </c>
      <c r="H31" s="83">
        <v>54.460679260428556</v>
      </c>
      <c r="I31" s="9"/>
      <c r="J31" s="292"/>
      <c r="K31" s="9" t="s">
        <v>453</v>
      </c>
      <c r="L31" s="86">
        <v>4.3755405271684475</v>
      </c>
    </row>
    <row r="32" spans="2:16" x14ac:dyDescent="0.3">
      <c r="F32" s="292"/>
      <c r="G32" s="9" t="s">
        <v>431</v>
      </c>
      <c r="H32" s="83">
        <v>37.533678817757234</v>
      </c>
      <c r="I32" s="9"/>
      <c r="J32" s="292"/>
      <c r="K32" s="9" t="s">
        <v>454</v>
      </c>
      <c r="L32" s="86">
        <v>0.82492477741534009</v>
      </c>
    </row>
    <row r="33" spans="6:12" x14ac:dyDescent="0.3">
      <c r="F33" s="318"/>
      <c r="G33" s="166" t="s">
        <v>432</v>
      </c>
      <c r="H33" s="167">
        <v>8.0056419218141652</v>
      </c>
      <c r="I33" s="9"/>
      <c r="J33" s="318"/>
      <c r="K33" s="166" t="s">
        <v>12</v>
      </c>
      <c r="L33" s="167">
        <v>0.92965038196808625</v>
      </c>
    </row>
    <row r="34" spans="6:12" x14ac:dyDescent="0.3">
      <c r="F34" s="9"/>
      <c r="G34" s="9"/>
      <c r="H34" s="9"/>
      <c r="I34" s="9"/>
      <c r="J34" s="9"/>
    </row>
    <row r="35" spans="6:12" x14ac:dyDescent="0.3">
      <c r="F35" s="9"/>
      <c r="G35" s="9"/>
      <c r="H35" s="9"/>
      <c r="I35" s="9"/>
      <c r="J35" s="9"/>
    </row>
    <row r="37" spans="6:12" ht="16.5" customHeight="1" x14ac:dyDescent="0.3"/>
  </sheetData>
  <mergeCells count="20">
    <mergeCell ref="B7:C7"/>
    <mergeCell ref="B8:B9"/>
    <mergeCell ref="B10:B15"/>
    <mergeCell ref="B16:B27"/>
    <mergeCell ref="F24:F28"/>
    <mergeCell ref="F29:F30"/>
    <mergeCell ref="N7:N10"/>
    <mergeCell ref="N11:N20"/>
    <mergeCell ref="N21:N23"/>
    <mergeCell ref="J21:J24"/>
    <mergeCell ref="J25:J28"/>
    <mergeCell ref="J29:J33"/>
    <mergeCell ref="F7:F23"/>
    <mergeCell ref="N24:N30"/>
    <mergeCell ref="J7:J8"/>
    <mergeCell ref="J9:J12"/>
    <mergeCell ref="J13:J14"/>
    <mergeCell ref="F31:F33"/>
    <mergeCell ref="J15:J18"/>
    <mergeCell ref="J19:J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목차</vt:lpstr>
      <vt:lpstr>1-1.패션 구매액</vt:lpstr>
      <vt:lpstr>1-2.패션 소비 실태</vt:lpstr>
      <vt:lpstr>2-1. 남성복(정장)</vt:lpstr>
      <vt:lpstr>2-2. 여성복(정장)</vt:lpstr>
      <vt:lpstr>2-3. 캐주얼복</vt:lpstr>
      <vt:lpstr>2-4. 스포츠의류</vt:lpstr>
      <vt:lpstr>2-5. 골프웨어</vt:lpstr>
      <vt:lpstr>2-6. 아웃도어</vt:lpstr>
      <vt:lpstr>2-7. 이너웨어</vt:lpstr>
      <vt:lpstr>2-8. 유아동복</vt:lpstr>
      <vt:lpstr>2-9. 신발</vt:lpstr>
      <vt:lpstr>2-10. 가방_지갑</vt:lpstr>
      <vt:lpstr>2-11. 기타잡화</vt:lpstr>
      <vt:lpstr>3.구매 행태</vt:lpstr>
      <vt:lpstr>4.조사표본특성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안가영</dc:creator>
  <cp:lastModifiedBy>안가영</cp:lastModifiedBy>
  <cp:lastPrinted>2017-05-19T04:10:19Z</cp:lastPrinted>
  <dcterms:created xsi:type="dcterms:W3CDTF">2017-05-15T08:00:37Z</dcterms:created>
  <dcterms:modified xsi:type="dcterms:W3CDTF">2025-05-30T04:24:32Z</dcterms:modified>
</cp:coreProperties>
</file>